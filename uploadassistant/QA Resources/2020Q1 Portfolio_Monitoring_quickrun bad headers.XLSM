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Distrib_Channel_Description" sheetId="28" r:id="rId3"/>
    <sheet name="Drop_Down_Lists" sheetId="5" state="hidden" r:id="rId4"/>
  </sheets>
  <definedNames>
    <definedName name="_xlnm._FilterDatabase" localSheetId="1" hidden="1">Ptf_Monitoring_GROSS_Reins!$A$4:$BM$6</definedName>
  </definedNames>
  <calcPr calcId="162913"/>
</workbook>
</file>

<file path=xl/calcChain.xml><?xml version="1.0" encoding="utf-8"?>
<calcChain xmlns="http://schemas.openxmlformats.org/spreadsheetml/2006/main">
  <c r="AY11" i="26" l="1"/>
  <c r="AX11" i="26"/>
  <c r="BJ11" i="26" s="1"/>
  <c r="AS11" i="26"/>
  <c r="BH11" i="26" s="1"/>
  <c r="AO11" i="26"/>
  <c r="AL11" i="26"/>
  <c r="L11" i="26"/>
  <c r="K11" i="26" s="1"/>
  <c r="J11" i="26"/>
  <c r="I11" i="26"/>
  <c r="H11" i="26"/>
  <c r="AY10" i="26"/>
  <c r="AX10" i="26"/>
  <c r="AS10" i="26"/>
  <c r="BH10" i="26" s="1"/>
  <c r="AO10" i="26"/>
  <c r="AL10" i="26"/>
  <c r="BI10" i="26" s="1"/>
  <c r="L10" i="26"/>
  <c r="K10" i="26" s="1"/>
  <c r="J10" i="26"/>
  <c r="I10" i="26"/>
  <c r="H10" i="26"/>
  <c r="AY9" i="26"/>
  <c r="AX9" i="26"/>
  <c r="BJ9" i="26" s="1"/>
  <c r="AS9" i="26"/>
  <c r="BH9" i="26" s="1"/>
  <c r="AO9" i="26"/>
  <c r="AL9" i="26"/>
  <c r="L9" i="26"/>
  <c r="K9" i="26" s="1"/>
  <c r="J9" i="26"/>
  <c r="I9" i="26"/>
  <c r="H9" i="26"/>
  <c r="AY8" i="26"/>
  <c r="AX8" i="26"/>
  <c r="AS8" i="26"/>
  <c r="AZ8" i="26" s="1"/>
  <c r="AO8" i="26"/>
  <c r="AL8" i="26"/>
  <c r="BI8" i="26" s="1"/>
  <c r="L8" i="26"/>
  <c r="K8" i="26" s="1"/>
  <c r="J8" i="26"/>
  <c r="I8" i="26"/>
  <c r="H8" i="26"/>
  <c r="AY7" i="26"/>
  <c r="AX7" i="26"/>
  <c r="BJ7" i="26" s="1"/>
  <c r="AS7" i="26"/>
  <c r="BH7" i="26" s="1"/>
  <c r="AO7" i="26"/>
  <c r="AL7" i="26"/>
  <c r="L7" i="26"/>
  <c r="K7" i="26" s="1"/>
  <c r="J7" i="26"/>
  <c r="I7" i="26"/>
  <c r="H7" i="26"/>
  <c r="BH8" i="26" l="1"/>
  <c r="BL11" i="26"/>
  <c r="BA8" i="26"/>
  <c r="AZ10" i="26"/>
  <c r="BA10" i="26" s="1"/>
  <c r="BL9" i="26"/>
  <c r="BL7" i="26"/>
  <c r="BB8" i="26"/>
  <c r="BC8" i="26" s="1"/>
  <c r="BL10" i="26"/>
  <c r="BL8" i="26"/>
  <c r="BB10" i="26"/>
  <c r="BC10" i="26" s="1"/>
  <c r="BE7" i="26"/>
  <c r="BI7" i="26"/>
  <c r="BK7" i="26" s="1"/>
  <c r="BD8" i="26"/>
  <c r="BJ8" i="26"/>
  <c r="BK8" i="26" s="1"/>
  <c r="BE9" i="26"/>
  <c r="BI9" i="26"/>
  <c r="BK9" i="26" s="1"/>
  <c r="BJ10" i="26"/>
  <c r="BK10" i="26" s="1"/>
  <c r="BE11" i="26"/>
  <c r="BI11" i="26"/>
  <c r="BK11" i="26" s="1"/>
  <c r="AZ7" i="26"/>
  <c r="BA7" i="26" s="1"/>
  <c r="BB7" i="26"/>
  <c r="BE8" i="26"/>
  <c r="AZ9" i="26"/>
  <c r="BA9" i="26" s="1"/>
  <c r="BB9" i="26"/>
  <c r="BE10" i="26"/>
  <c r="AZ11" i="26"/>
  <c r="BA11" i="26" s="1"/>
  <c r="BB11" i="26"/>
  <c r="BD10" i="26" l="1"/>
  <c r="BD11" i="26"/>
  <c r="BC11" i="26"/>
  <c r="BG10" i="26"/>
  <c r="BF10" i="26"/>
  <c r="BD7" i="26"/>
  <c r="BC7" i="26"/>
  <c r="BD9" i="26"/>
  <c r="BC9" i="26"/>
  <c r="BG8" i="26"/>
  <c r="BF8" i="26"/>
  <c r="BF11" i="26"/>
  <c r="BG11" i="26"/>
  <c r="BF9" i="26"/>
  <c r="BG9" i="26"/>
  <c r="BF7" i="26"/>
  <c r="BG7" i="26"/>
  <c r="AY6" i="26" l="1"/>
  <c r="AX6" i="26"/>
  <c r="BJ6" i="26" s="1"/>
  <c r="AS6" i="26"/>
  <c r="BH6" i="26" s="1"/>
  <c r="AO6" i="26"/>
  <c r="AL6" i="26"/>
  <c r="L6" i="26"/>
  <c r="K6" i="26" s="1"/>
  <c r="J6" i="26"/>
  <c r="I6" i="26"/>
  <c r="H6" i="26"/>
  <c r="AY5" i="26"/>
  <c r="AX5" i="26"/>
  <c r="AS5" i="26"/>
  <c r="AO5" i="26"/>
  <c r="AL5" i="26"/>
  <c r="BI5" i="26" s="1"/>
  <c r="L5" i="26"/>
  <c r="K5" i="26" s="1"/>
  <c r="J5" i="26"/>
  <c r="I5" i="26"/>
  <c r="H5" i="26"/>
  <c r="BH5" i="26" l="1"/>
  <c r="AZ5" i="26"/>
  <c r="BA5" i="26" s="1"/>
  <c r="BL5" i="26"/>
  <c r="BL6" i="26"/>
  <c r="BB5" i="26"/>
  <c r="BC5" i="26" s="1"/>
  <c r="BJ5" i="26"/>
  <c r="BE6" i="26"/>
  <c r="BI6" i="26"/>
  <c r="BK6" i="26" s="1"/>
  <c r="BE5" i="26"/>
  <c r="AZ6" i="26"/>
  <c r="BA6" i="26" s="1"/>
  <c r="BB6" i="26"/>
  <c r="BK5" i="26" l="1"/>
  <c r="BD5" i="26"/>
  <c r="BD6" i="26"/>
  <c r="BC6" i="26"/>
  <c r="BG5" i="26"/>
  <c r="BF5" i="26"/>
  <c r="BF6" i="26"/>
  <c r="BG6" i="26"/>
</calcChain>
</file>

<file path=xl/sharedStrings.xml><?xml version="1.0" encoding="utf-8"?>
<sst xmlns="http://schemas.openxmlformats.org/spreadsheetml/2006/main" count="633" uniqueCount="397">
  <si>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</si>
  <si>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</si>
  <si>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</si>
  <si>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</si>
  <si>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</si>
  <si>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</si>
  <si>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</si>
  <si>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</si>
  <si>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</si>
  <si>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</si>
  <si>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</si>
  <si>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</si>
  <si>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</si>
  <si>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</si>
  <si>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</si>
  <si>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</si>
  <si>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</si>
  <si>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</si>
  <si>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</si>
  <si>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</si>
  <si>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</si>
  <si>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</si>
  <si>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</si>
  <si>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</si>
  <si>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</si>
  <si>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</si>
  <si>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</si>
  <si>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</si>
  <si>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</si>
  <si>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</si>
  <si>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</si>
  <si>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</si>
  <si>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</si>
  <si>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</si>
  <si>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</si>
  <si>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</si>
  <si>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</si>
  <si>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</si>
  <si>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</si>
  <si>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</si>
  <si>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</si>
  <si>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</si>
  <si>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</si>
  <si>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</si>
  <si>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</si>
  <si>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</si>
  <si>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</si>
  <si>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</si>
  <si>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</si>
  <si>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</si>
  <si>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</si>
  <si>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</si>
  <si>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</si>
  <si>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</si>
  <si>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</si>
  <si>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</si>
  <si>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</si>
  <si>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</si>
  <si>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</si>
  <si>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</si>
  <si>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</si>
  <si>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</si>
  <si>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</si>
  <si>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</si>
  <si>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</si>
  <si>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</si>
  <si>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</si>
  <si>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</si>
  <si>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</si>
  <si>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</si>
  <si>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</si>
  <si>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</si>
  <si>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</si>
  <si>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</si>
  <si>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</si>
  <si>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</si>
  <si>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</si>
  <si>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</si>
  <si>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</si>
  <si>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</si>
  <si>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</si>
  <si>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</si>
  <si>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</si>
  <si>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</si>
  <si>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</si>
  <si>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</si>
  <si>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</si>
  <si>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</si>
  <si>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</si>
  <si>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</si>
  <si>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</si>
  <si>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</si>
  <si>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</si>
  <si>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</si>
  <si>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</si>
  <si>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</si>
  <si>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</si>
  <si>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</si>
  <si>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</si>
  <si>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</si>
  <si>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</si>
  <si>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</si>
  <si>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</si>
  <si>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</si>
  <si>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</si>
  <si>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</si>
  <si>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</si>
  <si>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</si>
  <si>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</si>
  <si>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</si>
  <si>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</si>
  <si>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</si>
  <si>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</si>
  <si>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</si>
  <si>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</si>
  <si>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</si>
  <si>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</si>
  <si>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</si>
  <si>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</si>
  <si>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</si>
  <si>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</si>
  <si>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</si>
  <si>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</si>
  <si>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</si>
  <si>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</si>
  <si>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</si>
  <si>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</si>
  <si>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</si>
  <si>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</si>
  <si>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</si>
  <si>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</si>
  <si>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</si>
  <si>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</si>
  <si>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</si>
  <si>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</si>
  <si>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</si>
  <si>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</si>
  <si>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</si>
  <si>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</si>
  <si>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</si>
  <si>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</si>
  <si>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</si>
  <si>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</si>
  <si>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</si>
  <si>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</si>
  <si>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</si>
  <si>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</si>
  <si>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</si>
  <si>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</si>
  <si>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</si>
  <si>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</si>
  <si>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</si>
  <si>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</si>
  <si>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</si>
  <si>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</si>
  <si>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</si>
  <si>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</si>
  <si>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</si>
  <si>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</si>
  <si>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</si>
  <si>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</si>
  <si>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</si>
  <si>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</si>
  <si>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</si>
  <si>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</si>
  <si>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</si>
  <si>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</si>
  <si>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</si>
  <si>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</si>
  <si>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</si>
  <si>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</si>
  <si>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</si>
  <si>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</si>
  <si>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</si>
  <si>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</si>
  <si>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</si>
  <si>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</si>
  <si>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</si>
  <si>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</si>
  <si>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</si>
  <si>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</si>
  <si>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</si>
  <si>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</si>
  <si>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</si>
  <si>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</si>
  <si>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</si>
  <si>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</si>
  <si>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</si>
  <si>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</si>
  <si>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</si>
  <si>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</si>
  <si>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</si>
  <si>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</si>
  <si>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</si>
  <si>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</si>
  <si>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</si>
  <si>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</si>
  <si>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</si>
  <si>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</si>
  <si>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</si>
  <si>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</si>
  <si>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</si>
  <si>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</si>
  <si>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</si>
  <si>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</si>
  <si>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</si>
  <si>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</si>
  <si>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</si>
  <si>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</si>
  <si>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</si>
  <si>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</si>
  <si>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</si>
  <si>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</si>
  <si>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</si>
  <si>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</si>
  <si>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</si>
  <si>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</si>
  <si>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</si>
  <si>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</si>
  <si>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</si>
  <si>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</si>
  <si>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</si>
  <si>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</si>
  <si>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</si>
  <si>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</si>
  <si>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</si>
  <si>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</si>
  <si>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</si>
  <si>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</si>
  <si>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</si>
  <si>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</si>
  <si>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</si>
  <si>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</si>
  <si>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</si>
  <si>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</si>
  <si>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</si>
  <si>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</si>
  <si>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</si>
  <si>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</si>
  <si>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</si>
  <si>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</si>
  <si>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</si>
  <si>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</si>
  <si>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</si>
  <si>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</si>
  <si>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</si>
  <si>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</si>
  <si>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</si>
  <si>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</si>
  <si>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</si>
  <si>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</si>
  <si>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</si>
  <si>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</si>
  <si>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</si>
  <si>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</si>
  <si>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</si>
  <si>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</si>
  <si>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</si>
  <si>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</si>
  <si>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</si>
  <si>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</si>
  <si>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</si>
  <si>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</si>
  <si>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</si>
  <si>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</si>
  <si>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</si>
  <si>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</si>
  <si>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</si>
  <si>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</si>
  <si>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</si>
  <si>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</si>
  <si>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</si>
  <si>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</si>
  <si>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</si>
  <si>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</si>
  <si>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</si>
  <si>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</si>
  <si>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</si>
  <si>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</si>
  <si>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</si>
  <si>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</si>
  <si>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</si>
  <si>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Earned Revenues</t>
  </si>
  <si>
    <t>Earned part of the Units of Risk</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</si>
  <si>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</si>
  <si>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</si>
  <si>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</si>
  <si>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</si>
  <si>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</si>
  <si>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</si>
  <si>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</si>
  <si>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</si>
  <si>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</si>
  <si>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</si>
  <si>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</si>
  <si>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</si>
  <si>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</si>
  <si>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</si>
  <si>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</si>
  <si>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</si>
  <si>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</si>
  <si>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</si>
  <si>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</si>
  <si>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</si>
  <si>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</si>
  <si>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</si>
  <si>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</si>
  <si>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</si>
  <si>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</si>
  <si>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</si>
  <si>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</si>
  <si>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</si>
  <si>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</si>
  <si>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</si>
  <si>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</si>
  <si>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</si>
  <si>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</si>
  <si>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</si>
  <si>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</si>
  <si>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</si>
  <si>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</si>
  <si>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</si>
  <si>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</si>
  <si>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</si>
  <si>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</si>
  <si>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</si>
  <si>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</si>
  <si>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</si>
  <si>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</si>
  <si>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</si>
  <si>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</si>
  <si>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</si>
  <si>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</si>
  <si>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</si>
  <si>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</si>
  <si>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</si>
  <si>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</si>
  <si>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</si>
  <si>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</si>
  <si>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</si>
  <si>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</si>
  <si>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</si>
  <si>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</si>
  <si>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</si>
  <si>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</si>
  <si>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</si>
  <si>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</si>
  <si>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</si>
  <si>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</si>
  <si>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</si>
  <si>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</si>
  <si>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</si>
  <si>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</si>
  <si>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</si>
  <si>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</si>
  <si>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</si>
  <si>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</si>
  <si>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</si>
  <si>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</si>
  <si>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</si>
  <si>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</si>
  <si>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</si>
  <si>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</si>
  <si>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</si>
  <si>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</si>
  <si>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</si>
  <si>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</si>
  <si>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</si>
  <si>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</si>
  <si>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</si>
  <si>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</si>
  <si>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</si>
  <si>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</si>
  <si>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</si>
  <si>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</si>
  <si>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</si>
  <si>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</si>
  <si>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</si>
  <si>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</si>
  <si>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</si>
  <si>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</si>
  <si>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TICKETMASTER NEW ZEALAND</t>
  </si>
  <si>
    <t>TRIPCOVER CARS NEW ZEALAND</t>
  </si>
  <si>
    <t>STA Total</t>
  </si>
  <si>
    <t>STA NZTI</t>
  </si>
  <si>
    <t>Direct Insurance (B2C) Corporate</t>
  </si>
  <si>
    <t>Direct Insurance (B2C) Retail</t>
  </si>
  <si>
    <t>worldcare.co.nz</t>
  </si>
  <si>
    <t>Ticket Insurance</t>
  </si>
  <si>
    <t>CDW</t>
  </si>
  <si>
    <t>Travel Insurance</t>
  </si>
  <si>
    <t>No</t>
  </si>
  <si>
    <t>Yes</t>
  </si>
  <si>
    <t>This is the country for the row. Most BU's will have a single country matching their Business Unit code</t>
  </si>
  <si>
    <t>Country</t>
  </si>
  <si>
    <t>Identifier to pull in results from Data tab</t>
  </si>
  <si>
    <t>LOB 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</si>
</sst>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7">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xf numFmtId="0" fontId="7" fillId="5" borderId="15" xfId="2" applyFont="1" applyFill="1" applyBorder="1"/>
    <xf numFmtId="0" fontId="7" fillId="5" borderId="22" xfId="2" applyFont="1" applyFill="1" applyBorder="1"/>
    <xf numFmtId="164" fontId="7" fillId="5" borderId="20" xfId="2" applyNumberFormat="1" applyFont="1" applyFill="1" applyBorder="1" applyAlignment="1">
      <alignment vertical="center"/>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election activeCell="B42" sqref="B42"/>
    </sheetView>
  </sheetViews>
  <sheetFormatPr defaultRowHeight="15" x14ac:dyDescent="0.25"/>
  <cols>
    <col min="1" max="1" width="24.7109375" bestFit="1" customWidth="1"/>
    <col min="2" max="2" width="55.7109375" customWidth="1"/>
    <col min="3" max="3" width="50.7109375" customWidth="1"/>
  </cols>
  <sheetData>
    <row r="1" spans="1:3" ht="37.5" x14ac:dyDescent="0.25">
      <c r="A1" s="108" t="s">
        <v>346</v>
      </c>
    </row>
    <row r="2" spans="1:3" ht="18.75" x14ac:dyDescent="0.25">
      <c r="A2" s="106" t="s">
        <v>347</v>
      </c>
    </row>
    <row r="3" spans="1:3" ht="18.75" x14ac:dyDescent="0.25">
      <c r="A3" s="106" t="s">
        <v>348</v>
      </c>
    </row>
    <row r="4" spans="1:3" ht="18.75" x14ac:dyDescent="0.25">
      <c r="A4" s="106" t="s">
        <v>352</v>
      </c>
    </row>
    <row r="5" spans="1:3" ht="19.5" thickBot="1" x14ac:dyDescent="0.3">
      <c r="A5" s="107" t="s">
        <v>353</v>
      </c>
    </row>
    <row r="8" spans="1:3" ht="19.5" thickBot="1" x14ac:dyDescent="0.35">
      <c r="A8" s="38" t="s">
        <v>345</v>
      </c>
    </row>
    <row r="9" spans="1:3" ht="15.75" thickBot="1" x14ac:dyDescent="0.3">
      <c r="A9" s="102" t="s">
        <v>293</v>
      </c>
      <c r="B9" s="39" t="s">
        <v>314</v>
      </c>
      <c r="C9" s="40" t="s">
        <v>164</v>
      </c>
    </row>
    <row r="10" spans="1:3" ht="30" x14ac:dyDescent="0.25">
      <c r="A10" s="103">
        <v>1</v>
      </c>
      <c r="B10" s="44" t="s">
        <v>317</v>
      </c>
      <c r="C10" s="41" t="s">
        <v>318</v>
      </c>
    </row>
    <row r="11" spans="1:3" ht="90" x14ac:dyDescent="0.25">
      <c r="A11" s="103">
        <v>2</v>
      </c>
      <c r="B11" s="44" t="s">
        <v>133</v>
      </c>
      <c r="C11" s="41" t="s">
        <v>333</v>
      </c>
    </row>
    <row r="12" spans="1:3" ht="135" x14ac:dyDescent="0.25">
      <c r="A12" s="103">
        <v>3</v>
      </c>
      <c r="B12" s="44" t="s">
        <v>354</v>
      </c>
      <c r="C12" s="41" t="s">
        <v>380</v>
      </c>
    </row>
    <row r="13" spans="1:3" ht="60" x14ac:dyDescent="0.25">
      <c r="A13" s="103">
        <v>4</v>
      </c>
      <c r="B13" s="44" t="s">
        <v>294</v>
      </c>
      <c r="C13" s="41" t="s">
        <v>320</v>
      </c>
    </row>
    <row r="14" spans="1:3" ht="60" x14ac:dyDescent="0.25">
      <c r="A14" s="104">
        <v>5</v>
      </c>
      <c r="B14" s="45" t="s">
        <v>316</v>
      </c>
      <c r="C14" s="42" t="s">
        <v>319</v>
      </c>
    </row>
    <row r="15" spans="1:3" ht="45" x14ac:dyDescent="0.25">
      <c r="A15" s="104">
        <v>6</v>
      </c>
      <c r="B15" s="45" t="s">
        <v>315</v>
      </c>
      <c r="C15" s="42" t="s">
        <v>295</v>
      </c>
    </row>
    <row r="16" spans="1:3" ht="45" x14ac:dyDescent="0.25">
      <c r="A16" s="104" t="s">
        <v>330</v>
      </c>
      <c r="B16" s="45" t="s">
        <v>296</v>
      </c>
      <c r="C16" s="42" t="s">
        <v>297</v>
      </c>
    </row>
    <row r="17" spans="1:3" ht="45" x14ac:dyDescent="0.25">
      <c r="A17" s="104" t="s">
        <v>331</v>
      </c>
      <c r="B17" s="45" t="s">
        <v>298</v>
      </c>
      <c r="C17" s="42" t="s">
        <v>299</v>
      </c>
    </row>
    <row r="18" spans="1:3" ht="45" x14ac:dyDescent="0.25">
      <c r="A18" s="104" t="s">
        <v>332</v>
      </c>
      <c r="B18" s="45" t="s">
        <v>300</v>
      </c>
      <c r="C18" s="42" t="s">
        <v>301</v>
      </c>
    </row>
    <row r="19" spans="1:3" ht="120.75" thickBot="1" x14ac:dyDescent="0.3">
      <c r="A19" s="105">
        <v>8</v>
      </c>
      <c r="B19" s="46" t="s">
        <v>343</v>
      </c>
      <c r="C19" s="43" t="s">
        <v>344</v>
      </c>
    </row>
    <row r="20" spans="1:3" x14ac:dyDescent="0.25">
      <c r="A20" s="57"/>
      <c r="B20" s="58"/>
      <c r="C20" s="58"/>
    </row>
    <row r="22" spans="1:3" ht="19.5" thickBot="1" x14ac:dyDescent="0.35">
      <c r="A22" s="38" t="s">
        <v>349</v>
      </c>
    </row>
    <row r="23" spans="1:3" ht="15.75" thickBot="1" x14ac:dyDescent="0.3">
      <c r="A23" s="51" t="s">
        <v>302</v>
      </c>
      <c r="B23" s="47" t="s">
        <v>164</v>
      </c>
    </row>
    <row r="24" spans="1:3" x14ac:dyDescent="0.25">
      <c r="A24" s="52" t="s">
        <v>303</v>
      </c>
      <c r="B24" s="48" t="s">
        <v>306</v>
      </c>
    </row>
    <row r="25" spans="1:3" x14ac:dyDescent="0.25">
      <c r="A25" s="53" t="s">
        <v>305</v>
      </c>
      <c r="B25" s="49" t="s">
        <v>308</v>
      </c>
    </row>
    <row r="26" spans="1:3" x14ac:dyDescent="0.25">
      <c r="A26" s="53" t="s">
        <v>307</v>
      </c>
      <c r="B26" s="49" t="s">
        <v>310</v>
      </c>
    </row>
    <row r="27" spans="1:3" x14ac:dyDescent="0.25">
      <c r="A27" s="53" t="s">
        <v>309</v>
      </c>
      <c r="B27" s="49" t="s">
        <v>304</v>
      </c>
    </row>
    <row r="28" spans="1:3" ht="15.75" thickBot="1" x14ac:dyDescent="0.3">
      <c r="A28" s="54" t="s">
        <v>311</v>
      </c>
      <c r="B28" s="50" t="s">
        <v>312</v>
      </c>
    </row>
    <row r="29" spans="1:3" x14ac:dyDescent="0.25">
      <c r="A29" s="59"/>
      <c r="B29" s="59"/>
    </row>
    <row r="31" spans="1:3" ht="19.5" thickBot="1" x14ac:dyDescent="0.35">
      <c r="A31" s="38" t="s">
        <v>350</v>
      </c>
    </row>
    <row r="32" spans="1:3" ht="15.75" thickBot="1" x14ac:dyDescent="0.3">
      <c r="A32" s="51" t="s">
        <v>313</v>
      </c>
      <c r="B32" s="47" t="s">
        <v>164</v>
      </c>
    </row>
    <row r="33" spans="1:2" x14ac:dyDescent="0.25">
      <c r="A33" s="56"/>
      <c r="B33" s="48" t="s">
        <v>263</v>
      </c>
    </row>
    <row r="34" spans="1:2" ht="15.75" thickBot="1" x14ac:dyDescent="0.3">
      <c r="A34" s="55"/>
      <c r="B34" s="50" t="s">
        <v>264</v>
      </c>
    </row>
    <row r="37" spans="1:2" ht="19.5" thickBot="1" x14ac:dyDescent="0.35">
      <c r="A37" s="38" t="s">
        <v>351</v>
      </c>
    </row>
    <row r="38" spans="1:2" ht="15.75" thickBot="1" x14ac:dyDescent="0.3">
      <c r="A38" s="51" t="s">
        <v>329</v>
      </c>
      <c r="B38" s="47" t="s">
        <v>323</v>
      </c>
    </row>
    <row r="39" spans="1:2" x14ac:dyDescent="0.25">
      <c r="A39" s="101" t="s">
        <v>26</v>
      </c>
      <c r="B39" s="96" t="s">
        <v>324</v>
      </c>
    </row>
    <row r="40" spans="1:2" x14ac:dyDescent="0.25">
      <c r="A40" s="100" t="s">
        <v>27</v>
      </c>
      <c r="B40" s="97" t="s">
        <v>325</v>
      </c>
    </row>
    <row r="41" spans="1:2" ht="30" x14ac:dyDescent="0.25">
      <c r="A41" s="100" t="s">
        <v>39</v>
      </c>
      <c r="B41" s="42" t="s">
        <v>326</v>
      </c>
    </row>
    <row r="42" spans="1:2" ht="255.75" thickBot="1" x14ac:dyDescent="0.3">
      <c r="A42" s="99" t="s">
        <v>327</v>
      </c>
      <c r="B42" s="98" t="s">
        <v>328</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N11"/>
  <sheetViews>
    <sheetView tabSelected="1" zoomScale="80" zoomScaleNormal="80" workbookViewId="0">
      <pane ySplit="4" topLeftCell="A5" activePane="bottomLeft" state="frozen"/>
      <selection pane="bottomLeft" activeCell="N13" sqref="N13"/>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3.140625" bestFit="1" customWidth="1"/>
    <col min="7" max="7" width="14.42578125" bestFit="1"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34.85546875" bestFit="1" customWidth="1"/>
    <col min="18" max="18" width="51.140625" bestFit="1" customWidth="1"/>
    <col min="19" max="19" width="29.85546875" bestFit="1" customWidth="1"/>
    <col min="20" max="20" width="10.85546875" customWidth="1"/>
    <col min="21" max="21" width="27.710937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12"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327</v>
      </c>
      <c r="R1" s="9" t="s">
        <v>327</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91</v>
      </c>
      <c r="B2" s="13"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6" ht="102" thickBot="1" x14ac:dyDescent="0.3">
      <c r="A3" s="14" t="s">
        <v>36</v>
      </c>
      <c r="B3" s="23" t="s">
        <v>393</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334</v>
      </c>
      <c r="AD3" s="21" t="s">
        <v>335</v>
      </c>
      <c r="AE3" s="23" t="s">
        <v>278</v>
      </c>
      <c r="AF3" s="17" t="s">
        <v>283</v>
      </c>
      <c r="AG3" s="17" t="s">
        <v>336</v>
      </c>
      <c r="AH3" s="21" t="s">
        <v>337</v>
      </c>
      <c r="AI3" s="16" t="s">
        <v>30</v>
      </c>
      <c r="AJ3" s="17" t="s">
        <v>31</v>
      </c>
      <c r="AK3" s="17" t="s">
        <v>169</v>
      </c>
      <c r="AL3" s="15" t="s">
        <v>84</v>
      </c>
      <c r="AM3" s="16" t="s">
        <v>173</v>
      </c>
      <c r="AN3" s="16" t="s">
        <v>148</v>
      </c>
      <c r="AO3" s="16" t="s">
        <v>149</v>
      </c>
      <c r="AP3" s="16" t="s">
        <v>151</v>
      </c>
      <c r="AQ3" s="17" t="s">
        <v>338</v>
      </c>
      <c r="AR3" s="17" t="s">
        <v>339</v>
      </c>
      <c r="AS3" s="15" t="s">
        <v>340</v>
      </c>
      <c r="AT3" s="16" t="s">
        <v>32</v>
      </c>
      <c r="AU3" s="17" t="s">
        <v>33</v>
      </c>
      <c r="AV3" s="17" t="s">
        <v>34</v>
      </c>
      <c r="AW3" s="17" t="s">
        <v>35</v>
      </c>
      <c r="AX3" s="15" t="s">
        <v>83</v>
      </c>
      <c r="AY3" s="16" t="s">
        <v>275</v>
      </c>
      <c r="AZ3" s="17" t="s">
        <v>276</v>
      </c>
      <c r="BA3" s="15" t="s">
        <v>96</v>
      </c>
      <c r="BB3" s="16" t="s">
        <v>292</v>
      </c>
      <c r="BC3" s="17" t="s">
        <v>268</v>
      </c>
      <c r="BD3" s="21" t="s">
        <v>291</v>
      </c>
      <c r="BE3" s="16" t="s">
        <v>290</v>
      </c>
      <c r="BF3" s="17" t="s">
        <v>269</v>
      </c>
      <c r="BG3" s="15" t="s">
        <v>289</v>
      </c>
      <c r="BH3" s="16" t="s">
        <v>288</v>
      </c>
      <c r="BI3" s="17" t="s">
        <v>287</v>
      </c>
      <c r="BJ3" s="17" t="s">
        <v>286</v>
      </c>
      <c r="BK3" s="15" t="s">
        <v>285</v>
      </c>
      <c r="BL3" s="23" t="s">
        <v>284</v>
      </c>
      <c r="BM3" s="28" t="s">
        <v>156</v>
      </c>
    </row>
    <row r="4" spans="1:66" ht="45.75" thickBot="1" x14ac:dyDescent="0.3">
      <c r="A4" s="1" t="s">
        <v>66</v>
      </c>
      <c r="B4" s="22" t="s">
        <v>394</v>
      </c>
      <c r="C4" s="22" t="s">
        <v>166</v>
      </c>
      <c r="D4" s="3" t="s">
        <v>37</v>
      </c>
      <c r="E4" s="2" t="s">
        <v>142</v>
      </c>
      <c r="F4" s="2" t="s">
        <v>143</v>
      </c>
      <c r="G4" s="4" t="s">
        <v>145</v>
      </c>
      <c r="H4" s="4" t="s">
        <v>131</v>
      </c>
      <c r="I4" s="4" t="s">
        <v>129</v>
      </c>
      <c r="J4" s="4" t="s">
        <v>0</v>
      </c>
      <c r="K4" s="2" t="s">
        <v>85</v>
      </c>
      <c r="L4" s="3" t="s">
        <v>87</v>
      </c>
      <c r="M4" s="4" t="s">
        <v>137</v>
      </c>
      <c r="N4" s="4" t="s">
        <v>2</v>
      </c>
      <c r="O4" s="4" t="s">
        <v>118</v>
      </c>
      <c r="P4" s="4" t="s">
        <v>396</v>
      </c>
      <c r="Q4" s="2" t="s">
        <v>3</v>
      </c>
      <c r="R4" s="3" t="s">
        <v>99</v>
      </c>
      <c r="S4" s="4" t="s">
        <v>157</v>
      </c>
      <c r="T4" s="2" t="s">
        <v>158</v>
      </c>
      <c r="U4" s="2" t="s">
        <v>20</v>
      </c>
      <c r="V4" s="2" t="s">
        <v>21</v>
      </c>
      <c r="W4" s="2" t="s">
        <v>135</v>
      </c>
      <c r="X4" s="2" t="s">
        <v>266</v>
      </c>
      <c r="Y4" s="2" t="s">
        <v>262</v>
      </c>
      <c r="Z4" s="18" t="s">
        <v>265</v>
      </c>
      <c r="AA4" s="4" t="s">
        <v>122</v>
      </c>
      <c r="AB4" s="2" t="s">
        <v>123</v>
      </c>
      <c r="AC4" s="2" t="s">
        <v>342</v>
      </c>
      <c r="AD4" s="18" t="s">
        <v>280</v>
      </c>
      <c r="AE4" s="22" t="s">
        <v>277</v>
      </c>
      <c r="AF4" s="2" t="s">
        <v>124</v>
      </c>
      <c r="AG4" s="2" t="s">
        <v>341</v>
      </c>
      <c r="AH4" s="18" t="s">
        <v>282</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321</v>
      </c>
      <c r="BE4" s="4" t="s">
        <v>90</v>
      </c>
      <c r="BF4" s="2" t="s">
        <v>273</v>
      </c>
      <c r="BG4" s="18" t="s">
        <v>322</v>
      </c>
      <c r="BH4" s="4" t="s">
        <v>12</v>
      </c>
      <c r="BI4" s="2" t="s">
        <v>13</v>
      </c>
      <c r="BJ4" s="2" t="s">
        <v>14</v>
      </c>
      <c r="BK4" s="3" t="s">
        <v>15</v>
      </c>
      <c r="BL4" s="22" t="s">
        <v>82</v>
      </c>
      <c r="BM4" s="31" t="s">
        <v>10</v>
      </c>
      <c r="BN4" t="s">
        <v>395</v>
      </c>
    </row>
    <row r="5" spans="1:66" x14ac:dyDescent="0.25">
      <c r="A5" s="61" t="s">
        <v>55</v>
      </c>
      <c r="B5" s="62" t="s">
        <v>55</v>
      </c>
      <c r="C5" s="62" t="s">
        <v>192</v>
      </c>
      <c r="D5" s="63" t="s">
        <v>69</v>
      </c>
      <c r="E5" s="64">
        <v>43556</v>
      </c>
      <c r="F5" s="64">
        <v>43921</v>
      </c>
      <c r="G5" s="65">
        <v>43978</v>
      </c>
      <c r="H5" s="66" t="str">
        <f t="shared" ref="H5:H6" si="0">IF(F5="","",IF(F5="","",IF((F5-E5+1)&gt;360,"Most Recently 12 Months","Year To Date")))</f>
        <v>Most Recently 12 Months</v>
      </c>
      <c r="I5" s="67">
        <f t="shared" ref="I5:I6" si="1">IF(F5="","",ROUND((F5-E5+1)/(((365*3+366)/4)/12),0))</f>
        <v>12</v>
      </c>
      <c r="J5" s="68">
        <f t="shared" ref="J5:J6" si="2">IF(F5="","",YEAR(F5))</f>
        <v>2020</v>
      </c>
      <c r="K5" s="69">
        <f t="shared" ref="K5:K6" si="3">IF(F5="","",CEILING(L5/3,1))</f>
        <v>1</v>
      </c>
      <c r="L5" s="70">
        <f t="shared" ref="L5:L6" si="4">IF(F5="","",MONTH(F5))</f>
        <v>3</v>
      </c>
      <c r="M5" s="71" t="s">
        <v>140</v>
      </c>
      <c r="N5" s="71" t="s">
        <v>162</v>
      </c>
      <c r="O5" s="71" t="s">
        <v>114</v>
      </c>
      <c r="P5" s="71"/>
      <c r="Q5" s="61" t="s">
        <v>79</v>
      </c>
      <c r="R5" s="63" t="s">
        <v>113</v>
      </c>
      <c r="S5" s="72" t="s">
        <v>381</v>
      </c>
      <c r="T5" s="61"/>
      <c r="U5" s="73" t="s">
        <v>388</v>
      </c>
      <c r="V5" s="62"/>
      <c r="W5" s="73" t="s">
        <v>388</v>
      </c>
      <c r="X5" s="114" t="s">
        <v>391</v>
      </c>
      <c r="Y5" s="93">
        <v>1</v>
      </c>
      <c r="Z5" s="94">
        <v>1</v>
      </c>
      <c r="AA5" s="74">
        <v>214908</v>
      </c>
      <c r="AB5" s="75">
        <v>215319</v>
      </c>
      <c r="AC5" s="75">
        <v>701831.77</v>
      </c>
      <c r="AD5" s="76">
        <v>701831.77</v>
      </c>
      <c r="AE5" s="77"/>
      <c r="AF5" s="75"/>
      <c r="AG5" s="78">
        <v>866939.97999999975</v>
      </c>
      <c r="AH5" s="79">
        <v>866939.97999999975</v>
      </c>
      <c r="AI5" s="116">
        <v>387206.18999996269</v>
      </c>
      <c r="AJ5" s="75">
        <v>0</v>
      </c>
      <c r="AK5" s="75">
        <v>0</v>
      </c>
      <c r="AL5" s="80">
        <f t="shared" ref="AL5:AL6" si="5">SUM(AI5:AK5)</f>
        <v>387206.18999996269</v>
      </c>
      <c r="AM5" s="74">
        <v>562</v>
      </c>
      <c r="AN5" s="74">
        <v>21</v>
      </c>
      <c r="AO5" s="81">
        <f t="shared" ref="AO5:AO6" si="6">IFERROR(AN5/AM5,"")</f>
        <v>3.7366548042704624E-2</v>
      </c>
      <c r="AP5" s="82"/>
      <c r="AQ5" s="75">
        <v>123958.28999999995</v>
      </c>
      <c r="AR5" s="75">
        <v>51369.196199999998</v>
      </c>
      <c r="AS5" s="80">
        <f t="shared" ref="AS5:AS6" si="7">SUM(AQ5:AR5)</f>
        <v>175327.48619999996</v>
      </c>
      <c r="AT5" s="74">
        <v>111401.78742999997</v>
      </c>
      <c r="AU5" s="75">
        <v>22540.439479999994</v>
      </c>
      <c r="AV5" s="75">
        <v>78024.598199999979</v>
      </c>
      <c r="AW5" s="75">
        <v>30776.369289999988</v>
      </c>
      <c r="AX5" s="80">
        <f t="shared" ref="AX5:AX6" si="8">SUM(AT5:AW5)</f>
        <v>242743.19439999992</v>
      </c>
      <c r="AY5" s="81" t="str">
        <f t="shared" ref="AY5:AY6" si="9">IFERROR(AP5/AF5,"")</f>
        <v/>
      </c>
      <c r="AZ5" s="83" t="str">
        <f t="shared" ref="AZ5:AZ6" si="10">IFERROR(AS5/AP5,"")</f>
        <v/>
      </c>
      <c r="BA5" s="80" t="str">
        <f t="shared" ref="BA5:BA6" si="11">IFERROR(AY5*AZ5,"")</f>
        <v/>
      </c>
      <c r="BB5" s="84">
        <f t="shared" ref="BB5:BB6" si="12">AG5-SUM(AL5,AS5:AU5,AW5)</f>
        <v>139687.70760003722</v>
      </c>
      <c r="BC5" s="85">
        <f t="shared" ref="BC5:BC6" si="13">IFERROR(BB5/AV5,"")</f>
        <v>1.7903034533029771</v>
      </c>
      <c r="BD5" s="86">
        <f t="shared" ref="BD5:BD6" si="14">IFERROR(BB5/AG5,"")</f>
        <v>0.16112731079726794</v>
      </c>
      <c r="BE5" s="84">
        <f t="shared" ref="BE5:BE6" si="15">AG5-SUM(AL5,AS5:AU5)</f>
        <v>170464.07689003716</v>
      </c>
      <c r="BF5" s="87">
        <f t="shared" ref="BF5:BF6" si="16">IFERROR(BE5/SUM(AV5:AW5),"")</f>
        <v>1.5667514804563178</v>
      </c>
      <c r="BG5" s="88">
        <f t="shared" ref="BG5:BG6" si="17">IFERROR(BE5/AG5,"")</f>
        <v>0.19662731079726789</v>
      </c>
      <c r="BH5" s="89">
        <f t="shared" ref="BH5:BH6" si="18">IFERROR(AS5/AG5,"")</f>
        <v>0.20223716779101594</v>
      </c>
      <c r="BI5" s="90">
        <f t="shared" ref="BI5:BI6" si="19">IFERROR(AL5/AG5,"")</f>
        <v>0.4466355214117162</v>
      </c>
      <c r="BJ5" s="90">
        <f t="shared" ref="BJ5:BJ6" si="20">IFERROR(AX5/AG5,"")</f>
        <v>0.27999999999999997</v>
      </c>
      <c r="BK5" s="91">
        <f t="shared" ref="BK5:BK6" si="21">SUM(BH5:BJ5)</f>
        <v>0.92887268920273214</v>
      </c>
      <c r="BL5" s="92">
        <f t="shared" ref="BL5:BL6" si="22">AG5-SUM(AL5,AS5,AX5)</f>
        <v>61663.10940003721</v>
      </c>
      <c r="BM5" s="95"/>
    </row>
    <row r="6" spans="1:66" x14ac:dyDescent="0.25">
      <c r="A6" s="61" t="s">
        <v>55</v>
      </c>
      <c r="B6" s="62" t="s">
        <v>55</v>
      </c>
      <c r="C6" s="62" t="s">
        <v>192</v>
      </c>
      <c r="D6" s="63" t="s">
        <v>69</v>
      </c>
      <c r="E6" s="64">
        <v>43556</v>
      </c>
      <c r="F6" s="64">
        <v>43921</v>
      </c>
      <c r="G6" s="65">
        <v>43978</v>
      </c>
      <c r="H6" s="66" t="str">
        <f t="shared" si="0"/>
        <v>Most Recently 12 Months</v>
      </c>
      <c r="I6" s="67">
        <f t="shared" si="1"/>
        <v>12</v>
      </c>
      <c r="J6" s="68">
        <f t="shared" si="2"/>
        <v>2020</v>
      </c>
      <c r="K6" s="69">
        <f t="shared" si="3"/>
        <v>1</v>
      </c>
      <c r="L6" s="70">
        <f t="shared" si="4"/>
        <v>3</v>
      </c>
      <c r="M6" s="71" t="s">
        <v>140</v>
      </c>
      <c r="N6" s="71" t="s">
        <v>162</v>
      </c>
      <c r="O6" s="71" t="s">
        <v>114</v>
      </c>
      <c r="P6" s="71"/>
      <c r="Q6" s="61" t="s">
        <v>373</v>
      </c>
      <c r="R6" s="63" t="s">
        <v>165</v>
      </c>
      <c r="S6" s="72" t="s">
        <v>382</v>
      </c>
      <c r="T6" s="61"/>
      <c r="U6" s="73" t="s">
        <v>389</v>
      </c>
      <c r="V6" s="62"/>
      <c r="W6" s="73" t="s">
        <v>389</v>
      </c>
      <c r="X6" s="114" t="s">
        <v>392</v>
      </c>
      <c r="Y6" s="93">
        <v>1</v>
      </c>
      <c r="Z6" s="94">
        <v>1</v>
      </c>
      <c r="AA6" s="74">
        <v>1177</v>
      </c>
      <c r="AB6" s="75">
        <v>1255</v>
      </c>
      <c r="AC6" s="75">
        <v>129919.16</v>
      </c>
      <c r="AD6" s="76">
        <v>129919.16</v>
      </c>
      <c r="AE6" s="77"/>
      <c r="AF6" s="75"/>
      <c r="AG6" s="78">
        <v>133632.81986264526</v>
      </c>
      <c r="AH6" s="79">
        <v>133632.81986264526</v>
      </c>
      <c r="AI6" s="116">
        <v>33724.821486125707</v>
      </c>
      <c r="AJ6" s="75">
        <v>0</v>
      </c>
      <c r="AK6" s="75">
        <v>0</v>
      </c>
      <c r="AL6" s="80">
        <f t="shared" si="5"/>
        <v>33724.821486125707</v>
      </c>
      <c r="AM6" s="74">
        <v>36</v>
      </c>
      <c r="AN6" s="74">
        <v>2</v>
      </c>
      <c r="AO6" s="81">
        <f t="shared" si="6"/>
        <v>5.5555555555555552E-2</v>
      </c>
      <c r="AP6" s="82"/>
      <c r="AQ6" s="75">
        <v>25022.14</v>
      </c>
      <c r="AR6" s="75">
        <v>13663.6896</v>
      </c>
      <c r="AS6" s="80">
        <f t="shared" si="7"/>
        <v>38685.829599999997</v>
      </c>
      <c r="AT6" s="74">
        <v>17171.817352349917</v>
      </c>
      <c r="AU6" s="75">
        <v>3474.4533164287768</v>
      </c>
      <c r="AV6" s="75">
        <v>12026.953787638073</v>
      </c>
      <c r="AW6" s="75">
        <v>4743.9651051239061</v>
      </c>
      <c r="AX6" s="80">
        <f t="shared" si="8"/>
        <v>37417.189561540668</v>
      </c>
      <c r="AY6" s="81" t="str">
        <f t="shared" si="9"/>
        <v/>
      </c>
      <c r="AZ6" s="83" t="str">
        <f t="shared" si="10"/>
        <v/>
      </c>
      <c r="BA6" s="80" t="str">
        <f t="shared" si="11"/>
        <v/>
      </c>
      <c r="BB6" s="84">
        <f t="shared" si="12"/>
        <v>35831.933002616977</v>
      </c>
      <c r="BC6" s="85">
        <f t="shared" si="13"/>
        <v>2.9793024597339768</v>
      </c>
      <c r="BD6" s="86">
        <f t="shared" si="14"/>
        <v>0.26813722137605789</v>
      </c>
      <c r="BE6" s="84">
        <f t="shared" si="15"/>
        <v>40575.898107740883</v>
      </c>
      <c r="BF6" s="87">
        <f t="shared" si="16"/>
        <v>2.4194200906458794</v>
      </c>
      <c r="BG6" s="88">
        <f t="shared" si="17"/>
        <v>0.30363722137605786</v>
      </c>
      <c r="BH6" s="89">
        <f t="shared" si="18"/>
        <v>0.289493476525926</v>
      </c>
      <c r="BI6" s="90">
        <f t="shared" si="19"/>
        <v>0.25236930209801622</v>
      </c>
      <c r="BJ6" s="90">
        <f t="shared" si="20"/>
        <v>0.27999999999999997</v>
      </c>
      <c r="BK6" s="91">
        <f t="shared" si="21"/>
        <v>0.8218627786239423</v>
      </c>
      <c r="BL6" s="92">
        <f t="shared" si="22"/>
        <v>23804.979214978899</v>
      </c>
      <c r="BM6" s="95"/>
    </row>
    <row r="7" spans="1:66" x14ac:dyDescent="0.25">
      <c r="A7" s="61" t="s">
        <v>55</v>
      </c>
      <c r="B7" s="62" t="s">
        <v>55</v>
      </c>
      <c r="C7" s="62" t="s">
        <v>192</v>
      </c>
      <c r="D7" s="63" t="s">
        <v>69</v>
      </c>
      <c r="E7" s="64">
        <v>43556</v>
      </c>
      <c r="F7" s="64">
        <v>43921</v>
      </c>
      <c r="G7" s="65">
        <v>43978</v>
      </c>
      <c r="H7" s="66" t="str">
        <f t="shared" ref="H7:H11" si="23">IF(F7="","",IF(F7="","",IF((F7-E7+1)&gt;360,"Most Recently 12 Months","Year To Date")))</f>
        <v>Most Recently 12 Months</v>
      </c>
      <c r="I7" s="67">
        <f t="shared" ref="I7:I11" si="24">IF(F7="","",ROUND((F7-E7+1)/(((365*3+366)/4)/12),0))</f>
        <v>12</v>
      </c>
      <c r="J7" s="68">
        <f t="shared" ref="J7:J11" si="25">IF(F7="","",YEAR(F7))</f>
        <v>2020</v>
      </c>
      <c r="K7" s="69">
        <f t="shared" ref="K7:K11" si="26">IF(F7="","",CEILING(L7/3,1))</f>
        <v>1</v>
      </c>
      <c r="L7" s="70">
        <f t="shared" ref="L7:L11" si="27">IF(F7="","",MONTH(F7))</f>
        <v>3</v>
      </c>
      <c r="M7" s="71" t="s">
        <v>140</v>
      </c>
      <c r="N7" s="71" t="s">
        <v>162</v>
      </c>
      <c r="O7" s="71" t="s">
        <v>114</v>
      </c>
      <c r="P7" s="71" t="s">
        <v>102</v>
      </c>
      <c r="Q7" s="61" t="s">
        <v>17</v>
      </c>
      <c r="R7" s="63"/>
      <c r="S7" s="72" t="s">
        <v>383</v>
      </c>
      <c r="T7" s="61"/>
      <c r="U7" s="73" t="s">
        <v>390</v>
      </c>
      <c r="V7" s="62"/>
      <c r="W7" s="73" t="s">
        <v>390</v>
      </c>
      <c r="X7" s="114" t="s">
        <v>391</v>
      </c>
      <c r="Y7" s="93">
        <v>1</v>
      </c>
      <c r="Z7" s="94">
        <v>1</v>
      </c>
      <c r="AA7" s="74">
        <v>7756</v>
      </c>
      <c r="AB7" s="75">
        <v>51605</v>
      </c>
      <c r="AC7" s="75">
        <v>2602812.560000001</v>
      </c>
      <c r="AD7" s="76">
        <v>2602812.560000001</v>
      </c>
      <c r="AE7" s="77"/>
      <c r="AF7" s="75"/>
      <c r="AG7" s="78">
        <v>3122211.1700135921</v>
      </c>
      <c r="AH7" s="79">
        <v>3122211.1700135921</v>
      </c>
      <c r="AI7" s="116">
        <v>771491.41126180801</v>
      </c>
      <c r="AJ7" s="75">
        <v>0</v>
      </c>
      <c r="AK7" s="75">
        <v>0</v>
      </c>
      <c r="AL7" s="80">
        <f t="shared" ref="AL7:AL11" si="28">SUM(AI7:AK7)</f>
        <v>771491.41126180801</v>
      </c>
      <c r="AM7" s="74">
        <v>1141</v>
      </c>
      <c r="AN7" s="74">
        <v>156</v>
      </c>
      <c r="AO7" s="81">
        <f t="shared" ref="AO7:AO11" si="29">IFERROR(AN7/AM7,"")</f>
        <v>0.13672217353198948</v>
      </c>
      <c r="AP7" s="82"/>
      <c r="AQ7" s="75">
        <v>652940.74000000081</v>
      </c>
      <c r="AR7" s="75">
        <v>435815.08360000007</v>
      </c>
      <c r="AS7" s="80">
        <f t="shared" ref="AS7:AS11" si="30">SUM(AQ7:AR7)</f>
        <v>1088755.8236000009</v>
      </c>
      <c r="AT7" s="74">
        <v>401204.1353467466</v>
      </c>
      <c r="AU7" s="75">
        <v>81177.490420353395</v>
      </c>
      <c r="AV7" s="75">
        <v>280999.00530122325</v>
      </c>
      <c r="AW7" s="75">
        <v>110838.49653548251</v>
      </c>
      <c r="AX7" s="80">
        <f t="shared" ref="AX7:AX11" si="31">SUM(AT7:AW7)</f>
        <v>874219.12760380574</v>
      </c>
      <c r="AY7" s="81" t="str">
        <f t="shared" ref="AY7:AY11" si="32">IFERROR(AP7/AF7,"")</f>
        <v/>
      </c>
      <c r="AZ7" s="83" t="str">
        <f t="shared" ref="AZ7:AZ11" si="33">IFERROR(AS7/AP7,"")</f>
        <v/>
      </c>
      <c r="BA7" s="80" t="str">
        <f t="shared" ref="BA7:BA11" si="34">IFERROR(AY7*AZ7,"")</f>
        <v/>
      </c>
      <c r="BB7" s="84">
        <f t="shared" ref="BB7:BB11" si="35">AG7-SUM(AL7,AS7:AU7,AW7)</f>
        <v>668743.8128492008</v>
      </c>
      <c r="BC7" s="85">
        <f t="shared" ref="BC7:BC11" si="36">IFERROR(BB7/AV7,"")</f>
        <v>2.3798796445287262</v>
      </c>
      <c r="BD7" s="86">
        <f t="shared" ref="BD7:BD11" si="37">IFERROR(BB7/AG7,"")</f>
        <v>0.21418916800758531</v>
      </c>
      <c r="BE7" s="84">
        <f t="shared" ref="BE7:BE11" si="38">AG7-SUM(AL7,AS7:AU7)</f>
        <v>779582.30938468315</v>
      </c>
      <c r="BF7" s="87">
        <f t="shared" ref="BF7:BF11" si="39">IFERROR(BE7/SUM(AV7:AW7),"")</f>
        <v>1.9895551235664166</v>
      </c>
      <c r="BG7" s="88">
        <f t="shared" ref="BG7:BG11" si="40">IFERROR(BE7/AG7,"")</f>
        <v>0.24968916800758525</v>
      </c>
      <c r="BH7" s="89">
        <f t="shared" ref="BH7:BH11" si="41">IFERROR(AS7/AG7,"")</f>
        <v>0.34871306401586577</v>
      </c>
      <c r="BI7" s="90">
        <f t="shared" ref="BI7:BI11" si="42">IFERROR(AL7/AG7,"")</f>
        <v>0.24709776797654895</v>
      </c>
      <c r="BJ7" s="90">
        <f t="shared" ref="BJ7:BJ11" si="43">IFERROR(AX7/AG7,"")</f>
        <v>0.27999999999999997</v>
      </c>
      <c r="BK7" s="91">
        <f t="shared" ref="BK7:BK11" si="44">SUM(BH7:BJ7)</f>
        <v>0.87581083199241472</v>
      </c>
      <c r="BL7" s="92">
        <f t="shared" ref="BL7:BL11" si="45">AG7-SUM(AL7,AS7,AX7)</f>
        <v>387744.80754797766</v>
      </c>
      <c r="BM7" s="95"/>
    </row>
    <row r="8" spans="1:66" x14ac:dyDescent="0.25">
      <c r="A8" s="61" t="s">
        <v>55</v>
      </c>
      <c r="B8" s="62" t="s">
        <v>55</v>
      </c>
      <c r="C8" s="62" t="s">
        <v>192</v>
      </c>
      <c r="D8" s="63" t="s">
        <v>69</v>
      </c>
      <c r="E8" s="64">
        <v>43556</v>
      </c>
      <c r="F8" s="64">
        <v>43921</v>
      </c>
      <c r="G8" s="65">
        <v>43978</v>
      </c>
      <c r="H8" s="66" t="str">
        <f t="shared" si="23"/>
        <v>Most Recently 12 Months</v>
      </c>
      <c r="I8" s="67">
        <f t="shared" si="24"/>
        <v>12</v>
      </c>
      <c r="J8" s="68">
        <f t="shared" si="25"/>
        <v>2020</v>
      </c>
      <c r="K8" s="69">
        <f t="shared" si="26"/>
        <v>1</v>
      </c>
      <c r="L8" s="70">
        <f t="shared" si="27"/>
        <v>3</v>
      </c>
      <c r="M8" s="71" t="s">
        <v>140</v>
      </c>
      <c r="N8" s="71" t="s">
        <v>18</v>
      </c>
      <c r="O8" s="71" t="s">
        <v>114</v>
      </c>
      <c r="P8" s="71" t="s">
        <v>102</v>
      </c>
      <c r="Q8" s="61" t="s">
        <v>73</v>
      </c>
      <c r="R8" s="63"/>
      <c r="S8" s="72" t="s">
        <v>384</v>
      </c>
      <c r="T8" s="61"/>
      <c r="U8" s="73" t="s">
        <v>390</v>
      </c>
      <c r="V8" s="62"/>
      <c r="W8" s="73" t="s">
        <v>390</v>
      </c>
      <c r="X8" s="114" t="s">
        <v>391</v>
      </c>
      <c r="Y8" s="93">
        <v>1</v>
      </c>
      <c r="Z8" s="94">
        <v>1</v>
      </c>
      <c r="AA8" s="74">
        <v>5383</v>
      </c>
      <c r="AB8" s="75">
        <v>9083</v>
      </c>
      <c r="AC8" s="75">
        <v>1145913.31</v>
      </c>
      <c r="AD8" s="76">
        <v>1145913.31</v>
      </c>
      <c r="AE8" s="77"/>
      <c r="AF8" s="75"/>
      <c r="AG8" s="78">
        <v>1184432.4565371748</v>
      </c>
      <c r="AH8" s="79">
        <v>1184432.4565371748</v>
      </c>
      <c r="AI8" s="116">
        <v>226066.80062354472</v>
      </c>
      <c r="AJ8" s="75">
        <v>0</v>
      </c>
      <c r="AK8" s="75">
        <v>0</v>
      </c>
      <c r="AL8" s="80">
        <f t="shared" si="28"/>
        <v>226066.80062354472</v>
      </c>
      <c r="AM8" s="74">
        <v>644</v>
      </c>
      <c r="AN8" s="74">
        <v>88</v>
      </c>
      <c r="AO8" s="81">
        <f t="shared" si="29"/>
        <v>0.13664596273291926</v>
      </c>
      <c r="AP8" s="82"/>
      <c r="AQ8" s="75">
        <v>1041270.6899999997</v>
      </c>
      <c r="AR8" s="75">
        <v>228948.79859999998</v>
      </c>
      <c r="AS8" s="80">
        <f t="shared" si="30"/>
        <v>1270219.4885999998</v>
      </c>
      <c r="AT8" s="74">
        <v>152199.57066502696</v>
      </c>
      <c r="AU8" s="75">
        <v>30795.243869966544</v>
      </c>
      <c r="AV8" s="75">
        <v>106598.92108834573</v>
      </c>
      <c r="AW8" s="75">
        <v>42047.3522070697</v>
      </c>
      <c r="AX8" s="80">
        <f t="shared" si="31"/>
        <v>331641.08783040888</v>
      </c>
      <c r="AY8" s="81" t="str">
        <f t="shared" si="32"/>
        <v/>
      </c>
      <c r="AZ8" s="83" t="str">
        <f t="shared" si="33"/>
        <v/>
      </c>
      <c r="BA8" s="80" t="str">
        <f t="shared" si="34"/>
        <v/>
      </c>
      <c r="BB8" s="84">
        <f t="shared" si="35"/>
        <v>-536895.99942843313</v>
      </c>
      <c r="BC8" s="85">
        <f t="shared" si="36"/>
        <v>-5.0365988130730814</v>
      </c>
      <c r="BD8" s="86">
        <f t="shared" si="37"/>
        <v>-0.45329389317657731</v>
      </c>
      <c r="BE8" s="84">
        <f t="shared" si="38"/>
        <v>-494848.64722136338</v>
      </c>
      <c r="BF8" s="87">
        <f t="shared" si="39"/>
        <v>-3.329035005391054</v>
      </c>
      <c r="BG8" s="88">
        <f t="shared" si="40"/>
        <v>-0.41779389317657728</v>
      </c>
      <c r="BH8" s="89">
        <f t="shared" si="41"/>
        <v>1.0724288089112597</v>
      </c>
      <c r="BI8" s="90">
        <f t="shared" si="42"/>
        <v>0.19086508426531737</v>
      </c>
      <c r="BJ8" s="90">
        <f t="shared" si="43"/>
        <v>0.27999999999999997</v>
      </c>
      <c r="BK8" s="91">
        <f t="shared" si="44"/>
        <v>1.5432938931765772</v>
      </c>
      <c r="BL8" s="92">
        <f t="shared" si="45"/>
        <v>-643494.92051677871</v>
      </c>
      <c r="BM8" s="95"/>
    </row>
    <row r="9" spans="1:66" x14ac:dyDescent="0.25">
      <c r="A9" s="61" t="s">
        <v>55</v>
      </c>
      <c r="B9" s="62" t="s">
        <v>55</v>
      </c>
      <c r="C9" s="62" t="s">
        <v>192</v>
      </c>
      <c r="D9" s="63" t="s">
        <v>69</v>
      </c>
      <c r="E9" s="64">
        <v>43556</v>
      </c>
      <c r="F9" s="64">
        <v>43921</v>
      </c>
      <c r="G9" s="65">
        <v>43978</v>
      </c>
      <c r="H9" s="66" t="str">
        <f t="shared" si="23"/>
        <v>Most Recently 12 Months</v>
      </c>
      <c r="I9" s="67">
        <f t="shared" si="24"/>
        <v>12</v>
      </c>
      <c r="J9" s="68">
        <f t="shared" si="25"/>
        <v>2020</v>
      </c>
      <c r="K9" s="69">
        <f t="shared" si="26"/>
        <v>1</v>
      </c>
      <c r="L9" s="70">
        <f t="shared" si="27"/>
        <v>3</v>
      </c>
      <c r="M9" s="71" t="s">
        <v>140</v>
      </c>
      <c r="N9" s="71" t="s">
        <v>18</v>
      </c>
      <c r="O9" s="71" t="s">
        <v>78</v>
      </c>
      <c r="P9" s="71" t="s">
        <v>102</v>
      </c>
      <c r="Q9" s="61" t="s">
        <v>117</v>
      </c>
      <c r="R9" s="63"/>
      <c r="S9" s="72" t="s">
        <v>385</v>
      </c>
      <c r="T9" s="61"/>
      <c r="U9" s="73" t="s">
        <v>390</v>
      </c>
      <c r="V9" s="62"/>
      <c r="W9" s="73" t="s">
        <v>390</v>
      </c>
      <c r="X9" s="114" t="s">
        <v>391</v>
      </c>
      <c r="Y9" s="93">
        <v>1</v>
      </c>
      <c r="Z9" s="94">
        <v>1</v>
      </c>
      <c r="AA9" s="74">
        <v>77</v>
      </c>
      <c r="AB9" s="75">
        <v>157</v>
      </c>
      <c r="AC9" s="75">
        <v>26968.81</v>
      </c>
      <c r="AD9" s="76">
        <v>26968.81</v>
      </c>
      <c r="AE9" s="77"/>
      <c r="AF9" s="75"/>
      <c r="AG9" s="78">
        <v>21330.704659549443</v>
      </c>
      <c r="AH9" s="79">
        <v>21330.704659549443</v>
      </c>
      <c r="AI9" s="116">
        <v>0</v>
      </c>
      <c r="AJ9" s="75">
        <v>0</v>
      </c>
      <c r="AK9" s="75">
        <v>0</v>
      </c>
      <c r="AL9" s="80">
        <f t="shared" si="28"/>
        <v>0</v>
      </c>
      <c r="AM9" s="74">
        <v>22</v>
      </c>
      <c r="AN9" s="74">
        <v>3</v>
      </c>
      <c r="AO9" s="81">
        <f t="shared" si="29"/>
        <v>0.13636363636363635</v>
      </c>
      <c r="AP9" s="82"/>
      <c r="AQ9" s="75">
        <v>35199</v>
      </c>
      <c r="AR9" s="75">
        <v>7477.6885999999995</v>
      </c>
      <c r="AS9" s="80">
        <f t="shared" si="30"/>
        <v>42676.688600000001</v>
      </c>
      <c r="AT9" s="74">
        <v>2740.9955487521033</v>
      </c>
      <c r="AU9" s="75">
        <v>554.59832114828555</v>
      </c>
      <c r="AV9" s="75">
        <v>1919.7634193594497</v>
      </c>
      <c r="AW9" s="75">
        <v>757.24001541400514</v>
      </c>
      <c r="AX9" s="80">
        <f t="shared" si="31"/>
        <v>5972.5973046738436</v>
      </c>
      <c r="AY9" s="81" t="str">
        <f t="shared" si="32"/>
        <v/>
      </c>
      <c r="AZ9" s="83" t="str">
        <f t="shared" si="33"/>
        <v/>
      </c>
      <c r="BA9" s="80" t="str">
        <f t="shared" si="34"/>
        <v/>
      </c>
      <c r="BB9" s="84">
        <f t="shared" si="35"/>
        <v>-25398.817825764952</v>
      </c>
      <c r="BC9" s="85">
        <f t="shared" si="36"/>
        <v>-13.23018116171812</v>
      </c>
      <c r="BD9" s="86">
        <f t="shared" si="37"/>
        <v>-1.1907163045546305</v>
      </c>
      <c r="BE9" s="84">
        <f t="shared" si="38"/>
        <v>-24641.577810350947</v>
      </c>
      <c r="BF9" s="87">
        <f t="shared" si="39"/>
        <v>-9.2049107932639895</v>
      </c>
      <c r="BG9" s="88">
        <f t="shared" si="40"/>
        <v>-1.1552163045546306</v>
      </c>
      <c r="BH9" s="89">
        <f t="shared" si="41"/>
        <v>2.0007163045546306</v>
      </c>
      <c r="BI9" s="90">
        <f t="shared" si="42"/>
        <v>0</v>
      </c>
      <c r="BJ9" s="90">
        <f t="shared" si="43"/>
        <v>0.27999999999999997</v>
      </c>
      <c r="BK9" s="91">
        <f t="shared" si="44"/>
        <v>2.2807163045546304</v>
      </c>
      <c r="BL9" s="92">
        <f t="shared" si="45"/>
        <v>-27318.581245124402</v>
      </c>
      <c r="BM9" s="95"/>
    </row>
    <row r="10" spans="1:66" x14ac:dyDescent="0.25">
      <c r="A10" s="61" t="s">
        <v>55</v>
      </c>
      <c r="B10" s="62" t="s">
        <v>55</v>
      </c>
      <c r="C10" s="62" t="s">
        <v>192</v>
      </c>
      <c r="D10" s="63" t="s">
        <v>69</v>
      </c>
      <c r="E10" s="64">
        <v>43556</v>
      </c>
      <c r="F10" s="64">
        <v>43921</v>
      </c>
      <c r="G10" s="65">
        <v>43978</v>
      </c>
      <c r="H10" s="66" t="str">
        <f t="shared" si="23"/>
        <v>Most Recently 12 Months</v>
      </c>
      <c r="I10" s="67">
        <f t="shared" si="24"/>
        <v>12</v>
      </c>
      <c r="J10" s="68">
        <f t="shared" si="25"/>
        <v>2020</v>
      </c>
      <c r="K10" s="69">
        <f t="shared" si="26"/>
        <v>1</v>
      </c>
      <c r="L10" s="70">
        <f t="shared" si="27"/>
        <v>3</v>
      </c>
      <c r="M10" s="71" t="s">
        <v>140</v>
      </c>
      <c r="N10" s="71" t="s">
        <v>18</v>
      </c>
      <c r="O10" s="71" t="s">
        <v>78</v>
      </c>
      <c r="P10" s="71" t="s">
        <v>102</v>
      </c>
      <c r="Q10" s="61" t="s">
        <v>117</v>
      </c>
      <c r="R10" s="63"/>
      <c r="S10" s="72" t="s">
        <v>386</v>
      </c>
      <c r="T10" s="61"/>
      <c r="U10" s="73" t="s">
        <v>390</v>
      </c>
      <c r="V10" s="62"/>
      <c r="W10" s="73" t="s">
        <v>390</v>
      </c>
      <c r="X10" s="114" t="s">
        <v>391</v>
      </c>
      <c r="Y10" s="93">
        <v>1</v>
      </c>
      <c r="Z10" s="94">
        <v>1</v>
      </c>
      <c r="AA10" s="74">
        <v>817</v>
      </c>
      <c r="AB10" s="75">
        <v>1840</v>
      </c>
      <c r="AC10" s="75">
        <v>198849.60999999996</v>
      </c>
      <c r="AD10" s="76">
        <v>198849.60999999996</v>
      </c>
      <c r="AE10" s="77"/>
      <c r="AF10" s="75"/>
      <c r="AG10" s="78">
        <v>212875.17180858113</v>
      </c>
      <c r="AH10" s="79">
        <v>212875.17180858113</v>
      </c>
      <c r="AI10" s="116">
        <v>23834.364023011032</v>
      </c>
      <c r="AJ10" s="75">
        <v>0</v>
      </c>
      <c r="AK10" s="75">
        <v>0</v>
      </c>
      <c r="AL10" s="80">
        <f t="shared" si="28"/>
        <v>23834.364023011032</v>
      </c>
      <c r="AM10" s="74">
        <v>171</v>
      </c>
      <c r="AN10" s="74">
        <v>18</v>
      </c>
      <c r="AO10" s="81">
        <f t="shared" si="29"/>
        <v>0.10526315789473684</v>
      </c>
      <c r="AP10" s="82"/>
      <c r="AQ10" s="75">
        <v>208928.02999999997</v>
      </c>
      <c r="AR10" s="75">
        <v>33992.116599999994</v>
      </c>
      <c r="AS10" s="80">
        <f t="shared" si="30"/>
        <v>242920.14659999998</v>
      </c>
      <c r="AT10" s="74">
        <v>27354.459577402675</v>
      </c>
      <c r="AU10" s="75">
        <v>5534.7544670231091</v>
      </c>
      <c r="AV10" s="75">
        <v>19158.765462772302</v>
      </c>
      <c r="AW10" s="75">
        <v>7557.0685992046292</v>
      </c>
      <c r="AX10" s="80">
        <f t="shared" si="31"/>
        <v>59605.048106402712</v>
      </c>
      <c r="AY10" s="81" t="str">
        <f t="shared" si="32"/>
        <v/>
      </c>
      <c r="AZ10" s="83" t="str">
        <f t="shared" si="33"/>
        <v/>
      </c>
      <c r="BA10" s="80" t="str">
        <f t="shared" si="34"/>
        <v/>
      </c>
      <c r="BB10" s="84">
        <f t="shared" si="35"/>
        <v>-94325.62145806037</v>
      </c>
      <c r="BC10" s="85">
        <f t="shared" si="36"/>
        <v>-4.9233663641504437</v>
      </c>
      <c r="BD10" s="86">
        <f t="shared" si="37"/>
        <v>-0.44310297277353999</v>
      </c>
      <c r="BE10" s="84">
        <f t="shared" si="38"/>
        <v>-86768.552858855721</v>
      </c>
      <c r="BF10" s="87">
        <f t="shared" si="39"/>
        <v>-3.247832452378804</v>
      </c>
      <c r="BG10" s="88">
        <f t="shared" si="40"/>
        <v>-0.40760297277353991</v>
      </c>
      <c r="BH10" s="89">
        <f t="shared" si="41"/>
        <v>1.1411389338463365</v>
      </c>
      <c r="BI10" s="90">
        <f t="shared" si="42"/>
        <v>0.11196403892720314</v>
      </c>
      <c r="BJ10" s="90">
        <f t="shared" si="43"/>
        <v>0.27999999999999997</v>
      </c>
      <c r="BK10" s="91">
        <f t="shared" si="44"/>
        <v>1.5331029727735397</v>
      </c>
      <c r="BL10" s="92">
        <f t="shared" si="45"/>
        <v>-113484.38692083265</v>
      </c>
      <c r="BM10" s="95"/>
    </row>
    <row r="11" spans="1:66" x14ac:dyDescent="0.25">
      <c r="A11" s="61" t="s">
        <v>55</v>
      </c>
      <c r="B11" s="62" t="s">
        <v>55</v>
      </c>
      <c r="C11" s="62" t="s">
        <v>192</v>
      </c>
      <c r="D11" s="63" t="s">
        <v>69</v>
      </c>
      <c r="E11" s="64">
        <v>43556</v>
      </c>
      <c r="F11" s="64">
        <v>43921</v>
      </c>
      <c r="G11" s="65">
        <v>43978</v>
      </c>
      <c r="H11" s="66" t="str">
        <f t="shared" si="23"/>
        <v>Most Recently 12 Months</v>
      </c>
      <c r="I11" s="67">
        <f t="shared" si="24"/>
        <v>12</v>
      </c>
      <c r="J11" s="68">
        <f t="shared" si="25"/>
        <v>2020</v>
      </c>
      <c r="K11" s="69">
        <f t="shared" si="26"/>
        <v>1</v>
      </c>
      <c r="L11" s="70">
        <f t="shared" si="27"/>
        <v>3</v>
      </c>
      <c r="M11" s="71" t="s">
        <v>140</v>
      </c>
      <c r="N11" s="71" t="s">
        <v>18</v>
      </c>
      <c r="O11" s="71" t="s">
        <v>78</v>
      </c>
      <c r="P11" s="71" t="s">
        <v>102</v>
      </c>
      <c r="Q11" s="61" t="s">
        <v>117</v>
      </c>
      <c r="R11" s="63"/>
      <c r="S11" s="72" t="s">
        <v>387</v>
      </c>
      <c r="T11" s="61"/>
      <c r="U11" s="73" t="s">
        <v>390</v>
      </c>
      <c r="V11" s="62"/>
      <c r="W11" s="73" t="s">
        <v>390</v>
      </c>
      <c r="X11" s="115" t="s">
        <v>391</v>
      </c>
      <c r="Y11" s="93">
        <v>1</v>
      </c>
      <c r="Z11" s="94">
        <v>1</v>
      </c>
      <c r="AA11" s="74">
        <v>2858</v>
      </c>
      <c r="AB11" s="75">
        <v>4677</v>
      </c>
      <c r="AC11" s="75">
        <v>948108.43999999948</v>
      </c>
      <c r="AD11" s="76">
        <v>948108.43999999948</v>
      </c>
      <c r="AE11" s="77"/>
      <c r="AF11" s="75"/>
      <c r="AG11" s="78">
        <v>1084935.1051556461</v>
      </c>
      <c r="AH11" s="79">
        <v>1084935.1051556461</v>
      </c>
      <c r="AI11" s="116">
        <v>0</v>
      </c>
      <c r="AJ11" s="75">
        <v>0</v>
      </c>
      <c r="AK11" s="75">
        <v>0</v>
      </c>
      <c r="AL11" s="80">
        <f t="shared" si="28"/>
        <v>0</v>
      </c>
      <c r="AM11" s="74">
        <v>48</v>
      </c>
      <c r="AN11" s="74">
        <v>48</v>
      </c>
      <c r="AO11" s="81">
        <f t="shared" si="29"/>
        <v>1</v>
      </c>
      <c r="AP11" s="82"/>
      <c r="AQ11" s="75">
        <v>0</v>
      </c>
      <c r="AR11" s="75">
        <v>135306.09639999998</v>
      </c>
      <c r="AS11" s="80">
        <f t="shared" si="30"/>
        <v>135306.09639999998</v>
      </c>
      <c r="AT11" s="74">
        <v>139414.16101250052</v>
      </c>
      <c r="AU11" s="75">
        <v>28208.312734046798</v>
      </c>
      <c r="AV11" s="75">
        <v>97644.159464008146</v>
      </c>
      <c r="AW11" s="75">
        <v>38515.196233025432</v>
      </c>
      <c r="AX11" s="80">
        <f t="shared" si="31"/>
        <v>303781.82944358094</v>
      </c>
      <c r="AY11" s="81" t="str">
        <f t="shared" si="32"/>
        <v/>
      </c>
      <c r="AZ11" s="83" t="str">
        <f t="shared" si="33"/>
        <v/>
      </c>
      <c r="BA11" s="80" t="str">
        <f t="shared" si="34"/>
        <v/>
      </c>
      <c r="BB11" s="84">
        <f t="shared" si="35"/>
        <v>743491.33877607342</v>
      </c>
      <c r="BC11" s="85">
        <f t="shared" si="36"/>
        <v>7.6142940126401104</v>
      </c>
      <c r="BD11" s="86">
        <f t="shared" si="37"/>
        <v>0.68528646113760994</v>
      </c>
      <c r="BE11" s="84">
        <f t="shared" si="38"/>
        <v>782006.53500909882</v>
      </c>
      <c r="BF11" s="87">
        <f t="shared" si="39"/>
        <v>5.7433184154391235</v>
      </c>
      <c r="BG11" s="88">
        <f t="shared" si="40"/>
        <v>0.72078646113760991</v>
      </c>
      <c r="BH11" s="89">
        <f t="shared" si="41"/>
        <v>0.12471353886239012</v>
      </c>
      <c r="BI11" s="90">
        <f t="shared" si="42"/>
        <v>0</v>
      </c>
      <c r="BJ11" s="90">
        <f t="shared" si="43"/>
        <v>0.28000000000000003</v>
      </c>
      <c r="BK11" s="91">
        <f t="shared" si="44"/>
        <v>0.40471353886239014</v>
      </c>
      <c r="BL11" s="92">
        <f t="shared" si="45"/>
        <v>645847.17931206524</v>
      </c>
      <c r="BM11" s="95"/>
    </row>
  </sheetData>
  <dataValidations count="7">
    <dataValidation type="list" allowBlank="1" showInputMessage="1" showErrorMessage="1" sqref="X5:X11">
      <formula1>"Yes,No"</formula1>
    </dataValidation>
    <dataValidation type="whole" allowBlank="1" showInputMessage="1" showErrorMessage="1" sqref="Y5:Z11">
      <formula1>-999999999999</formula1>
      <formula2>999999999999</formula2>
    </dataValidation>
    <dataValidation operator="greaterThan" allowBlank="1" showInputMessage="1" showErrorMessage="1" sqref="H5:H11"/>
    <dataValidation type="whole" operator="greaterThan" allowBlank="1" showInputMessage="1" showErrorMessage="1" sqref="K5:L11 I5:I11">
      <formula1>0</formula1>
    </dataValidation>
    <dataValidation type="date" operator="greaterThan" allowBlank="1" showInputMessage="1" showErrorMessage="1" sqref="E5:G11">
      <formula1>1</formula1>
    </dataValidation>
    <dataValidation type="whole" operator="greaterThan" allowBlank="1" showInputMessage="1" showErrorMessage="1" sqref="J5:J11">
      <formula1>1900</formula1>
    </dataValidation>
    <dataValidation type="decimal" allowBlank="1" showInputMessage="1" showErrorMessage="1" sqref="AA5:AK11 AL5:AL11 AM5:AN11 AO5:AO11 AP5:AR11 AS5:AS11 AX5:BL11 AT5:AW11">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Drop_Down_Lists!$B$2:$B$90</xm:f>
          </x14:formula1>
          <xm:sqref>C5:C11</xm:sqref>
        </x14:dataValidation>
        <x14:dataValidation type="list" allowBlank="1" showInputMessage="1" showErrorMessage="1">
          <x14:formula1>
            <xm:f>Drop_Down_Lists!$F$2:$F$4</xm:f>
          </x14:formula1>
          <xm:sqref>N5:N11</xm:sqref>
        </x14:dataValidation>
        <x14:dataValidation type="list" allowBlank="1" showInputMessage="1" showErrorMessage="1">
          <x14:formula1>
            <xm:f>Drop_Down_Lists!$E$2:$E$4</xm:f>
          </x14:formula1>
          <xm:sqref>M5:M11</xm:sqref>
        </x14:dataValidation>
        <x14:dataValidation type="list" allowBlank="1" showInputMessage="1" showErrorMessage="1">
          <x14:formula1>
            <xm:f>Drop_Down_Lists!$G$2:$G$4</xm:f>
          </x14:formula1>
          <xm:sqref>O5:O11</xm:sqref>
        </x14:dataValidation>
        <x14:dataValidation type="list" allowBlank="1" showInputMessage="1" showErrorMessage="1">
          <x14:formula1>
            <xm:f>Drop_Down_Lists!$J$2:$J$18</xm:f>
          </x14:formula1>
          <xm:sqref>R5:R11</xm:sqref>
        </x14:dataValidation>
        <x14:dataValidation type="list" allowBlank="1" showInputMessage="1" showErrorMessage="1">
          <x14:formula1>
            <xm:f>Drop_Down_Lists!$I$2</xm:f>
          </x14:formula1>
          <xm:sqref>P5:P11</xm:sqref>
        </x14:dataValidation>
        <x14:dataValidation type="list" allowBlank="1" showInputMessage="1" showErrorMessage="1">
          <x14:formula1>
            <xm:f>Drop_Down_Lists!$C$2:$C$5</xm:f>
          </x14:formula1>
          <xm:sqref>D5:D11</xm:sqref>
        </x14:dataValidation>
        <x14:dataValidation type="list" allowBlank="1" showInputMessage="1" showErrorMessage="1">
          <x14:formula1>
            <xm:f>Drop_Down_Lists!$A$2:$A$29</xm:f>
          </x14:formula1>
          <xm:sqref>B5:B11 A5:A11</xm:sqref>
        </x14:dataValidation>
        <x14:dataValidation type="list" allowBlank="1" showInputMessage="1" showErrorMessage="1">
          <x14:formula1>
            <xm:f>Drop_Down_Lists!$H$2:$H$20</xm:f>
          </x14:formula1>
          <xm:sqref>Q5:Q11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election activeCell="F9" sqref="F9"/>
    </sheetView>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356</v>
      </c>
    </row>
    <row r="3" spans="1:2" ht="30" x14ac:dyDescent="0.25">
      <c r="A3" s="112" t="s">
        <v>76</v>
      </c>
      <c r="B3" s="109" t="s">
        <v>357</v>
      </c>
    </row>
    <row r="4" spans="1:2" ht="30" x14ac:dyDescent="0.25">
      <c r="A4" s="112" t="s">
        <v>72</v>
      </c>
      <c r="B4" s="109" t="s">
        <v>358</v>
      </c>
    </row>
    <row r="5" spans="1:2" ht="30" x14ac:dyDescent="0.25">
      <c r="A5" s="112" t="s">
        <v>170</v>
      </c>
      <c r="B5" s="109" t="s">
        <v>359</v>
      </c>
    </row>
    <row r="6" spans="1:2" x14ac:dyDescent="0.25">
      <c r="A6" s="112" t="s">
        <v>171</v>
      </c>
      <c r="B6" s="109" t="s">
        <v>360</v>
      </c>
    </row>
    <row r="7" spans="1:2" ht="30" x14ac:dyDescent="0.25">
      <c r="A7" s="112" t="s">
        <v>117</v>
      </c>
      <c r="B7" s="109" t="s">
        <v>361</v>
      </c>
    </row>
    <row r="8" spans="1:2" ht="60" x14ac:dyDescent="0.25">
      <c r="A8" s="112" t="s">
        <v>362</v>
      </c>
      <c r="B8" s="109" t="s">
        <v>363</v>
      </c>
    </row>
    <row r="9" spans="1:2" ht="30" x14ac:dyDescent="0.25">
      <c r="A9" s="112" t="s">
        <v>364</v>
      </c>
      <c r="B9" s="109" t="s">
        <v>365</v>
      </c>
    </row>
    <row r="10" spans="1:2" x14ac:dyDescent="0.25">
      <c r="A10" s="112" t="s">
        <v>116</v>
      </c>
      <c r="B10" s="109" t="s">
        <v>366</v>
      </c>
    </row>
    <row r="11" spans="1:2" x14ac:dyDescent="0.25">
      <c r="A11" s="112" t="s">
        <v>367</v>
      </c>
      <c r="B11" s="109" t="s">
        <v>368</v>
      </c>
    </row>
    <row r="12" spans="1:2" ht="45" x14ac:dyDescent="0.25">
      <c r="A12" s="112" t="s">
        <v>71</v>
      </c>
      <c r="B12" s="109" t="s">
        <v>369</v>
      </c>
    </row>
    <row r="13" spans="1:2" ht="30" x14ac:dyDescent="0.25">
      <c r="A13" s="112" t="s">
        <v>17</v>
      </c>
      <c r="B13" s="109" t="s">
        <v>370</v>
      </c>
    </row>
    <row r="14" spans="1:2" ht="30" x14ac:dyDescent="0.25">
      <c r="A14" s="112" t="s">
        <v>74</v>
      </c>
      <c r="B14" s="109" t="s">
        <v>371</v>
      </c>
    </row>
    <row r="15" spans="1:2" ht="30" x14ac:dyDescent="0.25">
      <c r="A15" s="112" t="s">
        <v>73</v>
      </c>
      <c r="B15" s="109" t="s">
        <v>372</v>
      </c>
    </row>
    <row r="16" spans="1:2" ht="30" x14ac:dyDescent="0.25">
      <c r="A16" s="112" t="s">
        <v>373</v>
      </c>
      <c r="B16" s="109" t="s">
        <v>374</v>
      </c>
    </row>
    <row r="17" spans="1:2" x14ac:dyDescent="0.25">
      <c r="A17" s="112" t="s">
        <v>81</v>
      </c>
      <c r="B17" s="109" t="s">
        <v>375</v>
      </c>
    </row>
    <row r="18" spans="1:2" x14ac:dyDescent="0.25">
      <c r="A18" s="112" t="s">
        <v>376</v>
      </c>
      <c r="B18" s="109" t="s">
        <v>377</v>
      </c>
    </row>
    <row r="19" spans="1:2" x14ac:dyDescent="0.25">
      <c r="A19" s="112" t="s">
        <v>79</v>
      </c>
      <c r="B19" s="109" t="s">
        <v>378</v>
      </c>
    </row>
    <row r="20" spans="1:2" ht="30" x14ac:dyDescent="0.25">
      <c r="A20" s="112" t="s">
        <v>274</v>
      </c>
      <c r="B20" s="109" t="s">
        <v>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x14ac:dyDescent="0.2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x14ac:dyDescent="0.25">
      <c r="A1" s="25" t="s">
        <v>66</v>
      </c>
      <c r="B1" s="26" t="s">
        <v>166</v>
      </c>
      <c r="C1" s="25" t="s">
        <v>37</v>
      </c>
      <c r="D1" s="26" t="s">
        <v>131</v>
      </c>
      <c r="E1" s="25" t="s">
        <v>137</v>
      </c>
      <c r="F1" s="25" t="s">
        <v>2</v>
      </c>
      <c r="G1" s="26" t="s">
        <v>118</v>
      </c>
      <c r="H1" s="25" t="s">
        <v>3</v>
      </c>
      <c r="I1" s="25" t="s">
        <v>98</v>
      </c>
      <c r="J1" s="25" t="s">
        <v>99</v>
      </c>
    </row>
    <row r="2" spans="1:10" x14ac:dyDescent="0.25">
      <c r="A2" s="35" t="s">
        <v>40</v>
      </c>
      <c r="B2" s="24" t="s">
        <v>241</v>
      </c>
      <c r="C2" s="37" t="s">
        <v>69</v>
      </c>
      <c r="D2" s="35" t="s">
        <v>133</v>
      </c>
      <c r="E2" s="24" t="s">
        <v>140</v>
      </c>
      <c r="F2" s="24" t="s">
        <v>162</v>
      </c>
      <c r="G2" s="35" t="s">
        <v>115</v>
      </c>
      <c r="H2" s="110" t="s">
        <v>75</v>
      </c>
      <c r="I2" s="37" t="s">
        <v>102</v>
      </c>
      <c r="J2" s="24" t="s">
        <v>165</v>
      </c>
    </row>
    <row r="3" spans="1:10" x14ac:dyDescent="0.25">
      <c r="A3" s="35" t="s">
        <v>41</v>
      </c>
      <c r="B3" s="24" t="s">
        <v>175</v>
      </c>
      <c r="C3" s="37" t="s">
        <v>70</v>
      </c>
      <c r="D3" s="35" t="s">
        <v>132</v>
      </c>
      <c r="E3" s="24" t="s">
        <v>141</v>
      </c>
      <c r="F3" s="34" t="s">
        <v>161</v>
      </c>
      <c r="G3" s="35" t="s">
        <v>114</v>
      </c>
      <c r="H3" s="110" t="s">
        <v>76</v>
      </c>
      <c r="J3" s="24" t="s">
        <v>77</v>
      </c>
    </row>
    <row r="4" spans="1:10" x14ac:dyDescent="0.25">
      <c r="A4" s="35" t="s">
        <v>42</v>
      </c>
      <c r="B4" s="24" t="s">
        <v>177</v>
      </c>
      <c r="C4" s="37" t="s">
        <v>68</v>
      </c>
      <c r="E4" s="24" t="s">
        <v>139</v>
      </c>
      <c r="F4" s="24" t="s">
        <v>18</v>
      </c>
      <c r="G4" s="35" t="s">
        <v>78</v>
      </c>
      <c r="H4" s="110" t="s">
        <v>72</v>
      </c>
      <c r="J4" s="24" t="s">
        <v>113</v>
      </c>
    </row>
    <row r="5" spans="1:10" x14ac:dyDescent="0.25">
      <c r="A5" s="35" t="s">
        <v>43</v>
      </c>
      <c r="B5" s="24" t="s">
        <v>245</v>
      </c>
      <c r="C5" s="37" t="s">
        <v>97</v>
      </c>
      <c r="G5" s="6"/>
      <c r="H5" s="110" t="s">
        <v>170</v>
      </c>
      <c r="J5" s="24" t="s">
        <v>80</v>
      </c>
    </row>
    <row r="6" spans="1:10" x14ac:dyDescent="0.25">
      <c r="A6" s="35" t="s">
        <v>44</v>
      </c>
      <c r="B6" s="24" t="s">
        <v>178</v>
      </c>
      <c r="H6" s="110" t="s">
        <v>171</v>
      </c>
      <c r="J6" s="24" t="s">
        <v>109</v>
      </c>
    </row>
    <row r="7" spans="1:10" x14ac:dyDescent="0.25">
      <c r="A7" s="35" t="s">
        <v>61</v>
      </c>
      <c r="B7" s="24" t="s">
        <v>183</v>
      </c>
      <c r="H7" s="110" t="s">
        <v>117</v>
      </c>
      <c r="J7" s="24" t="s">
        <v>103</v>
      </c>
    </row>
    <row r="8" spans="1:10" x14ac:dyDescent="0.25">
      <c r="A8" s="35" t="s">
        <v>45</v>
      </c>
      <c r="B8" s="24" t="s">
        <v>246</v>
      </c>
      <c r="H8" s="110" t="s">
        <v>362</v>
      </c>
      <c r="J8" s="24" t="s">
        <v>154</v>
      </c>
    </row>
    <row r="9" spans="1:10" x14ac:dyDescent="0.25">
      <c r="A9" s="35" t="s">
        <v>46</v>
      </c>
      <c r="B9" s="24" t="s">
        <v>187</v>
      </c>
      <c r="H9" s="110" t="s">
        <v>364</v>
      </c>
      <c r="J9" s="24" t="s">
        <v>153</v>
      </c>
    </row>
    <row r="10" spans="1:10" x14ac:dyDescent="0.25">
      <c r="A10" s="35" t="s">
        <v>48</v>
      </c>
      <c r="B10" s="24" t="s">
        <v>179</v>
      </c>
      <c r="H10" s="110" t="s">
        <v>116</v>
      </c>
      <c r="J10" s="24" t="s">
        <v>110</v>
      </c>
    </row>
    <row r="11" spans="1:10" x14ac:dyDescent="0.25">
      <c r="A11" s="35" t="s">
        <v>60</v>
      </c>
      <c r="B11" s="24" t="s">
        <v>185</v>
      </c>
      <c r="H11" s="110" t="s">
        <v>367</v>
      </c>
      <c r="J11" s="24" t="s">
        <v>155</v>
      </c>
    </row>
    <row r="12" spans="1:10" x14ac:dyDescent="0.25">
      <c r="A12" s="36" t="s">
        <v>67</v>
      </c>
      <c r="B12" s="24" t="s">
        <v>184</v>
      </c>
      <c r="H12" s="110" t="s">
        <v>71</v>
      </c>
      <c r="J12" s="24" t="s">
        <v>105</v>
      </c>
    </row>
    <row r="13" spans="1:10" x14ac:dyDescent="0.25">
      <c r="A13" s="35" t="s">
        <v>47</v>
      </c>
      <c r="B13" s="24" t="s">
        <v>188</v>
      </c>
      <c r="H13" s="110" t="s">
        <v>17</v>
      </c>
      <c r="J13" s="24" t="s">
        <v>111</v>
      </c>
    </row>
    <row r="14" spans="1:10" x14ac:dyDescent="0.25">
      <c r="A14" s="35" t="s">
        <v>49</v>
      </c>
      <c r="B14" s="24" t="s">
        <v>214</v>
      </c>
      <c r="H14" s="110" t="s">
        <v>74</v>
      </c>
      <c r="J14" s="24" t="s">
        <v>104</v>
      </c>
    </row>
    <row r="15" spans="1:10" x14ac:dyDescent="0.25">
      <c r="A15" s="35" t="s">
        <v>50</v>
      </c>
      <c r="B15" s="24" t="s">
        <v>189</v>
      </c>
      <c r="H15" s="111" t="s">
        <v>73</v>
      </c>
      <c r="J15" s="24" t="s">
        <v>107</v>
      </c>
    </row>
    <row r="16" spans="1:10" x14ac:dyDescent="0.25">
      <c r="A16" s="35" t="s">
        <v>16</v>
      </c>
      <c r="B16" s="24" t="s">
        <v>190</v>
      </c>
      <c r="H16" s="110" t="s">
        <v>373</v>
      </c>
      <c r="J16" s="24" t="s">
        <v>112</v>
      </c>
    </row>
    <row r="17" spans="1:10" x14ac:dyDescent="0.25">
      <c r="A17" s="35" t="s">
        <v>51</v>
      </c>
      <c r="B17" s="24" t="s">
        <v>191</v>
      </c>
      <c r="H17" s="110" t="s">
        <v>81</v>
      </c>
      <c r="J17" s="24" t="s">
        <v>106</v>
      </c>
    </row>
    <row r="18" spans="1:10" x14ac:dyDescent="0.25">
      <c r="A18" s="35" t="s">
        <v>52</v>
      </c>
      <c r="B18" s="24" t="s">
        <v>193</v>
      </c>
      <c r="H18" s="110" t="s">
        <v>376</v>
      </c>
      <c r="J18" s="24" t="s">
        <v>108</v>
      </c>
    </row>
    <row r="19" spans="1:10" x14ac:dyDescent="0.25">
      <c r="A19" s="35" t="s">
        <v>53</v>
      </c>
      <c r="B19" s="24" t="s">
        <v>247</v>
      </c>
      <c r="H19" s="110" t="s">
        <v>79</v>
      </c>
      <c r="J19" s="27" t="s">
        <v>355</v>
      </c>
    </row>
    <row r="20" spans="1:10" x14ac:dyDescent="0.25">
      <c r="A20" s="35" t="s">
        <v>54</v>
      </c>
      <c r="B20" s="24" t="s">
        <v>195</v>
      </c>
      <c r="H20" s="111" t="s">
        <v>274</v>
      </c>
    </row>
    <row r="21" spans="1:10" x14ac:dyDescent="0.25">
      <c r="A21" s="35" t="s">
        <v>55</v>
      </c>
      <c r="B21" s="24" t="s">
        <v>250</v>
      </c>
      <c r="H21" s="6"/>
    </row>
    <row r="22" spans="1:10" x14ac:dyDescent="0.25">
      <c r="A22" s="35" t="s">
        <v>56</v>
      </c>
      <c r="B22" s="24" t="s">
        <v>196</v>
      </c>
    </row>
    <row r="23" spans="1:10" x14ac:dyDescent="0.25">
      <c r="A23" s="35" t="s">
        <v>57</v>
      </c>
      <c r="B23" s="24" t="s">
        <v>197</v>
      </c>
    </row>
    <row r="24" spans="1:10" x14ac:dyDescent="0.25">
      <c r="A24" s="35" t="s">
        <v>58</v>
      </c>
      <c r="B24" s="24" t="s">
        <v>261</v>
      </c>
    </row>
    <row r="25" spans="1:10" x14ac:dyDescent="0.25">
      <c r="A25" s="35" t="s">
        <v>59</v>
      </c>
      <c r="B25" s="24" t="s">
        <v>198</v>
      </c>
    </row>
    <row r="26" spans="1:10" x14ac:dyDescent="0.25">
      <c r="A26" s="35" t="s">
        <v>62</v>
      </c>
      <c r="B26" s="24" t="s">
        <v>259</v>
      </c>
    </row>
    <row r="27" spans="1:10" x14ac:dyDescent="0.25">
      <c r="A27" s="35" t="s">
        <v>63</v>
      </c>
      <c r="B27" s="24" t="s">
        <v>168</v>
      </c>
    </row>
    <row r="28" spans="1:10" x14ac:dyDescent="0.25">
      <c r="A28" s="35" t="s">
        <v>64</v>
      </c>
      <c r="B28" s="24" t="s">
        <v>248</v>
      </c>
    </row>
    <row r="29" spans="1:10" x14ac:dyDescent="0.25">
      <c r="A29" s="35" t="s">
        <v>65</v>
      </c>
      <c r="B29" s="24" t="s">
        <v>249</v>
      </c>
    </row>
    <row r="30" spans="1:10" x14ac:dyDescent="0.25">
      <c r="B30" s="24" t="s">
        <v>176</v>
      </c>
    </row>
    <row r="31" spans="1:10" x14ac:dyDescent="0.25">
      <c r="B31" s="24" t="s">
        <v>201</v>
      </c>
    </row>
    <row r="32" spans="1:10" x14ac:dyDescent="0.25">
      <c r="B32" s="24" t="s">
        <v>251</v>
      </c>
    </row>
    <row r="33" spans="2:2" x14ac:dyDescent="0.25">
      <c r="B33" s="24" t="s">
        <v>202</v>
      </c>
    </row>
    <row r="34" spans="2:2" x14ac:dyDescent="0.25">
      <c r="B34" s="24" t="s">
        <v>203</v>
      </c>
    </row>
    <row r="35" spans="2:2" x14ac:dyDescent="0.25">
      <c r="B35" s="24" t="s">
        <v>194</v>
      </c>
    </row>
    <row r="36" spans="2:2" x14ac:dyDescent="0.25">
      <c r="B36" s="24" t="s">
        <v>204</v>
      </c>
    </row>
    <row r="37" spans="2:2" x14ac:dyDescent="0.25">
      <c r="B37" s="24" t="s">
        <v>206</v>
      </c>
    </row>
    <row r="38" spans="2:2" x14ac:dyDescent="0.25">
      <c r="B38" s="24" t="s">
        <v>252</v>
      </c>
    </row>
    <row r="39" spans="2:2" x14ac:dyDescent="0.25">
      <c r="B39" s="24" t="s">
        <v>207</v>
      </c>
    </row>
    <row r="40" spans="2:2" x14ac:dyDescent="0.25">
      <c r="B40" s="24" t="s">
        <v>181</v>
      </c>
    </row>
    <row r="41" spans="2:2" x14ac:dyDescent="0.25">
      <c r="B41" s="24" t="s">
        <v>205</v>
      </c>
    </row>
    <row r="42" spans="2:2" x14ac:dyDescent="0.25">
      <c r="B42" s="24" t="s">
        <v>253</v>
      </c>
    </row>
    <row r="43" spans="2:2" x14ac:dyDescent="0.25">
      <c r="B43" s="24" t="s">
        <v>209</v>
      </c>
    </row>
    <row r="44" spans="2:2" x14ac:dyDescent="0.25">
      <c r="B44" s="24" t="s">
        <v>208</v>
      </c>
    </row>
    <row r="45" spans="2:2" x14ac:dyDescent="0.25">
      <c r="B45" s="24" t="s">
        <v>210</v>
      </c>
    </row>
    <row r="46" spans="2:2" x14ac:dyDescent="0.25">
      <c r="B46" s="24" t="s">
        <v>211</v>
      </c>
    </row>
    <row r="47" spans="2:2" x14ac:dyDescent="0.25">
      <c r="B47" s="24" t="s">
        <v>212</v>
      </c>
    </row>
    <row r="48" spans="2:2" x14ac:dyDescent="0.25">
      <c r="B48" s="24" t="s">
        <v>213</v>
      </c>
    </row>
    <row r="49" spans="2:2" x14ac:dyDescent="0.25">
      <c r="B49" s="24" t="s">
        <v>233</v>
      </c>
    </row>
    <row r="50" spans="2:2" x14ac:dyDescent="0.25">
      <c r="B50" s="24" t="s">
        <v>243</v>
      </c>
    </row>
    <row r="51" spans="2:2" x14ac:dyDescent="0.25">
      <c r="B51" s="24" t="s">
        <v>254</v>
      </c>
    </row>
    <row r="52" spans="2:2" x14ac:dyDescent="0.25">
      <c r="B52" s="24" t="s">
        <v>244</v>
      </c>
    </row>
    <row r="53" spans="2:2" x14ac:dyDescent="0.25">
      <c r="B53" s="24" t="s">
        <v>221</v>
      </c>
    </row>
    <row r="54" spans="2:2" x14ac:dyDescent="0.25">
      <c r="B54" s="24" t="s">
        <v>220</v>
      </c>
    </row>
    <row r="55" spans="2:2" x14ac:dyDescent="0.25">
      <c r="B55" s="24" t="s">
        <v>216</v>
      </c>
    </row>
    <row r="56" spans="2:2" x14ac:dyDescent="0.25">
      <c r="B56" s="24" t="s">
        <v>215</v>
      </c>
    </row>
    <row r="57" spans="2:2" x14ac:dyDescent="0.25">
      <c r="B57" s="24" t="s">
        <v>255</v>
      </c>
    </row>
    <row r="58" spans="2:2" x14ac:dyDescent="0.25">
      <c r="B58" s="24" t="s">
        <v>218</v>
      </c>
    </row>
    <row r="59" spans="2:2" x14ac:dyDescent="0.25">
      <c r="B59" s="24" t="s">
        <v>219</v>
      </c>
    </row>
    <row r="60" spans="2:2" x14ac:dyDescent="0.25">
      <c r="B60" s="24" t="s">
        <v>217</v>
      </c>
    </row>
    <row r="61" spans="2:2" x14ac:dyDescent="0.25">
      <c r="B61" s="24" t="s">
        <v>222</v>
      </c>
    </row>
    <row r="62" spans="2:2" x14ac:dyDescent="0.25">
      <c r="B62" s="24" t="s">
        <v>256</v>
      </c>
    </row>
    <row r="63" spans="2:2" x14ac:dyDescent="0.25">
      <c r="B63" s="24" t="s">
        <v>224</v>
      </c>
    </row>
    <row r="64" spans="2:2" x14ac:dyDescent="0.25">
      <c r="B64" s="24" t="s">
        <v>192</v>
      </c>
    </row>
    <row r="65" spans="2:2" x14ac:dyDescent="0.25">
      <c r="B65" s="24" t="s">
        <v>225</v>
      </c>
    </row>
    <row r="66" spans="2:2" x14ac:dyDescent="0.25">
      <c r="B66" s="24" t="s">
        <v>226</v>
      </c>
    </row>
    <row r="67" spans="2:2" x14ac:dyDescent="0.25">
      <c r="B67" s="24" t="s">
        <v>227</v>
      </c>
    </row>
    <row r="68" spans="2:2" x14ac:dyDescent="0.25">
      <c r="B68" s="24" t="s">
        <v>228</v>
      </c>
    </row>
    <row r="69" spans="2:2" x14ac:dyDescent="0.25">
      <c r="B69" s="24" t="s">
        <v>257</v>
      </c>
    </row>
    <row r="70" spans="2:2" x14ac:dyDescent="0.25">
      <c r="B70" s="24" t="s">
        <v>229</v>
      </c>
    </row>
    <row r="71" spans="2:2" x14ac:dyDescent="0.25">
      <c r="B71" s="24" t="s">
        <v>230</v>
      </c>
    </row>
    <row r="72" spans="2:2" x14ac:dyDescent="0.25">
      <c r="B72" s="24" t="s">
        <v>232</v>
      </c>
    </row>
    <row r="73" spans="2:2" x14ac:dyDescent="0.25">
      <c r="B73" s="24" t="s">
        <v>174</v>
      </c>
    </row>
    <row r="74" spans="2:2" x14ac:dyDescent="0.25">
      <c r="B74" s="24" t="s">
        <v>231</v>
      </c>
    </row>
    <row r="75" spans="2:2" x14ac:dyDescent="0.25">
      <c r="B75" s="24" t="s">
        <v>234</v>
      </c>
    </row>
    <row r="76" spans="2:2" x14ac:dyDescent="0.25">
      <c r="B76" s="24" t="s">
        <v>186</v>
      </c>
    </row>
    <row r="77" spans="2:2" x14ac:dyDescent="0.25">
      <c r="B77" s="24" t="s">
        <v>258</v>
      </c>
    </row>
    <row r="78" spans="2:2" x14ac:dyDescent="0.25">
      <c r="B78" s="24" t="s">
        <v>260</v>
      </c>
    </row>
    <row r="79" spans="2:2" x14ac:dyDescent="0.25">
      <c r="B79" s="24" t="s">
        <v>237</v>
      </c>
    </row>
    <row r="80" spans="2:2" x14ac:dyDescent="0.25">
      <c r="B80" s="24" t="s">
        <v>238</v>
      </c>
    </row>
    <row r="81" spans="2:2" x14ac:dyDescent="0.25">
      <c r="B81" s="24" t="s">
        <v>223</v>
      </c>
    </row>
    <row r="82" spans="2:2" x14ac:dyDescent="0.25">
      <c r="B82" s="24" t="s">
        <v>235</v>
      </c>
    </row>
    <row r="83" spans="2:2" x14ac:dyDescent="0.25">
      <c r="B83" s="24" t="s">
        <v>236</v>
      </c>
    </row>
    <row r="84" spans="2:2" x14ac:dyDescent="0.25">
      <c r="B84" s="24" t="s">
        <v>240</v>
      </c>
    </row>
    <row r="85" spans="2:2" x14ac:dyDescent="0.25">
      <c r="B85" s="24" t="s">
        <v>239</v>
      </c>
    </row>
    <row r="86" spans="2:2" x14ac:dyDescent="0.25">
      <c r="B86" s="24" t="s">
        <v>182</v>
      </c>
    </row>
    <row r="87" spans="2:2" x14ac:dyDescent="0.25">
      <c r="B87" s="24" t="s">
        <v>242</v>
      </c>
    </row>
    <row r="88" spans="2:2" x14ac:dyDescent="0.25">
      <c r="B88" s="24" t="s">
        <v>180</v>
      </c>
    </row>
    <row r="89" spans="2:2" x14ac:dyDescent="0.25">
      <c r="B89" s="24" t="s">
        <v>200</v>
      </c>
    </row>
    <row r="90" spans="2:2" x14ac:dyDescent="0.25">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Ptf_Monitoring_GROSS_Reins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2020-10-08T00:17:26Z</dcterms:modified>
</cp:coreProperties>
</file>