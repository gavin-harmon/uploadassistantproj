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Ptf_Monitoring_NET_Reins" sheetId="4" r:id="rId3"/>
    <sheet name="Distrib_Channel_Description" sheetId="28" r:id="rId4"/>
    <sheet name="Drop_Down_Lists" sheetId="5" r:id="rId5"/>
  </sheets>
  <definedNames>
    <definedName name="_xlnm._FilterDatabase" localSheetId="1" hidden="1">Ptf_Monitoring_GROSS_Reins!$A$4:$BM$7</definedName>
    <definedName name="_xlnm._FilterDatabase" localSheetId="2" hidden="1">Ptf_Monitoring_NET_Reins!$A$4:$BL$4</definedName>
  </definedNames>
  <calcPr calcId="162913"/>
</workbook>
</file>

<file path=xl/calcChain.xml><?xml version="1.0" encoding="utf-8"?>
<calcChain xmlns="http://schemas.openxmlformats.org/spreadsheetml/2006/main">
  <c r="A34" i="26" l="1"/>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1001" i="26"/>
  <c r="A1002" i="26"/>
  <c r="A1003" i="26"/>
  <c r="A1004" i="26"/>
  <c r="A1005" i="26"/>
  <c r="A33" i="26"/>
  <c r="A6" i="26" l="1"/>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5" i="26"/>
  <c r="BH1005" i="4" l="1"/>
  <c r="BD1005" i="4"/>
  <c r="AX1005" i="4"/>
  <c r="AW1005" i="4"/>
  <c r="BI1005" i="4" s="1"/>
  <c r="AR1005" i="4"/>
  <c r="AN1005" i="4"/>
  <c r="AK1005" i="4"/>
  <c r="K1005" i="4"/>
  <c r="J1005" i="4"/>
  <c r="I1005" i="4"/>
  <c r="H1005" i="4"/>
  <c r="G1005" i="4"/>
  <c r="BI1004" i="4"/>
  <c r="BG1004" i="4"/>
  <c r="BA1004" i="4"/>
  <c r="AY1004" i="4"/>
  <c r="AX1004" i="4"/>
  <c r="AZ1004" i="4" s="1"/>
  <c r="AW1004" i="4"/>
  <c r="BK1004" i="4" s="1"/>
  <c r="AR1004" i="4"/>
  <c r="AN1004" i="4"/>
  <c r="AK1004" i="4"/>
  <c r="BH1004" i="4" s="1"/>
  <c r="K1004" i="4"/>
  <c r="J1004" i="4"/>
  <c r="I1004" i="4"/>
  <c r="H1004" i="4"/>
  <c r="G1004" i="4"/>
  <c r="AX1003" i="4"/>
  <c r="AW1003" i="4"/>
  <c r="BI1003" i="4" s="1"/>
  <c r="AR1003" i="4"/>
  <c r="AN1003" i="4"/>
  <c r="AK1003" i="4"/>
  <c r="K1003" i="4"/>
  <c r="J1003" i="4"/>
  <c r="I1003" i="4"/>
  <c r="H1003" i="4"/>
  <c r="G1003" i="4"/>
  <c r="BG1002" i="4"/>
  <c r="BC1002" i="4"/>
  <c r="BA1002" i="4"/>
  <c r="BB1002" i="4" s="1"/>
  <c r="AY1002" i="4"/>
  <c r="AX1002" i="4"/>
  <c r="AW1002" i="4"/>
  <c r="BI1002" i="4" s="1"/>
  <c r="AR1002" i="4"/>
  <c r="AN1002" i="4"/>
  <c r="AK1002" i="4"/>
  <c r="BH1002" i="4" s="1"/>
  <c r="K1002" i="4"/>
  <c r="J1002" i="4"/>
  <c r="I1002" i="4"/>
  <c r="H1002" i="4"/>
  <c r="G1002" i="4"/>
  <c r="BH1001" i="4"/>
  <c r="BD1001" i="4"/>
  <c r="AX1001" i="4"/>
  <c r="AW1001" i="4"/>
  <c r="BI1001" i="4" s="1"/>
  <c r="AR1001" i="4"/>
  <c r="AN1001" i="4"/>
  <c r="AK1001" i="4"/>
  <c r="K1001" i="4"/>
  <c r="J1001" i="4"/>
  <c r="I1001" i="4"/>
  <c r="H1001" i="4"/>
  <c r="G1001" i="4"/>
  <c r="BI1000" i="4"/>
  <c r="BG1000" i="4"/>
  <c r="BA1000" i="4"/>
  <c r="AY1000" i="4"/>
  <c r="AX1000" i="4"/>
  <c r="AZ1000" i="4" s="1"/>
  <c r="AW1000" i="4"/>
  <c r="BK1000" i="4" s="1"/>
  <c r="AR1000" i="4"/>
  <c r="AN1000" i="4"/>
  <c r="AK1000" i="4"/>
  <c r="BH1000" i="4" s="1"/>
  <c r="K1000" i="4"/>
  <c r="J1000" i="4"/>
  <c r="I1000" i="4"/>
  <c r="H1000" i="4"/>
  <c r="G1000" i="4"/>
  <c r="AX999" i="4"/>
  <c r="AW999" i="4"/>
  <c r="BI999" i="4" s="1"/>
  <c r="AR999" i="4"/>
  <c r="AN999" i="4"/>
  <c r="AK999" i="4"/>
  <c r="K999" i="4"/>
  <c r="J999" i="4"/>
  <c r="I999" i="4"/>
  <c r="H999" i="4"/>
  <c r="G999" i="4"/>
  <c r="BG998" i="4"/>
  <c r="BC998" i="4"/>
  <c r="BA998" i="4"/>
  <c r="BB998" i="4" s="1"/>
  <c r="AY998" i="4"/>
  <c r="AX998" i="4"/>
  <c r="AW998" i="4"/>
  <c r="BI998" i="4" s="1"/>
  <c r="AR998" i="4"/>
  <c r="AN998" i="4"/>
  <c r="AK998" i="4"/>
  <c r="BH998" i="4" s="1"/>
  <c r="K998" i="4"/>
  <c r="J998" i="4"/>
  <c r="I998" i="4"/>
  <c r="H998" i="4"/>
  <c r="G998" i="4"/>
  <c r="BH997" i="4"/>
  <c r="BD997" i="4"/>
  <c r="AX997" i="4"/>
  <c r="AW997" i="4"/>
  <c r="BI997" i="4" s="1"/>
  <c r="AR997" i="4"/>
  <c r="AN997" i="4"/>
  <c r="AK997" i="4"/>
  <c r="K997" i="4"/>
  <c r="J997" i="4"/>
  <c r="I997" i="4"/>
  <c r="H997" i="4"/>
  <c r="G997" i="4"/>
  <c r="BI996" i="4"/>
  <c r="BG996" i="4"/>
  <c r="BA996" i="4"/>
  <c r="AY996" i="4"/>
  <c r="AX996" i="4"/>
  <c r="AZ996" i="4" s="1"/>
  <c r="AW996" i="4"/>
  <c r="BK996" i="4" s="1"/>
  <c r="AR996" i="4"/>
  <c r="AN996" i="4"/>
  <c r="AK996" i="4"/>
  <c r="BH996" i="4" s="1"/>
  <c r="K996" i="4"/>
  <c r="J996" i="4"/>
  <c r="I996" i="4"/>
  <c r="H996" i="4"/>
  <c r="G996" i="4"/>
  <c r="AX995" i="4"/>
  <c r="AW995" i="4"/>
  <c r="BI995" i="4" s="1"/>
  <c r="AR995" i="4"/>
  <c r="AN995" i="4"/>
  <c r="AK995" i="4"/>
  <c r="K995" i="4"/>
  <c r="J995" i="4"/>
  <c r="I995" i="4"/>
  <c r="H995" i="4"/>
  <c r="G995" i="4"/>
  <c r="BG994" i="4"/>
  <c r="BC994" i="4"/>
  <c r="BA994" i="4"/>
  <c r="BB994" i="4" s="1"/>
  <c r="AY994" i="4"/>
  <c r="AX994" i="4"/>
  <c r="AW994" i="4"/>
  <c r="BI994" i="4" s="1"/>
  <c r="AR994" i="4"/>
  <c r="AN994" i="4"/>
  <c r="AK994" i="4"/>
  <c r="BH994" i="4" s="1"/>
  <c r="K994" i="4"/>
  <c r="J994" i="4"/>
  <c r="I994" i="4"/>
  <c r="H994" i="4"/>
  <c r="G994" i="4"/>
  <c r="BH993" i="4"/>
  <c r="BD993" i="4"/>
  <c r="AX993" i="4"/>
  <c r="AW993" i="4"/>
  <c r="BI993" i="4" s="1"/>
  <c r="AR993" i="4"/>
  <c r="AN993" i="4"/>
  <c r="AK993" i="4"/>
  <c r="K993" i="4"/>
  <c r="J993" i="4"/>
  <c r="I993" i="4"/>
  <c r="H993" i="4"/>
  <c r="G993" i="4"/>
  <c r="AX992" i="4"/>
  <c r="AW992" i="4"/>
  <c r="BI992" i="4" s="1"/>
  <c r="AR992" i="4"/>
  <c r="AN992" i="4"/>
  <c r="AK992" i="4"/>
  <c r="K992" i="4"/>
  <c r="J992" i="4"/>
  <c r="I992" i="4"/>
  <c r="H992" i="4"/>
  <c r="G992" i="4"/>
  <c r="BG991" i="4"/>
  <c r="BC991" i="4"/>
  <c r="BA991" i="4"/>
  <c r="BB991" i="4" s="1"/>
  <c r="AY991" i="4"/>
  <c r="AX991" i="4"/>
  <c r="AW991" i="4"/>
  <c r="BI991" i="4" s="1"/>
  <c r="AR991" i="4"/>
  <c r="AN991" i="4"/>
  <c r="AK991" i="4"/>
  <c r="BH991" i="4" s="1"/>
  <c r="K991" i="4"/>
  <c r="J991" i="4"/>
  <c r="I991" i="4"/>
  <c r="H991" i="4"/>
  <c r="G991" i="4"/>
  <c r="BH990" i="4"/>
  <c r="BD990" i="4"/>
  <c r="BE990" i="4" s="1"/>
  <c r="AX990" i="4"/>
  <c r="AW990" i="4"/>
  <c r="BI990" i="4" s="1"/>
  <c r="AR990" i="4"/>
  <c r="AN990" i="4"/>
  <c r="AK990" i="4"/>
  <c r="K990" i="4"/>
  <c r="J990" i="4"/>
  <c r="I990" i="4"/>
  <c r="H990" i="4"/>
  <c r="G990" i="4"/>
  <c r="BI989" i="4"/>
  <c r="BG989" i="4"/>
  <c r="BA989" i="4"/>
  <c r="BB989" i="4" s="1"/>
  <c r="AY989" i="4"/>
  <c r="AX989" i="4"/>
  <c r="AZ989" i="4" s="1"/>
  <c r="AW989" i="4"/>
  <c r="BK989" i="4" s="1"/>
  <c r="AR989" i="4"/>
  <c r="AN989" i="4"/>
  <c r="AK989" i="4"/>
  <c r="BH989" i="4" s="1"/>
  <c r="K989" i="4"/>
  <c r="J989" i="4"/>
  <c r="I989" i="4"/>
  <c r="H989" i="4"/>
  <c r="G989" i="4"/>
  <c r="AX988" i="4"/>
  <c r="AW988" i="4"/>
  <c r="BI988" i="4" s="1"/>
  <c r="AR988" i="4"/>
  <c r="AN988" i="4"/>
  <c r="AK988" i="4"/>
  <c r="K988" i="4"/>
  <c r="J988" i="4"/>
  <c r="I988" i="4"/>
  <c r="H988" i="4"/>
  <c r="G988" i="4"/>
  <c r="BG987" i="4"/>
  <c r="BC987" i="4"/>
  <c r="BA987" i="4"/>
  <c r="BB987" i="4" s="1"/>
  <c r="AY987" i="4"/>
  <c r="AX987" i="4"/>
  <c r="AW987" i="4"/>
  <c r="BI987" i="4" s="1"/>
  <c r="AR987" i="4"/>
  <c r="AN987" i="4"/>
  <c r="AK987" i="4"/>
  <c r="BH987" i="4" s="1"/>
  <c r="K987" i="4"/>
  <c r="J987" i="4"/>
  <c r="I987" i="4"/>
  <c r="H987" i="4"/>
  <c r="G987" i="4"/>
  <c r="BH986" i="4"/>
  <c r="BD986" i="4"/>
  <c r="BE986" i="4" s="1"/>
  <c r="AX986" i="4"/>
  <c r="AW986" i="4"/>
  <c r="BI986" i="4" s="1"/>
  <c r="AR986" i="4"/>
  <c r="AN986" i="4"/>
  <c r="AK986" i="4"/>
  <c r="K986" i="4"/>
  <c r="J986" i="4"/>
  <c r="I986" i="4"/>
  <c r="H986" i="4"/>
  <c r="G986" i="4"/>
  <c r="BI985" i="4"/>
  <c r="BG985" i="4"/>
  <c r="BA985" i="4"/>
  <c r="BB985" i="4" s="1"/>
  <c r="AY985" i="4"/>
  <c r="AX985" i="4"/>
  <c r="AZ985" i="4" s="1"/>
  <c r="AW985" i="4"/>
  <c r="BK985" i="4" s="1"/>
  <c r="AR985" i="4"/>
  <c r="AN985" i="4"/>
  <c r="AK985" i="4"/>
  <c r="BH985" i="4" s="1"/>
  <c r="K985" i="4"/>
  <c r="J985" i="4"/>
  <c r="I985" i="4"/>
  <c r="H985" i="4"/>
  <c r="G985" i="4"/>
  <c r="AX984" i="4"/>
  <c r="AW984" i="4"/>
  <c r="BI984" i="4" s="1"/>
  <c r="AR984" i="4"/>
  <c r="AN984" i="4"/>
  <c r="AK984" i="4"/>
  <c r="K984" i="4"/>
  <c r="J984" i="4"/>
  <c r="I984" i="4"/>
  <c r="H984" i="4"/>
  <c r="G984" i="4"/>
  <c r="BG983" i="4"/>
  <c r="BC983" i="4"/>
  <c r="BA983" i="4"/>
  <c r="BB983" i="4" s="1"/>
  <c r="AY983" i="4"/>
  <c r="AX983" i="4"/>
  <c r="AW983" i="4"/>
  <c r="BI983" i="4" s="1"/>
  <c r="AR983" i="4"/>
  <c r="AN983" i="4"/>
  <c r="AK983" i="4"/>
  <c r="BH983" i="4" s="1"/>
  <c r="K983" i="4"/>
  <c r="J983" i="4"/>
  <c r="I983" i="4"/>
  <c r="H983" i="4"/>
  <c r="G983" i="4"/>
  <c r="BH982" i="4"/>
  <c r="BD982" i="4"/>
  <c r="BE982" i="4" s="1"/>
  <c r="AX982" i="4"/>
  <c r="AW982" i="4"/>
  <c r="BI982" i="4" s="1"/>
  <c r="AR982" i="4"/>
  <c r="AN982" i="4"/>
  <c r="AK982" i="4"/>
  <c r="K982" i="4"/>
  <c r="J982" i="4"/>
  <c r="I982" i="4"/>
  <c r="H982" i="4"/>
  <c r="G982" i="4"/>
  <c r="BI981" i="4"/>
  <c r="BG981" i="4"/>
  <c r="BA981" i="4"/>
  <c r="BB981" i="4" s="1"/>
  <c r="AY981" i="4"/>
  <c r="AX981" i="4"/>
  <c r="AZ981" i="4" s="1"/>
  <c r="AW981" i="4"/>
  <c r="BK981" i="4" s="1"/>
  <c r="AR981" i="4"/>
  <c r="AN981" i="4"/>
  <c r="AK981" i="4"/>
  <c r="BH981" i="4" s="1"/>
  <c r="K981" i="4"/>
  <c r="J981" i="4"/>
  <c r="I981" i="4"/>
  <c r="H981" i="4"/>
  <c r="G981" i="4"/>
  <c r="AX980" i="4"/>
  <c r="AW980" i="4"/>
  <c r="BI980" i="4" s="1"/>
  <c r="AR980" i="4"/>
  <c r="AN980" i="4"/>
  <c r="AK980" i="4"/>
  <c r="K980" i="4"/>
  <c r="J980" i="4"/>
  <c r="I980" i="4"/>
  <c r="H980" i="4"/>
  <c r="G980" i="4"/>
  <c r="BG979" i="4"/>
  <c r="BC979" i="4"/>
  <c r="BA979" i="4"/>
  <c r="BB979" i="4" s="1"/>
  <c r="AY979" i="4"/>
  <c r="AX979" i="4"/>
  <c r="AW979" i="4"/>
  <c r="BI979" i="4" s="1"/>
  <c r="AR979" i="4"/>
  <c r="AN979" i="4"/>
  <c r="AK979" i="4"/>
  <c r="BH979" i="4" s="1"/>
  <c r="K979" i="4"/>
  <c r="J979" i="4"/>
  <c r="I979" i="4"/>
  <c r="H979" i="4"/>
  <c r="G979" i="4"/>
  <c r="BH978" i="4"/>
  <c r="BD978" i="4"/>
  <c r="BE978" i="4" s="1"/>
  <c r="AX978" i="4"/>
  <c r="AW978" i="4"/>
  <c r="BI978" i="4" s="1"/>
  <c r="AR978" i="4"/>
  <c r="AN978" i="4"/>
  <c r="AK978" i="4"/>
  <c r="K978" i="4"/>
  <c r="J978" i="4"/>
  <c r="I978" i="4"/>
  <c r="H978" i="4"/>
  <c r="G978" i="4"/>
  <c r="BI977" i="4"/>
  <c r="BG977" i="4"/>
  <c r="BA977" i="4"/>
  <c r="BB977" i="4" s="1"/>
  <c r="AY977" i="4"/>
  <c r="AX977" i="4"/>
  <c r="AZ977" i="4" s="1"/>
  <c r="AW977" i="4"/>
  <c r="BK977" i="4" s="1"/>
  <c r="AR977" i="4"/>
  <c r="AN977" i="4"/>
  <c r="AK977" i="4"/>
  <c r="BH977" i="4" s="1"/>
  <c r="K977" i="4"/>
  <c r="J977" i="4"/>
  <c r="I977" i="4"/>
  <c r="H977" i="4"/>
  <c r="G977" i="4"/>
  <c r="AX976" i="4"/>
  <c r="AW976" i="4"/>
  <c r="BI976" i="4" s="1"/>
  <c r="AR976" i="4"/>
  <c r="AN976" i="4"/>
  <c r="AK976" i="4"/>
  <c r="K976" i="4"/>
  <c r="J976" i="4"/>
  <c r="I976" i="4"/>
  <c r="H976" i="4"/>
  <c r="G976" i="4"/>
  <c r="BG975" i="4"/>
  <c r="BC975" i="4"/>
  <c r="BA975" i="4"/>
  <c r="BB975" i="4" s="1"/>
  <c r="AY975" i="4"/>
  <c r="AX975" i="4"/>
  <c r="AW975" i="4"/>
  <c r="BI975" i="4" s="1"/>
  <c r="AR975" i="4"/>
  <c r="AN975" i="4"/>
  <c r="AK975" i="4"/>
  <c r="BH975" i="4" s="1"/>
  <c r="K975" i="4"/>
  <c r="J975" i="4"/>
  <c r="I975" i="4"/>
  <c r="H975" i="4"/>
  <c r="G975" i="4"/>
  <c r="BH974" i="4"/>
  <c r="BD974" i="4"/>
  <c r="BE974" i="4" s="1"/>
  <c r="AX974" i="4"/>
  <c r="AW974" i="4"/>
  <c r="BI974" i="4" s="1"/>
  <c r="AR974" i="4"/>
  <c r="AN974" i="4"/>
  <c r="AK974" i="4"/>
  <c r="K974" i="4"/>
  <c r="J974" i="4"/>
  <c r="I974" i="4"/>
  <c r="H974" i="4"/>
  <c r="G974" i="4"/>
  <c r="BA973" i="4"/>
  <c r="BB973" i="4" s="1"/>
  <c r="AY973" i="4"/>
  <c r="AX973" i="4"/>
  <c r="AZ973" i="4" s="1"/>
  <c r="AW973" i="4"/>
  <c r="BI973" i="4" s="1"/>
  <c r="AR973" i="4"/>
  <c r="BG973" i="4" s="1"/>
  <c r="AN973" i="4"/>
  <c r="AK973" i="4"/>
  <c r="K973" i="4"/>
  <c r="J973" i="4"/>
  <c r="I973" i="4"/>
  <c r="H973" i="4"/>
  <c r="G973" i="4"/>
  <c r="AX972" i="4"/>
  <c r="AW972" i="4"/>
  <c r="BI972" i="4" s="1"/>
  <c r="AR972" i="4"/>
  <c r="BG972" i="4" s="1"/>
  <c r="AN972" i="4"/>
  <c r="AK972" i="4"/>
  <c r="BK972" i="4" s="1"/>
  <c r="K972" i="4"/>
  <c r="J972" i="4"/>
  <c r="I972" i="4"/>
  <c r="H972" i="4"/>
  <c r="G972" i="4"/>
  <c r="BG971" i="4"/>
  <c r="BA971" i="4"/>
  <c r="BB971" i="4" s="1"/>
  <c r="AY971" i="4"/>
  <c r="AX971" i="4"/>
  <c r="AZ971" i="4" s="1"/>
  <c r="AW971" i="4"/>
  <c r="AR971" i="4"/>
  <c r="AN971" i="4"/>
  <c r="AK971" i="4"/>
  <c r="BH971" i="4" s="1"/>
  <c r="K971" i="4"/>
  <c r="J971" i="4"/>
  <c r="I971" i="4"/>
  <c r="H971" i="4"/>
  <c r="G971" i="4"/>
  <c r="AX970" i="4"/>
  <c r="AW970" i="4"/>
  <c r="BI970" i="4" s="1"/>
  <c r="AR970" i="4"/>
  <c r="AN970" i="4"/>
  <c r="AK970" i="4"/>
  <c r="BH970" i="4" s="1"/>
  <c r="K970" i="4"/>
  <c r="J970" i="4"/>
  <c r="I970" i="4"/>
  <c r="H970" i="4"/>
  <c r="G970" i="4"/>
  <c r="BG969" i="4"/>
  <c r="BC969" i="4"/>
  <c r="BA969" i="4"/>
  <c r="BB969" i="4" s="1"/>
  <c r="AY969" i="4"/>
  <c r="AX969" i="4"/>
  <c r="AW969" i="4"/>
  <c r="BK969" i="4" s="1"/>
  <c r="AR969" i="4"/>
  <c r="AN969" i="4"/>
  <c r="AK969" i="4"/>
  <c r="BH969" i="4" s="1"/>
  <c r="K969" i="4"/>
  <c r="J969" i="4"/>
  <c r="I969" i="4"/>
  <c r="H969" i="4"/>
  <c r="G969" i="4"/>
  <c r="BH968" i="4"/>
  <c r="BD968" i="4"/>
  <c r="BE968" i="4" s="1"/>
  <c r="AX968" i="4"/>
  <c r="AW968" i="4"/>
  <c r="BI968" i="4" s="1"/>
  <c r="AR968" i="4"/>
  <c r="AN968" i="4"/>
  <c r="AK968" i="4"/>
  <c r="K968" i="4"/>
  <c r="J968" i="4"/>
  <c r="I968" i="4"/>
  <c r="H968" i="4"/>
  <c r="G968" i="4"/>
  <c r="BI967" i="4"/>
  <c r="BG967" i="4"/>
  <c r="BA967" i="4"/>
  <c r="BB967" i="4" s="1"/>
  <c r="AY967" i="4"/>
  <c r="AX967" i="4"/>
  <c r="AZ967" i="4" s="1"/>
  <c r="AW967" i="4"/>
  <c r="BK967" i="4" s="1"/>
  <c r="AR967" i="4"/>
  <c r="AN967" i="4"/>
  <c r="AK967" i="4"/>
  <c r="BH967" i="4" s="1"/>
  <c r="K967" i="4"/>
  <c r="J967" i="4"/>
  <c r="I967" i="4"/>
  <c r="H967" i="4"/>
  <c r="G967" i="4"/>
  <c r="AX966" i="4"/>
  <c r="AW966" i="4"/>
  <c r="BI966" i="4" s="1"/>
  <c r="AR966" i="4"/>
  <c r="AN966" i="4"/>
  <c r="AK966" i="4"/>
  <c r="BH966" i="4" s="1"/>
  <c r="K966" i="4"/>
  <c r="J966" i="4"/>
  <c r="I966" i="4"/>
  <c r="H966" i="4"/>
  <c r="G966" i="4"/>
  <c r="BG965" i="4"/>
  <c r="BC965" i="4"/>
  <c r="BA965" i="4"/>
  <c r="BB965" i="4" s="1"/>
  <c r="AY965" i="4"/>
  <c r="AX965" i="4"/>
  <c r="AW965" i="4"/>
  <c r="BK965" i="4" s="1"/>
  <c r="AR965" i="4"/>
  <c r="AN965" i="4"/>
  <c r="AK965" i="4"/>
  <c r="BH965" i="4" s="1"/>
  <c r="K965" i="4"/>
  <c r="J965" i="4"/>
  <c r="I965" i="4"/>
  <c r="H965" i="4"/>
  <c r="G965" i="4"/>
  <c r="BH964" i="4"/>
  <c r="BD964" i="4"/>
  <c r="BE964" i="4" s="1"/>
  <c r="AX964" i="4"/>
  <c r="AW964" i="4"/>
  <c r="BI964" i="4" s="1"/>
  <c r="AR964" i="4"/>
  <c r="AN964" i="4"/>
  <c r="AK964" i="4"/>
  <c r="K964" i="4"/>
  <c r="J964" i="4"/>
  <c r="I964" i="4"/>
  <c r="H964" i="4"/>
  <c r="G964" i="4"/>
  <c r="BI963" i="4"/>
  <c r="BG963" i="4"/>
  <c r="BA963" i="4"/>
  <c r="BB963" i="4" s="1"/>
  <c r="AY963" i="4"/>
  <c r="AX963" i="4"/>
  <c r="AZ963" i="4" s="1"/>
  <c r="AW963" i="4"/>
  <c r="BK963" i="4" s="1"/>
  <c r="AR963" i="4"/>
  <c r="AN963" i="4"/>
  <c r="AK963" i="4"/>
  <c r="BH963" i="4" s="1"/>
  <c r="K963" i="4"/>
  <c r="J963" i="4"/>
  <c r="I963" i="4"/>
  <c r="H963" i="4"/>
  <c r="G963" i="4"/>
  <c r="AX962" i="4"/>
  <c r="AW962" i="4"/>
  <c r="BI962" i="4" s="1"/>
  <c r="AR962" i="4"/>
  <c r="AN962" i="4"/>
  <c r="AK962" i="4"/>
  <c r="BH962" i="4" s="1"/>
  <c r="K962" i="4"/>
  <c r="J962" i="4"/>
  <c r="I962" i="4"/>
  <c r="H962" i="4"/>
  <c r="G962" i="4"/>
  <c r="BG961" i="4"/>
  <c r="BC961" i="4"/>
  <c r="BA961" i="4"/>
  <c r="BB961" i="4" s="1"/>
  <c r="AY961" i="4"/>
  <c r="AX961" i="4"/>
  <c r="AW961" i="4"/>
  <c r="BK961" i="4" s="1"/>
  <c r="AR961" i="4"/>
  <c r="AN961" i="4"/>
  <c r="AK961" i="4"/>
  <c r="BH961" i="4" s="1"/>
  <c r="K961" i="4"/>
  <c r="J961" i="4"/>
  <c r="I961" i="4"/>
  <c r="H961" i="4"/>
  <c r="G961" i="4"/>
  <c r="BH960" i="4"/>
  <c r="BD960" i="4"/>
  <c r="BE960" i="4" s="1"/>
  <c r="AX960" i="4"/>
  <c r="AW960" i="4"/>
  <c r="BI960" i="4" s="1"/>
  <c r="AR960" i="4"/>
  <c r="AN960" i="4"/>
  <c r="AK960" i="4"/>
  <c r="K960" i="4"/>
  <c r="J960" i="4"/>
  <c r="I960" i="4"/>
  <c r="H960" i="4"/>
  <c r="G960" i="4"/>
  <c r="BI959" i="4"/>
  <c r="BG959" i="4"/>
  <c r="BA959" i="4"/>
  <c r="BB959" i="4" s="1"/>
  <c r="AY959" i="4"/>
  <c r="AX959" i="4"/>
  <c r="AZ959" i="4" s="1"/>
  <c r="AW959" i="4"/>
  <c r="BK959" i="4" s="1"/>
  <c r="AR959" i="4"/>
  <c r="AN959" i="4"/>
  <c r="AK959" i="4"/>
  <c r="BH959" i="4" s="1"/>
  <c r="K959" i="4"/>
  <c r="J959" i="4"/>
  <c r="I959" i="4"/>
  <c r="H959" i="4"/>
  <c r="G959" i="4"/>
  <c r="AX958" i="4"/>
  <c r="AW958" i="4"/>
  <c r="BI958" i="4" s="1"/>
  <c r="AR958" i="4"/>
  <c r="AN958" i="4"/>
  <c r="AK958" i="4"/>
  <c r="BH958" i="4" s="1"/>
  <c r="K958" i="4"/>
  <c r="J958" i="4"/>
  <c r="I958" i="4"/>
  <c r="H958" i="4"/>
  <c r="G958" i="4"/>
  <c r="BG957" i="4"/>
  <c r="BC957" i="4"/>
  <c r="BA957" i="4"/>
  <c r="BB957" i="4" s="1"/>
  <c r="AY957" i="4"/>
  <c r="AX957" i="4"/>
  <c r="AW957" i="4"/>
  <c r="BK957" i="4" s="1"/>
  <c r="AR957" i="4"/>
  <c r="AN957" i="4"/>
  <c r="AK957" i="4"/>
  <c r="BH957" i="4" s="1"/>
  <c r="K957" i="4"/>
  <c r="J957" i="4"/>
  <c r="I957" i="4"/>
  <c r="H957" i="4"/>
  <c r="G957" i="4"/>
  <c r="BH956" i="4"/>
  <c r="BD956" i="4"/>
  <c r="BE956" i="4" s="1"/>
  <c r="AX956" i="4"/>
  <c r="AW956" i="4"/>
  <c r="BI956" i="4" s="1"/>
  <c r="AR956" i="4"/>
  <c r="AN956" i="4"/>
  <c r="AK956" i="4"/>
  <c r="K956" i="4"/>
  <c r="J956" i="4"/>
  <c r="I956" i="4"/>
  <c r="H956" i="4"/>
  <c r="G956" i="4"/>
  <c r="BI955" i="4"/>
  <c r="BG955" i="4"/>
  <c r="BA955" i="4"/>
  <c r="BB955" i="4" s="1"/>
  <c r="AY955" i="4"/>
  <c r="AX955" i="4"/>
  <c r="AZ955" i="4" s="1"/>
  <c r="AW955" i="4"/>
  <c r="BK955" i="4" s="1"/>
  <c r="AR955" i="4"/>
  <c r="AN955" i="4"/>
  <c r="AK955" i="4"/>
  <c r="BH955" i="4" s="1"/>
  <c r="K955" i="4"/>
  <c r="J955" i="4"/>
  <c r="I955" i="4"/>
  <c r="H955" i="4"/>
  <c r="G955" i="4"/>
  <c r="AX954" i="4"/>
  <c r="AW954" i="4"/>
  <c r="BI954" i="4" s="1"/>
  <c r="AR954" i="4"/>
  <c r="AN954" i="4"/>
  <c r="AK954" i="4"/>
  <c r="K954" i="4"/>
  <c r="J954" i="4"/>
  <c r="I954" i="4"/>
  <c r="H954" i="4"/>
  <c r="G954" i="4"/>
  <c r="BG953" i="4"/>
  <c r="BC953" i="4"/>
  <c r="BA953" i="4"/>
  <c r="BB953" i="4" s="1"/>
  <c r="AY953" i="4"/>
  <c r="AX953" i="4"/>
  <c r="AW953" i="4"/>
  <c r="BI953" i="4" s="1"/>
  <c r="AR953" i="4"/>
  <c r="AN953" i="4"/>
  <c r="AK953" i="4"/>
  <c r="BH953" i="4" s="1"/>
  <c r="K953" i="4"/>
  <c r="J953" i="4"/>
  <c r="I953" i="4"/>
  <c r="H953" i="4"/>
  <c r="G953" i="4"/>
  <c r="BH952" i="4"/>
  <c r="BD952" i="4"/>
  <c r="AX952" i="4"/>
  <c r="AW952" i="4"/>
  <c r="BI952" i="4" s="1"/>
  <c r="AR952" i="4"/>
  <c r="AN952" i="4"/>
  <c r="AK952" i="4"/>
  <c r="K952" i="4"/>
  <c r="J952" i="4"/>
  <c r="I952" i="4"/>
  <c r="H952" i="4"/>
  <c r="G952" i="4"/>
  <c r="BI951" i="4"/>
  <c r="BG951" i="4"/>
  <c r="BA951" i="4"/>
  <c r="AY951" i="4"/>
  <c r="AX951" i="4"/>
  <c r="AZ951" i="4" s="1"/>
  <c r="AW951" i="4"/>
  <c r="BK951" i="4" s="1"/>
  <c r="AR951" i="4"/>
  <c r="AN951" i="4"/>
  <c r="AK951" i="4"/>
  <c r="BH951" i="4" s="1"/>
  <c r="K951" i="4"/>
  <c r="J951" i="4"/>
  <c r="I951" i="4"/>
  <c r="H951" i="4"/>
  <c r="G951" i="4"/>
  <c r="AX950" i="4"/>
  <c r="AW950" i="4"/>
  <c r="BI950" i="4" s="1"/>
  <c r="AR950" i="4"/>
  <c r="AN950" i="4"/>
  <c r="AK950" i="4"/>
  <c r="K950" i="4"/>
  <c r="J950" i="4"/>
  <c r="I950" i="4"/>
  <c r="H950" i="4"/>
  <c r="G950" i="4"/>
  <c r="BG949" i="4"/>
  <c r="BC949" i="4"/>
  <c r="BA949" i="4"/>
  <c r="BB949" i="4" s="1"/>
  <c r="AY949" i="4"/>
  <c r="AX949" i="4"/>
  <c r="AW949" i="4"/>
  <c r="BI949" i="4" s="1"/>
  <c r="AR949" i="4"/>
  <c r="AN949" i="4"/>
  <c r="AK949" i="4"/>
  <c r="BH949" i="4" s="1"/>
  <c r="K949" i="4"/>
  <c r="J949" i="4"/>
  <c r="I949" i="4"/>
  <c r="H949" i="4"/>
  <c r="G949" i="4"/>
  <c r="BH948" i="4"/>
  <c r="BD948" i="4"/>
  <c r="AX948" i="4"/>
  <c r="AW948" i="4"/>
  <c r="BI948" i="4" s="1"/>
  <c r="AR948" i="4"/>
  <c r="AN948" i="4"/>
  <c r="AK948" i="4"/>
  <c r="K948" i="4"/>
  <c r="J948" i="4"/>
  <c r="I948" i="4"/>
  <c r="H948" i="4"/>
  <c r="G948" i="4"/>
  <c r="BI947" i="4"/>
  <c r="BG947" i="4"/>
  <c r="BA947" i="4"/>
  <c r="AY947" i="4"/>
  <c r="AX947" i="4"/>
  <c r="AZ947" i="4" s="1"/>
  <c r="AW947" i="4"/>
  <c r="BK947" i="4" s="1"/>
  <c r="AR947" i="4"/>
  <c r="AN947" i="4"/>
  <c r="AK947" i="4"/>
  <c r="BH947" i="4" s="1"/>
  <c r="K947" i="4"/>
  <c r="J947" i="4"/>
  <c r="I947" i="4"/>
  <c r="H947" i="4"/>
  <c r="G947" i="4"/>
  <c r="AX946" i="4"/>
  <c r="AW946" i="4"/>
  <c r="BI946" i="4" s="1"/>
  <c r="AR946" i="4"/>
  <c r="AN946" i="4"/>
  <c r="AK946" i="4"/>
  <c r="K946" i="4"/>
  <c r="J946" i="4"/>
  <c r="I946" i="4"/>
  <c r="H946" i="4"/>
  <c r="G946" i="4"/>
  <c r="BG945" i="4"/>
  <c r="BC945" i="4"/>
  <c r="BA945" i="4"/>
  <c r="BB945" i="4" s="1"/>
  <c r="AY945" i="4"/>
  <c r="AX945" i="4"/>
  <c r="AW945" i="4"/>
  <c r="BI945" i="4" s="1"/>
  <c r="AR945" i="4"/>
  <c r="AN945" i="4"/>
  <c r="AK945" i="4"/>
  <c r="BH945" i="4" s="1"/>
  <c r="K945" i="4"/>
  <c r="J945" i="4"/>
  <c r="I945" i="4"/>
  <c r="H945" i="4"/>
  <c r="G945" i="4"/>
  <c r="BD944" i="4"/>
  <c r="AX944" i="4"/>
  <c r="AW944" i="4"/>
  <c r="BI944" i="4" s="1"/>
  <c r="AR944" i="4"/>
  <c r="AN944" i="4"/>
  <c r="AK944" i="4"/>
  <c r="K944" i="4"/>
  <c r="J944" i="4"/>
  <c r="I944" i="4"/>
  <c r="H944" i="4"/>
  <c r="G944" i="4"/>
  <c r="BI943" i="4"/>
  <c r="BG943" i="4"/>
  <c r="BA943" i="4"/>
  <c r="BB943" i="4" s="1"/>
  <c r="AY943" i="4"/>
  <c r="AX943" i="4"/>
  <c r="AZ943" i="4" s="1"/>
  <c r="AW943" i="4"/>
  <c r="BK943" i="4" s="1"/>
  <c r="AR943" i="4"/>
  <c r="AN943" i="4"/>
  <c r="AK943" i="4"/>
  <c r="BH943" i="4" s="1"/>
  <c r="K943" i="4"/>
  <c r="J943" i="4"/>
  <c r="I943" i="4"/>
  <c r="H943" i="4"/>
  <c r="G943" i="4"/>
  <c r="AX942" i="4"/>
  <c r="AW942" i="4"/>
  <c r="BI942" i="4" s="1"/>
  <c r="AR942" i="4"/>
  <c r="AN942" i="4"/>
  <c r="AK942" i="4"/>
  <c r="BH942" i="4" s="1"/>
  <c r="K942" i="4"/>
  <c r="J942" i="4"/>
  <c r="I942" i="4"/>
  <c r="H942" i="4"/>
  <c r="G942" i="4"/>
  <c r="BG941" i="4"/>
  <c r="BC941" i="4"/>
  <c r="BA941" i="4"/>
  <c r="BB941" i="4" s="1"/>
  <c r="AY941" i="4"/>
  <c r="AX941" i="4"/>
  <c r="AW941" i="4"/>
  <c r="BK941" i="4" s="1"/>
  <c r="AR941" i="4"/>
  <c r="AN941" i="4"/>
  <c r="AK941" i="4"/>
  <c r="BH941" i="4" s="1"/>
  <c r="K941" i="4"/>
  <c r="J941" i="4"/>
  <c r="I941" i="4"/>
  <c r="H941" i="4"/>
  <c r="G941" i="4"/>
  <c r="BH940" i="4"/>
  <c r="BD940" i="4"/>
  <c r="BE940" i="4" s="1"/>
  <c r="AX940" i="4"/>
  <c r="AW940" i="4"/>
  <c r="BI940" i="4" s="1"/>
  <c r="AR940" i="4"/>
  <c r="AN940" i="4"/>
  <c r="AK940" i="4"/>
  <c r="K940" i="4"/>
  <c r="J940" i="4"/>
  <c r="I940" i="4"/>
  <c r="H940" i="4"/>
  <c r="G940" i="4"/>
  <c r="BI939" i="4"/>
  <c r="BG939" i="4"/>
  <c r="BA939" i="4"/>
  <c r="BB939" i="4" s="1"/>
  <c r="AY939" i="4"/>
  <c r="AX939" i="4"/>
  <c r="AZ939" i="4" s="1"/>
  <c r="AW939" i="4"/>
  <c r="BK939" i="4" s="1"/>
  <c r="AR939" i="4"/>
  <c r="AN939" i="4"/>
  <c r="AK939" i="4"/>
  <c r="BH939" i="4" s="1"/>
  <c r="K939" i="4"/>
  <c r="J939" i="4"/>
  <c r="I939" i="4"/>
  <c r="H939" i="4"/>
  <c r="G939" i="4"/>
  <c r="AX938" i="4"/>
  <c r="AW938" i="4"/>
  <c r="BI938" i="4" s="1"/>
  <c r="AR938" i="4"/>
  <c r="AN938" i="4"/>
  <c r="AK938" i="4"/>
  <c r="BH938" i="4" s="1"/>
  <c r="K938" i="4"/>
  <c r="J938" i="4"/>
  <c r="I938" i="4"/>
  <c r="H938" i="4"/>
  <c r="G938" i="4"/>
  <c r="BG937" i="4"/>
  <c r="BC937" i="4"/>
  <c r="BA937" i="4"/>
  <c r="BB937" i="4" s="1"/>
  <c r="AY937" i="4"/>
  <c r="AX937" i="4"/>
  <c r="AW937" i="4"/>
  <c r="BK937" i="4" s="1"/>
  <c r="AR937" i="4"/>
  <c r="AN937" i="4"/>
  <c r="AK937" i="4"/>
  <c r="BH937" i="4" s="1"/>
  <c r="K937" i="4"/>
  <c r="J937" i="4"/>
  <c r="I937" i="4"/>
  <c r="H937" i="4"/>
  <c r="G937" i="4"/>
  <c r="BH936" i="4"/>
  <c r="BD936" i="4"/>
  <c r="BE936" i="4" s="1"/>
  <c r="AX936" i="4"/>
  <c r="AW936" i="4"/>
  <c r="BI936" i="4" s="1"/>
  <c r="AR936" i="4"/>
  <c r="AN936" i="4"/>
  <c r="AK936" i="4"/>
  <c r="K936" i="4"/>
  <c r="J936" i="4"/>
  <c r="I936" i="4"/>
  <c r="H936" i="4"/>
  <c r="G936" i="4"/>
  <c r="BI935" i="4"/>
  <c r="BG935" i="4"/>
  <c r="BA935" i="4"/>
  <c r="BB935" i="4" s="1"/>
  <c r="AY935" i="4"/>
  <c r="AX935" i="4"/>
  <c r="AZ935" i="4" s="1"/>
  <c r="AW935" i="4"/>
  <c r="BK935" i="4" s="1"/>
  <c r="AR935" i="4"/>
  <c r="AN935" i="4"/>
  <c r="AK935" i="4"/>
  <c r="BH935" i="4" s="1"/>
  <c r="K935" i="4"/>
  <c r="J935" i="4"/>
  <c r="I935" i="4"/>
  <c r="H935" i="4"/>
  <c r="G935" i="4"/>
  <c r="AX934" i="4"/>
  <c r="AW934" i="4"/>
  <c r="BI934" i="4" s="1"/>
  <c r="AR934" i="4"/>
  <c r="AN934" i="4"/>
  <c r="AK934" i="4"/>
  <c r="BH934" i="4" s="1"/>
  <c r="K934" i="4"/>
  <c r="J934" i="4"/>
  <c r="I934" i="4"/>
  <c r="H934" i="4"/>
  <c r="G934" i="4"/>
  <c r="BG933" i="4"/>
  <c r="BC933" i="4"/>
  <c r="BA933" i="4"/>
  <c r="BB933" i="4" s="1"/>
  <c r="AY933" i="4"/>
  <c r="AX933" i="4"/>
  <c r="AW933" i="4"/>
  <c r="BK933" i="4" s="1"/>
  <c r="AR933" i="4"/>
  <c r="AN933" i="4"/>
  <c r="AK933" i="4"/>
  <c r="BH933" i="4" s="1"/>
  <c r="K933" i="4"/>
  <c r="J933" i="4"/>
  <c r="I933" i="4"/>
  <c r="H933" i="4"/>
  <c r="G933" i="4"/>
  <c r="AX932" i="4"/>
  <c r="AW932" i="4"/>
  <c r="BI932" i="4" s="1"/>
  <c r="AR932" i="4"/>
  <c r="BG932" i="4" s="1"/>
  <c r="AN932" i="4"/>
  <c r="AK932" i="4"/>
  <c r="BK932" i="4" s="1"/>
  <c r="K932" i="4"/>
  <c r="J932" i="4"/>
  <c r="I932" i="4"/>
  <c r="H932" i="4"/>
  <c r="G932" i="4"/>
  <c r="BG931" i="4"/>
  <c r="BA931" i="4"/>
  <c r="BC931" i="4" s="1"/>
  <c r="AY931" i="4"/>
  <c r="AX931" i="4"/>
  <c r="AZ931" i="4" s="1"/>
  <c r="AW931" i="4"/>
  <c r="BK931" i="4" s="1"/>
  <c r="AR931" i="4"/>
  <c r="AN931" i="4"/>
  <c r="AK931" i="4"/>
  <c r="BH931" i="4" s="1"/>
  <c r="K931" i="4"/>
  <c r="J931" i="4"/>
  <c r="I931" i="4"/>
  <c r="H931" i="4"/>
  <c r="G931" i="4"/>
  <c r="AX930" i="4"/>
  <c r="AW930" i="4"/>
  <c r="BI930" i="4" s="1"/>
  <c r="AR930" i="4"/>
  <c r="BG930" i="4" s="1"/>
  <c r="AN930" i="4"/>
  <c r="AK930" i="4"/>
  <c r="BH930" i="4" s="1"/>
  <c r="K930" i="4"/>
  <c r="J930" i="4"/>
  <c r="I930" i="4"/>
  <c r="H930" i="4"/>
  <c r="G930" i="4"/>
  <c r="BG929" i="4"/>
  <c r="BA929" i="4"/>
  <c r="BC929" i="4" s="1"/>
  <c r="AY929" i="4"/>
  <c r="AX929" i="4"/>
  <c r="AZ929" i="4" s="1"/>
  <c r="AW929" i="4"/>
  <c r="BK929" i="4" s="1"/>
  <c r="AR929" i="4"/>
  <c r="AN929" i="4"/>
  <c r="AK929" i="4"/>
  <c r="BH929" i="4" s="1"/>
  <c r="K929" i="4"/>
  <c r="J929" i="4"/>
  <c r="I929" i="4"/>
  <c r="H929" i="4"/>
  <c r="G929" i="4"/>
  <c r="AX928" i="4"/>
  <c r="AW928" i="4"/>
  <c r="BI928" i="4" s="1"/>
  <c r="AR928" i="4"/>
  <c r="BG928" i="4" s="1"/>
  <c r="AN928" i="4"/>
  <c r="AK928" i="4"/>
  <c r="BH928" i="4" s="1"/>
  <c r="K928" i="4"/>
  <c r="J928" i="4"/>
  <c r="I928" i="4"/>
  <c r="H928" i="4"/>
  <c r="G928" i="4"/>
  <c r="BG927" i="4"/>
  <c r="BA927" i="4"/>
  <c r="BC927" i="4" s="1"/>
  <c r="AY927" i="4"/>
  <c r="AX927" i="4"/>
  <c r="AZ927" i="4" s="1"/>
  <c r="AW927" i="4"/>
  <c r="BK927" i="4" s="1"/>
  <c r="AR927" i="4"/>
  <c r="AN927" i="4"/>
  <c r="AK927" i="4"/>
  <c r="BH927" i="4" s="1"/>
  <c r="K927" i="4"/>
  <c r="J927" i="4"/>
  <c r="I927" i="4"/>
  <c r="H927" i="4"/>
  <c r="G927" i="4"/>
  <c r="AX926" i="4"/>
  <c r="AW926" i="4"/>
  <c r="BI926" i="4" s="1"/>
  <c r="AR926" i="4"/>
  <c r="BG926" i="4" s="1"/>
  <c r="AN926" i="4"/>
  <c r="AK926" i="4"/>
  <c r="BH926" i="4" s="1"/>
  <c r="K926" i="4"/>
  <c r="J926" i="4"/>
  <c r="I926" i="4"/>
  <c r="H926" i="4"/>
  <c r="G926" i="4"/>
  <c r="BG925" i="4"/>
  <c r="BA925" i="4"/>
  <c r="BC925" i="4" s="1"/>
  <c r="AY925" i="4"/>
  <c r="AX925" i="4"/>
  <c r="AZ925" i="4" s="1"/>
  <c r="AW925" i="4"/>
  <c r="BK925" i="4" s="1"/>
  <c r="AR925" i="4"/>
  <c r="AN925" i="4"/>
  <c r="AK925" i="4"/>
  <c r="BH925" i="4" s="1"/>
  <c r="K925" i="4"/>
  <c r="J925" i="4"/>
  <c r="I925" i="4"/>
  <c r="H925" i="4"/>
  <c r="G925" i="4"/>
  <c r="AX924" i="4"/>
  <c r="AW924" i="4"/>
  <c r="BI924" i="4" s="1"/>
  <c r="AR924" i="4"/>
  <c r="AN924" i="4"/>
  <c r="AK924" i="4"/>
  <c r="BH924" i="4" s="1"/>
  <c r="K924" i="4"/>
  <c r="J924" i="4"/>
  <c r="I924" i="4"/>
  <c r="H924" i="4"/>
  <c r="G924" i="4"/>
  <c r="BG923" i="4"/>
  <c r="BC923" i="4"/>
  <c r="BA923" i="4"/>
  <c r="BB923" i="4" s="1"/>
  <c r="AY923" i="4"/>
  <c r="AX923" i="4"/>
  <c r="AW923" i="4"/>
  <c r="BK923" i="4" s="1"/>
  <c r="AR923" i="4"/>
  <c r="AN923" i="4"/>
  <c r="AK923" i="4"/>
  <c r="BH923" i="4" s="1"/>
  <c r="K923" i="4"/>
  <c r="J923" i="4"/>
  <c r="I923" i="4"/>
  <c r="H923" i="4"/>
  <c r="G923" i="4"/>
  <c r="BH922" i="4"/>
  <c r="BD922" i="4"/>
  <c r="BE922" i="4" s="1"/>
  <c r="AX922" i="4"/>
  <c r="AW922" i="4"/>
  <c r="BI922" i="4" s="1"/>
  <c r="AR922" i="4"/>
  <c r="AN922" i="4"/>
  <c r="AK922" i="4"/>
  <c r="K922" i="4"/>
  <c r="J922" i="4"/>
  <c r="I922" i="4"/>
  <c r="H922" i="4"/>
  <c r="G922" i="4"/>
  <c r="BI921" i="4"/>
  <c r="BG921" i="4"/>
  <c r="BA921" i="4"/>
  <c r="BB921" i="4" s="1"/>
  <c r="AY921" i="4"/>
  <c r="AX921" i="4"/>
  <c r="AZ921" i="4" s="1"/>
  <c r="AW921" i="4"/>
  <c r="BK921" i="4" s="1"/>
  <c r="AR921" i="4"/>
  <c r="AN921" i="4"/>
  <c r="AK921" i="4"/>
  <c r="BH921" i="4" s="1"/>
  <c r="K921" i="4"/>
  <c r="J921" i="4"/>
  <c r="I921" i="4"/>
  <c r="H921" i="4"/>
  <c r="G921" i="4"/>
  <c r="AX920" i="4"/>
  <c r="AW920" i="4"/>
  <c r="BI920" i="4" s="1"/>
  <c r="AR920" i="4"/>
  <c r="AN920" i="4"/>
  <c r="AK920" i="4"/>
  <c r="BH920" i="4" s="1"/>
  <c r="K920" i="4"/>
  <c r="J920" i="4"/>
  <c r="I920" i="4"/>
  <c r="H920" i="4"/>
  <c r="G920" i="4"/>
  <c r="BG919" i="4"/>
  <c r="BC919" i="4"/>
  <c r="BA919" i="4"/>
  <c r="BB919" i="4" s="1"/>
  <c r="AY919" i="4"/>
  <c r="AX919" i="4"/>
  <c r="AW919" i="4"/>
  <c r="BK919" i="4" s="1"/>
  <c r="AR919" i="4"/>
  <c r="AN919" i="4"/>
  <c r="AK919" i="4"/>
  <c r="BH919" i="4" s="1"/>
  <c r="K919" i="4"/>
  <c r="J919" i="4"/>
  <c r="I919" i="4"/>
  <c r="H919" i="4"/>
  <c r="G919" i="4"/>
  <c r="BH918" i="4"/>
  <c r="BD918" i="4"/>
  <c r="BE918" i="4" s="1"/>
  <c r="AX918" i="4"/>
  <c r="AW918" i="4"/>
  <c r="BI918" i="4" s="1"/>
  <c r="AR918" i="4"/>
  <c r="AN918" i="4"/>
  <c r="AK918" i="4"/>
  <c r="K918" i="4"/>
  <c r="J918" i="4"/>
  <c r="I918" i="4"/>
  <c r="H918" i="4"/>
  <c r="G918" i="4"/>
  <c r="BI917" i="4"/>
  <c r="BG917" i="4"/>
  <c r="BA917" i="4"/>
  <c r="BB917" i="4" s="1"/>
  <c r="AY917" i="4"/>
  <c r="AX917" i="4"/>
  <c r="AZ917" i="4" s="1"/>
  <c r="AW917" i="4"/>
  <c r="BK917" i="4" s="1"/>
  <c r="AR917" i="4"/>
  <c r="AN917" i="4"/>
  <c r="AK917" i="4"/>
  <c r="BH917" i="4" s="1"/>
  <c r="K917" i="4"/>
  <c r="J917" i="4"/>
  <c r="I917" i="4"/>
  <c r="H917" i="4"/>
  <c r="G917" i="4"/>
  <c r="AX916" i="4"/>
  <c r="AW916" i="4"/>
  <c r="BI916" i="4" s="1"/>
  <c r="AR916" i="4"/>
  <c r="AN916" i="4"/>
  <c r="AK916" i="4"/>
  <c r="BH916" i="4" s="1"/>
  <c r="K916" i="4"/>
  <c r="J916" i="4"/>
  <c r="I916" i="4"/>
  <c r="H916" i="4"/>
  <c r="G916" i="4"/>
  <c r="BG915" i="4"/>
  <c r="BC915" i="4"/>
  <c r="BA915" i="4"/>
  <c r="BB915" i="4" s="1"/>
  <c r="AY915" i="4"/>
  <c r="AX915" i="4"/>
  <c r="AW915" i="4"/>
  <c r="BK915" i="4" s="1"/>
  <c r="AR915" i="4"/>
  <c r="AN915" i="4"/>
  <c r="AK915" i="4"/>
  <c r="BH915" i="4" s="1"/>
  <c r="K915" i="4"/>
  <c r="J915" i="4"/>
  <c r="I915" i="4"/>
  <c r="H915" i="4"/>
  <c r="G915" i="4"/>
  <c r="AX914" i="4"/>
  <c r="AW914" i="4"/>
  <c r="BI914" i="4" s="1"/>
  <c r="AR914" i="4"/>
  <c r="BG914" i="4" s="1"/>
  <c r="AN914" i="4"/>
  <c r="AK914" i="4"/>
  <c r="BK914" i="4" s="1"/>
  <c r="K914" i="4"/>
  <c r="J914" i="4"/>
  <c r="I914" i="4"/>
  <c r="H914" i="4"/>
  <c r="G914" i="4"/>
  <c r="BG913" i="4"/>
  <c r="BA913" i="4"/>
  <c r="BC913" i="4" s="1"/>
  <c r="AY913" i="4"/>
  <c r="AX913" i="4"/>
  <c r="AZ913" i="4" s="1"/>
  <c r="AW913" i="4"/>
  <c r="BK913" i="4" s="1"/>
  <c r="AR913" i="4"/>
  <c r="AN913" i="4"/>
  <c r="AK913" i="4"/>
  <c r="BH913" i="4" s="1"/>
  <c r="K913" i="4"/>
  <c r="J913" i="4"/>
  <c r="I913" i="4"/>
  <c r="H913" i="4"/>
  <c r="G913" i="4"/>
  <c r="AX912" i="4"/>
  <c r="AW912" i="4"/>
  <c r="BI912" i="4" s="1"/>
  <c r="AR912" i="4"/>
  <c r="BG912" i="4" s="1"/>
  <c r="AN912" i="4"/>
  <c r="AK912" i="4"/>
  <c r="BH912" i="4" s="1"/>
  <c r="K912" i="4"/>
  <c r="J912" i="4"/>
  <c r="I912" i="4"/>
  <c r="H912" i="4"/>
  <c r="G912" i="4"/>
  <c r="BG911" i="4"/>
  <c r="BA911" i="4"/>
  <c r="BC911" i="4" s="1"/>
  <c r="AY911" i="4"/>
  <c r="AX911" i="4"/>
  <c r="AZ911" i="4" s="1"/>
  <c r="AW911" i="4"/>
  <c r="BK911" i="4" s="1"/>
  <c r="AR911" i="4"/>
  <c r="AN911" i="4"/>
  <c r="AK911" i="4"/>
  <c r="BH911" i="4" s="1"/>
  <c r="K911" i="4"/>
  <c r="J911" i="4"/>
  <c r="I911" i="4"/>
  <c r="H911" i="4"/>
  <c r="G911" i="4"/>
  <c r="AX910" i="4"/>
  <c r="AW910" i="4"/>
  <c r="BI910" i="4" s="1"/>
  <c r="AR910" i="4"/>
  <c r="BG910" i="4" s="1"/>
  <c r="AN910" i="4"/>
  <c r="AK910" i="4"/>
  <c r="BH910" i="4" s="1"/>
  <c r="K910" i="4"/>
  <c r="J910" i="4"/>
  <c r="I910" i="4"/>
  <c r="H910" i="4"/>
  <c r="G910" i="4"/>
  <c r="BG909" i="4"/>
  <c r="BA909" i="4"/>
  <c r="BC909" i="4" s="1"/>
  <c r="AY909" i="4"/>
  <c r="AX909" i="4"/>
  <c r="AZ909" i="4" s="1"/>
  <c r="AW909" i="4"/>
  <c r="BK909" i="4" s="1"/>
  <c r="AR909" i="4"/>
  <c r="AN909" i="4"/>
  <c r="AK909" i="4"/>
  <c r="BH909" i="4" s="1"/>
  <c r="K909" i="4"/>
  <c r="J909" i="4"/>
  <c r="I909" i="4"/>
  <c r="H909" i="4"/>
  <c r="G909" i="4"/>
  <c r="AX908" i="4"/>
  <c r="AW908" i="4"/>
  <c r="BI908" i="4" s="1"/>
  <c r="AR908" i="4"/>
  <c r="BG908" i="4" s="1"/>
  <c r="AN908" i="4"/>
  <c r="AK908" i="4"/>
  <c r="BH908" i="4" s="1"/>
  <c r="K908" i="4"/>
  <c r="J908" i="4"/>
  <c r="I908" i="4"/>
  <c r="H908" i="4"/>
  <c r="G908" i="4"/>
  <c r="BG907" i="4"/>
  <c r="BA907" i="4"/>
  <c r="BC907" i="4" s="1"/>
  <c r="AY907" i="4"/>
  <c r="AX907" i="4"/>
  <c r="AZ907" i="4" s="1"/>
  <c r="AW907" i="4"/>
  <c r="BK907" i="4" s="1"/>
  <c r="AR907" i="4"/>
  <c r="AN907" i="4"/>
  <c r="AK907" i="4"/>
  <c r="BH907" i="4" s="1"/>
  <c r="K907" i="4"/>
  <c r="J907" i="4"/>
  <c r="I907" i="4"/>
  <c r="H907" i="4"/>
  <c r="G907" i="4"/>
  <c r="AX906" i="4"/>
  <c r="AW906" i="4"/>
  <c r="BI906" i="4" s="1"/>
  <c r="AR906" i="4"/>
  <c r="BG906" i="4" s="1"/>
  <c r="AN906" i="4"/>
  <c r="AK906" i="4"/>
  <c r="BH906" i="4" s="1"/>
  <c r="K906" i="4"/>
  <c r="J906" i="4"/>
  <c r="I906" i="4"/>
  <c r="H906" i="4"/>
  <c r="G906" i="4"/>
  <c r="BG905" i="4"/>
  <c r="BA905" i="4"/>
  <c r="BC905" i="4" s="1"/>
  <c r="AY905" i="4"/>
  <c r="AX905" i="4"/>
  <c r="AZ905" i="4" s="1"/>
  <c r="AW905" i="4"/>
  <c r="BK905" i="4" s="1"/>
  <c r="AR905" i="4"/>
  <c r="AN905" i="4"/>
  <c r="AK905" i="4"/>
  <c r="BH905" i="4" s="1"/>
  <c r="K905" i="4"/>
  <c r="J905" i="4"/>
  <c r="I905" i="4"/>
  <c r="H905" i="4"/>
  <c r="G905" i="4"/>
  <c r="AX904" i="4"/>
  <c r="AW904" i="4"/>
  <c r="BI904" i="4" s="1"/>
  <c r="AR904" i="4"/>
  <c r="BG904" i="4" s="1"/>
  <c r="AN904" i="4"/>
  <c r="AK904" i="4"/>
  <c r="BH904" i="4" s="1"/>
  <c r="K904" i="4"/>
  <c r="J904" i="4"/>
  <c r="I904" i="4"/>
  <c r="H904" i="4"/>
  <c r="G904" i="4"/>
  <c r="BG903" i="4"/>
  <c r="BA903" i="4"/>
  <c r="BC903" i="4" s="1"/>
  <c r="AY903" i="4"/>
  <c r="AX903" i="4"/>
  <c r="AZ903" i="4" s="1"/>
  <c r="AW903" i="4"/>
  <c r="BK903" i="4" s="1"/>
  <c r="AR903" i="4"/>
  <c r="AN903" i="4"/>
  <c r="AK903" i="4"/>
  <c r="BH903" i="4" s="1"/>
  <c r="K903" i="4"/>
  <c r="J903" i="4"/>
  <c r="I903" i="4"/>
  <c r="H903" i="4"/>
  <c r="G903" i="4"/>
  <c r="AX902" i="4"/>
  <c r="AW902" i="4"/>
  <c r="BI902" i="4" s="1"/>
  <c r="AR902" i="4"/>
  <c r="BG902" i="4" s="1"/>
  <c r="AN902" i="4"/>
  <c r="AK902" i="4"/>
  <c r="BH902" i="4" s="1"/>
  <c r="K902" i="4"/>
  <c r="J902" i="4"/>
  <c r="I902" i="4"/>
  <c r="H902" i="4"/>
  <c r="G902" i="4"/>
  <c r="BG901" i="4"/>
  <c r="BA901" i="4"/>
  <c r="BC901" i="4" s="1"/>
  <c r="AY901" i="4"/>
  <c r="AX901" i="4"/>
  <c r="AZ901" i="4" s="1"/>
  <c r="AW901" i="4"/>
  <c r="BK901" i="4" s="1"/>
  <c r="AR901" i="4"/>
  <c r="AN901" i="4"/>
  <c r="AK901" i="4"/>
  <c r="BH901" i="4" s="1"/>
  <c r="K901" i="4"/>
  <c r="J901" i="4"/>
  <c r="I901" i="4"/>
  <c r="H901" i="4"/>
  <c r="G901" i="4"/>
  <c r="AX900" i="4"/>
  <c r="AW900" i="4"/>
  <c r="BI900" i="4" s="1"/>
  <c r="AR900" i="4"/>
  <c r="BG900" i="4" s="1"/>
  <c r="AN900" i="4"/>
  <c r="AK900" i="4"/>
  <c r="BH900" i="4" s="1"/>
  <c r="K900" i="4"/>
  <c r="J900" i="4"/>
  <c r="I900" i="4"/>
  <c r="H900" i="4"/>
  <c r="G900" i="4"/>
  <c r="BG899" i="4"/>
  <c r="BA899" i="4"/>
  <c r="BC899" i="4" s="1"/>
  <c r="AY899" i="4"/>
  <c r="AX899" i="4"/>
  <c r="AZ899" i="4" s="1"/>
  <c r="AW899" i="4"/>
  <c r="BK899" i="4" s="1"/>
  <c r="AR899" i="4"/>
  <c r="AN899" i="4"/>
  <c r="AK899" i="4"/>
  <c r="BH899" i="4" s="1"/>
  <c r="K899" i="4"/>
  <c r="J899" i="4"/>
  <c r="I899" i="4"/>
  <c r="H899" i="4"/>
  <c r="G899" i="4"/>
  <c r="AX898" i="4"/>
  <c r="AW898" i="4"/>
  <c r="BI898" i="4" s="1"/>
  <c r="AR898" i="4"/>
  <c r="BG898" i="4" s="1"/>
  <c r="AN898" i="4"/>
  <c r="AK898" i="4"/>
  <c r="BH898" i="4" s="1"/>
  <c r="K898" i="4"/>
  <c r="J898" i="4"/>
  <c r="I898" i="4"/>
  <c r="H898" i="4"/>
  <c r="G898" i="4"/>
  <c r="BG897" i="4"/>
  <c r="BA897" i="4"/>
  <c r="BC897" i="4" s="1"/>
  <c r="AY897" i="4"/>
  <c r="AX897" i="4"/>
  <c r="AZ897" i="4" s="1"/>
  <c r="AW897" i="4"/>
  <c r="BK897" i="4" s="1"/>
  <c r="AR897" i="4"/>
  <c r="AN897" i="4"/>
  <c r="AK897" i="4"/>
  <c r="BH897" i="4" s="1"/>
  <c r="K897" i="4"/>
  <c r="J897" i="4"/>
  <c r="I897" i="4"/>
  <c r="H897" i="4"/>
  <c r="G897" i="4"/>
  <c r="AX896" i="4"/>
  <c r="AW896" i="4"/>
  <c r="BI896" i="4" s="1"/>
  <c r="AR896" i="4"/>
  <c r="BG896" i="4" s="1"/>
  <c r="AN896" i="4"/>
  <c r="AK896" i="4"/>
  <c r="BH896" i="4" s="1"/>
  <c r="K896" i="4"/>
  <c r="J896" i="4"/>
  <c r="I896" i="4"/>
  <c r="H896" i="4"/>
  <c r="G896" i="4"/>
  <c r="BG895" i="4"/>
  <c r="BA895" i="4"/>
  <c r="BC895" i="4" s="1"/>
  <c r="AY895" i="4"/>
  <c r="AX895" i="4"/>
  <c r="AZ895" i="4" s="1"/>
  <c r="AW895" i="4"/>
  <c r="BK895" i="4" s="1"/>
  <c r="AR895" i="4"/>
  <c r="AN895" i="4"/>
  <c r="AK895" i="4"/>
  <c r="BH895" i="4" s="1"/>
  <c r="K895" i="4"/>
  <c r="J895" i="4"/>
  <c r="I895" i="4"/>
  <c r="H895" i="4"/>
  <c r="G895" i="4"/>
  <c r="AX894" i="4"/>
  <c r="AW894" i="4"/>
  <c r="BI894" i="4" s="1"/>
  <c r="AR894" i="4"/>
  <c r="BG894" i="4" s="1"/>
  <c r="AN894" i="4"/>
  <c r="AK894" i="4"/>
  <c r="BH894" i="4" s="1"/>
  <c r="K894" i="4"/>
  <c r="J894" i="4"/>
  <c r="I894" i="4"/>
  <c r="H894" i="4"/>
  <c r="G894" i="4"/>
  <c r="BG893" i="4"/>
  <c r="BA893" i="4"/>
  <c r="BC893" i="4" s="1"/>
  <c r="AY893" i="4"/>
  <c r="AX893" i="4"/>
  <c r="AZ893" i="4" s="1"/>
  <c r="AW893" i="4"/>
  <c r="BK893" i="4" s="1"/>
  <c r="AR893" i="4"/>
  <c r="AN893" i="4"/>
  <c r="AK893" i="4"/>
  <c r="BH893" i="4" s="1"/>
  <c r="K893" i="4"/>
  <c r="J893" i="4"/>
  <c r="I893" i="4"/>
  <c r="H893" i="4"/>
  <c r="G893" i="4"/>
  <c r="AX892" i="4"/>
  <c r="AW892" i="4"/>
  <c r="BI892" i="4" s="1"/>
  <c r="AR892" i="4"/>
  <c r="BG892" i="4" s="1"/>
  <c r="AN892" i="4"/>
  <c r="AK892" i="4"/>
  <c r="BH892" i="4" s="1"/>
  <c r="K892" i="4"/>
  <c r="J892" i="4"/>
  <c r="I892" i="4"/>
  <c r="H892" i="4"/>
  <c r="G892" i="4"/>
  <c r="BG891" i="4"/>
  <c r="BA891" i="4"/>
  <c r="BC891" i="4" s="1"/>
  <c r="AY891" i="4"/>
  <c r="AX891" i="4"/>
  <c r="AZ891" i="4" s="1"/>
  <c r="AW891" i="4"/>
  <c r="BK891" i="4" s="1"/>
  <c r="AR891" i="4"/>
  <c r="AN891" i="4"/>
  <c r="AK891" i="4"/>
  <c r="BH891" i="4" s="1"/>
  <c r="K891" i="4"/>
  <c r="J891" i="4"/>
  <c r="I891" i="4"/>
  <c r="H891" i="4"/>
  <c r="G891" i="4"/>
  <c r="AX890" i="4"/>
  <c r="AW890" i="4"/>
  <c r="BI890" i="4" s="1"/>
  <c r="AR890" i="4"/>
  <c r="BG890" i="4" s="1"/>
  <c r="AN890" i="4"/>
  <c r="AK890" i="4"/>
  <c r="BH890" i="4" s="1"/>
  <c r="K890" i="4"/>
  <c r="J890" i="4"/>
  <c r="I890" i="4"/>
  <c r="H890" i="4"/>
  <c r="G890" i="4"/>
  <c r="BG889" i="4"/>
  <c r="BA889" i="4"/>
  <c r="BC889" i="4" s="1"/>
  <c r="AY889" i="4"/>
  <c r="AX889" i="4"/>
  <c r="AZ889" i="4" s="1"/>
  <c r="AW889" i="4"/>
  <c r="BK889" i="4" s="1"/>
  <c r="AR889" i="4"/>
  <c r="AN889" i="4"/>
  <c r="AK889" i="4"/>
  <c r="BH889" i="4" s="1"/>
  <c r="K889" i="4"/>
  <c r="J889" i="4"/>
  <c r="I889" i="4"/>
  <c r="H889" i="4"/>
  <c r="G889" i="4"/>
  <c r="AX888" i="4"/>
  <c r="AW888" i="4"/>
  <c r="BI888" i="4" s="1"/>
  <c r="AR888" i="4"/>
  <c r="BG888" i="4" s="1"/>
  <c r="AN888" i="4"/>
  <c r="AK888" i="4"/>
  <c r="BH888" i="4" s="1"/>
  <c r="K888" i="4"/>
  <c r="J888" i="4"/>
  <c r="I888" i="4"/>
  <c r="H888" i="4"/>
  <c r="G888" i="4"/>
  <c r="BG887" i="4"/>
  <c r="BA887" i="4"/>
  <c r="BC887" i="4" s="1"/>
  <c r="AY887" i="4"/>
  <c r="AX887" i="4"/>
  <c r="AZ887" i="4" s="1"/>
  <c r="AW887" i="4"/>
  <c r="BK887" i="4" s="1"/>
  <c r="AR887" i="4"/>
  <c r="AN887" i="4"/>
  <c r="AK887" i="4"/>
  <c r="BH887" i="4" s="1"/>
  <c r="K887" i="4"/>
  <c r="J887" i="4"/>
  <c r="I887" i="4"/>
  <c r="H887" i="4"/>
  <c r="G887" i="4"/>
  <c r="AX886" i="4"/>
  <c r="AW886" i="4"/>
  <c r="BI886" i="4" s="1"/>
  <c r="AR886" i="4"/>
  <c r="BG886" i="4" s="1"/>
  <c r="AN886" i="4"/>
  <c r="AK886" i="4"/>
  <c r="BH886" i="4" s="1"/>
  <c r="K886" i="4"/>
  <c r="J886" i="4"/>
  <c r="I886" i="4"/>
  <c r="H886" i="4"/>
  <c r="G886" i="4"/>
  <c r="BG885" i="4"/>
  <c r="BA885" i="4"/>
  <c r="BC885" i="4" s="1"/>
  <c r="AY885" i="4"/>
  <c r="AX885" i="4"/>
  <c r="AZ885" i="4" s="1"/>
  <c r="AW885" i="4"/>
  <c r="BK885" i="4" s="1"/>
  <c r="AR885" i="4"/>
  <c r="AN885" i="4"/>
  <c r="AK885" i="4"/>
  <c r="BH885" i="4" s="1"/>
  <c r="K885" i="4"/>
  <c r="J885" i="4"/>
  <c r="I885" i="4"/>
  <c r="H885" i="4"/>
  <c r="G885" i="4"/>
  <c r="AX884" i="4"/>
  <c r="AW884" i="4"/>
  <c r="BI884" i="4" s="1"/>
  <c r="AR884" i="4"/>
  <c r="BG884" i="4" s="1"/>
  <c r="AN884" i="4"/>
  <c r="AK884" i="4"/>
  <c r="BH884" i="4" s="1"/>
  <c r="K884" i="4"/>
  <c r="J884" i="4"/>
  <c r="I884" i="4"/>
  <c r="H884" i="4"/>
  <c r="G884" i="4"/>
  <c r="BG883" i="4"/>
  <c r="BA883" i="4"/>
  <c r="BC883" i="4" s="1"/>
  <c r="AY883" i="4"/>
  <c r="AX883" i="4"/>
  <c r="AZ883" i="4" s="1"/>
  <c r="AW883" i="4"/>
  <c r="BK883" i="4" s="1"/>
  <c r="AR883" i="4"/>
  <c r="AN883" i="4"/>
  <c r="AK883" i="4"/>
  <c r="BH883" i="4" s="1"/>
  <c r="K883" i="4"/>
  <c r="J883" i="4"/>
  <c r="I883" i="4"/>
  <c r="H883" i="4"/>
  <c r="G883" i="4"/>
  <c r="AX882" i="4"/>
  <c r="AW882" i="4"/>
  <c r="BI882" i="4" s="1"/>
  <c r="AR882" i="4"/>
  <c r="BG882" i="4" s="1"/>
  <c r="AN882" i="4"/>
  <c r="AK882" i="4"/>
  <c r="BH882" i="4" s="1"/>
  <c r="K882" i="4"/>
  <c r="J882" i="4"/>
  <c r="I882" i="4"/>
  <c r="H882" i="4"/>
  <c r="G882" i="4"/>
  <c r="BG881" i="4"/>
  <c r="BA881" i="4"/>
  <c r="BC881" i="4" s="1"/>
  <c r="AY881" i="4"/>
  <c r="AX881" i="4"/>
  <c r="AZ881" i="4" s="1"/>
  <c r="AW881" i="4"/>
  <c r="BK881" i="4" s="1"/>
  <c r="AR881" i="4"/>
  <c r="AN881" i="4"/>
  <c r="AK881" i="4"/>
  <c r="BH881" i="4" s="1"/>
  <c r="K881" i="4"/>
  <c r="J881" i="4"/>
  <c r="I881" i="4"/>
  <c r="H881" i="4"/>
  <c r="G881" i="4"/>
  <c r="AX880" i="4"/>
  <c r="AW880" i="4"/>
  <c r="BI880" i="4" s="1"/>
  <c r="AR880" i="4"/>
  <c r="BG880" i="4" s="1"/>
  <c r="AN880" i="4"/>
  <c r="AK880" i="4"/>
  <c r="BH880" i="4" s="1"/>
  <c r="K880" i="4"/>
  <c r="J880" i="4"/>
  <c r="I880" i="4"/>
  <c r="H880" i="4"/>
  <c r="G880" i="4"/>
  <c r="BG879" i="4"/>
  <c r="BA879" i="4"/>
  <c r="BC879" i="4" s="1"/>
  <c r="AY879" i="4"/>
  <c r="AX879" i="4"/>
  <c r="AZ879" i="4" s="1"/>
  <c r="AW879" i="4"/>
  <c r="BK879" i="4" s="1"/>
  <c r="AR879" i="4"/>
  <c r="AN879" i="4"/>
  <c r="AK879" i="4"/>
  <c r="BH879" i="4" s="1"/>
  <c r="K879" i="4"/>
  <c r="J879" i="4"/>
  <c r="I879" i="4"/>
  <c r="H879" i="4"/>
  <c r="G879" i="4"/>
  <c r="AX878" i="4"/>
  <c r="AW878" i="4"/>
  <c r="BI878" i="4" s="1"/>
  <c r="AR878" i="4"/>
  <c r="AN878" i="4"/>
  <c r="AK878" i="4"/>
  <c r="K878" i="4"/>
  <c r="J878" i="4"/>
  <c r="I878" i="4"/>
  <c r="H878" i="4"/>
  <c r="G878" i="4"/>
  <c r="BG877" i="4"/>
  <c r="BC877" i="4"/>
  <c r="BA877" i="4"/>
  <c r="BB877" i="4" s="1"/>
  <c r="AY877" i="4"/>
  <c r="AX877" i="4"/>
  <c r="AW877" i="4"/>
  <c r="BK877" i="4" s="1"/>
  <c r="AR877" i="4"/>
  <c r="AN877" i="4"/>
  <c r="AK877" i="4"/>
  <c r="BH877" i="4" s="1"/>
  <c r="K877" i="4"/>
  <c r="J877" i="4"/>
  <c r="I877" i="4"/>
  <c r="H877" i="4"/>
  <c r="G877" i="4"/>
  <c r="BH876" i="4"/>
  <c r="BD876" i="4"/>
  <c r="BE876" i="4" s="1"/>
  <c r="AX876" i="4"/>
  <c r="AW876" i="4"/>
  <c r="BI876" i="4" s="1"/>
  <c r="AR876" i="4"/>
  <c r="AN876" i="4"/>
  <c r="AK876" i="4"/>
  <c r="K876" i="4"/>
  <c r="J876" i="4"/>
  <c r="I876" i="4"/>
  <c r="H876" i="4"/>
  <c r="G876" i="4"/>
  <c r="BI875" i="4"/>
  <c r="BG875" i="4"/>
  <c r="BA875" i="4"/>
  <c r="BB875" i="4" s="1"/>
  <c r="AY875" i="4"/>
  <c r="AX875" i="4"/>
  <c r="AZ875" i="4" s="1"/>
  <c r="AW875" i="4"/>
  <c r="BK875" i="4" s="1"/>
  <c r="AR875" i="4"/>
  <c r="AN875" i="4"/>
  <c r="AK875" i="4"/>
  <c r="BH875" i="4" s="1"/>
  <c r="K875" i="4"/>
  <c r="J875" i="4"/>
  <c r="I875" i="4"/>
  <c r="H875" i="4"/>
  <c r="G875" i="4"/>
  <c r="AX874" i="4"/>
  <c r="AW874" i="4"/>
  <c r="BI874" i="4" s="1"/>
  <c r="AR874" i="4"/>
  <c r="AN874" i="4"/>
  <c r="AK874" i="4"/>
  <c r="BH874" i="4" s="1"/>
  <c r="K874" i="4"/>
  <c r="J874" i="4"/>
  <c r="I874" i="4"/>
  <c r="H874" i="4"/>
  <c r="G874" i="4"/>
  <c r="BG873" i="4"/>
  <c r="BC873" i="4"/>
  <c r="BA873" i="4"/>
  <c r="BB873" i="4" s="1"/>
  <c r="AY873" i="4"/>
  <c r="AX873" i="4"/>
  <c r="AW873" i="4"/>
  <c r="BK873" i="4" s="1"/>
  <c r="AR873" i="4"/>
  <c r="AN873" i="4"/>
  <c r="AK873" i="4"/>
  <c r="BH873" i="4" s="1"/>
  <c r="K873" i="4"/>
  <c r="J873" i="4"/>
  <c r="I873" i="4"/>
  <c r="H873" i="4"/>
  <c r="G873" i="4"/>
  <c r="BH872" i="4"/>
  <c r="BD872" i="4"/>
  <c r="BE872" i="4" s="1"/>
  <c r="AX872" i="4"/>
  <c r="AW872" i="4"/>
  <c r="BI872" i="4" s="1"/>
  <c r="AR872" i="4"/>
  <c r="AN872" i="4"/>
  <c r="AK872" i="4"/>
  <c r="K872" i="4"/>
  <c r="J872" i="4"/>
  <c r="I872" i="4"/>
  <c r="H872" i="4"/>
  <c r="G872" i="4"/>
  <c r="BI871" i="4"/>
  <c r="BG871" i="4"/>
  <c r="BA871" i="4"/>
  <c r="BB871" i="4" s="1"/>
  <c r="AY871" i="4"/>
  <c r="AX871" i="4"/>
  <c r="AZ871" i="4" s="1"/>
  <c r="AW871" i="4"/>
  <c r="BK871" i="4" s="1"/>
  <c r="AR871" i="4"/>
  <c r="AN871" i="4"/>
  <c r="AK871" i="4"/>
  <c r="BH871" i="4" s="1"/>
  <c r="K871" i="4"/>
  <c r="J871" i="4"/>
  <c r="I871" i="4"/>
  <c r="H871" i="4"/>
  <c r="G871" i="4"/>
  <c r="AX870" i="4"/>
  <c r="AW870" i="4"/>
  <c r="BI870" i="4" s="1"/>
  <c r="AR870" i="4"/>
  <c r="AN870" i="4"/>
  <c r="AK870" i="4"/>
  <c r="BH870" i="4" s="1"/>
  <c r="K870" i="4"/>
  <c r="J870" i="4"/>
  <c r="I870" i="4"/>
  <c r="H870" i="4"/>
  <c r="G870" i="4"/>
  <c r="BG869" i="4"/>
  <c r="BC869" i="4"/>
  <c r="BA869" i="4"/>
  <c r="BB869" i="4" s="1"/>
  <c r="AY869" i="4"/>
  <c r="AX869" i="4"/>
  <c r="AW869" i="4"/>
  <c r="BK869" i="4" s="1"/>
  <c r="AR869" i="4"/>
  <c r="AN869" i="4"/>
  <c r="AK869" i="4"/>
  <c r="BH869" i="4" s="1"/>
  <c r="K869" i="4"/>
  <c r="J869" i="4"/>
  <c r="I869" i="4"/>
  <c r="H869" i="4"/>
  <c r="G869" i="4"/>
  <c r="AX868" i="4"/>
  <c r="AW868" i="4"/>
  <c r="BI868" i="4" s="1"/>
  <c r="AR868" i="4"/>
  <c r="BG868" i="4" s="1"/>
  <c r="AN868" i="4"/>
  <c r="AK868" i="4"/>
  <c r="K868" i="4"/>
  <c r="J868" i="4"/>
  <c r="I868" i="4"/>
  <c r="H868" i="4"/>
  <c r="G868" i="4"/>
  <c r="BG867" i="4"/>
  <c r="BA867" i="4"/>
  <c r="BC867" i="4" s="1"/>
  <c r="AY867" i="4"/>
  <c r="AX867" i="4"/>
  <c r="AZ867" i="4" s="1"/>
  <c r="AW867" i="4"/>
  <c r="BK867" i="4" s="1"/>
  <c r="AR867" i="4"/>
  <c r="AN867" i="4"/>
  <c r="AK867" i="4"/>
  <c r="BH867" i="4" s="1"/>
  <c r="K867" i="4"/>
  <c r="J867" i="4"/>
  <c r="I867" i="4"/>
  <c r="H867" i="4"/>
  <c r="G867" i="4"/>
  <c r="AX866" i="4"/>
  <c r="AW866" i="4"/>
  <c r="BI866" i="4" s="1"/>
  <c r="AR866" i="4"/>
  <c r="BG866" i="4" s="1"/>
  <c r="AN866" i="4"/>
  <c r="AK866" i="4"/>
  <c r="BH866" i="4" s="1"/>
  <c r="K866" i="4"/>
  <c r="J866" i="4"/>
  <c r="I866" i="4"/>
  <c r="H866" i="4"/>
  <c r="G866" i="4"/>
  <c r="BG865" i="4"/>
  <c r="BA865" i="4"/>
  <c r="BC865" i="4" s="1"/>
  <c r="AY865" i="4"/>
  <c r="AX865" i="4"/>
  <c r="AZ865" i="4" s="1"/>
  <c r="AW865" i="4"/>
  <c r="BK865" i="4" s="1"/>
  <c r="AR865" i="4"/>
  <c r="AN865" i="4"/>
  <c r="AK865" i="4"/>
  <c r="BH865" i="4" s="1"/>
  <c r="K865" i="4"/>
  <c r="J865" i="4"/>
  <c r="I865" i="4"/>
  <c r="H865" i="4"/>
  <c r="G865" i="4"/>
  <c r="AX864" i="4"/>
  <c r="AW864" i="4"/>
  <c r="BI864" i="4" s="1"/>
  <c r="AR864" i="4"/>
  <c r="BG864" i="4" s="1"/>
  <c r="AN864" i="4"/>
  <c r="AK864" i="4"/>
  <c r="BH864" i="4" s="1"/>
  <c r="K864" i="4"/>
  <c r="J864" i="4"/>
  <c r="I864" i="4"/>
  <c r="H864" i="4"/>
  <c r="G864" i="4"/>
  <c r="BG863" i="4"/>
  <c r="BA863" i="4"/>
  <c r="BC863" i="4" s="1"/>
  <c r="AY863" i="4"/>
  <c r="AX863" i="4"/>
  <c r="AZ863" i="4" s="1"/>
  <c r="AW863" i="4"/>
  <c r="BK863" i="4" s="1"/>
  <c r="AR863" i="4"/>
  <c r="AN863" i="4"/>
  <c r="AK863" i="4"/>
  <c r="BH863" i="4" s="1"/>
  <c r="K863" i="4"/>
  <c r="J863" i="4"/>
  <c r="I863" i="4"/>
  <c r="H863" i="4"/>
  <c r="G863" i="4"/>
  <c r="AX862" i="4"/>
  <c r="AW862" i="4"/>
  <c r="BI862" i="4" s="1"/>
  <c r="AR862" i="4"/>
  <c r="BG862" i="4" s="1"/>
  <c r="AN862" i="4"/>
  <c r="AK862" i="4"/>
  <c r="BH862" i="4" s="1"/>
  <c r="K862" i="4"/>
  <c r="J862" i="4"/>
  <c r="I862" i="4"/>
  <c r="H862" i="4"/>
  <c r="G862" i="4"/>
  <c r="BG861" i="4"/>
  <c r="BA861" i="4"/>
  <c r="BC861" i="4" s="1"/>
  <c r="AY861" i="4"/>
  <c r="AX861" i="4"/>
  <c r="AZ861" i="4" s="1"/>
  <c r="AW861" i="4"/>
  <c r="BK861" i="4" s="1"/>
  <c r="AR861" i="4"/>
  <c r="AN861" i="4"/>
  <c r="AK861" i="4"/>
  <c r="BH861" i="4" s="1"/>
  <c r="K861" i="4"/>
  <c r="J861" i="4"/>
  <c r="I861" i="4"/>
  <c r="H861" i="4"/>
  <c r="G861" i="4"/>
  <c r="AX860" i="4"/>
  <c r="AW860" i="4"/>
  <c r="BI860" i="4" s="1"/>
  <c r="AR860" i="4"/>
  <c r="BG860" i="4" s="1"/>
  <c r="AN860" i="4"/>
  <c r="AK860" i="4"/>
  <c r="BH860" i="4" s="1"/>
  <c r="K860" i="4"/>
  <c r="J860" i="4"/>
  <c r="I860" i="4"/>
  <c r="H860" i="4"/>
  <c r="G860" i="4"/>
  <c r="BG859" i="4"/>
  <c r="BA859" i="4"/>
  <c r="BC859" i="4" s="1"/>
  <c r="AY859" i="4"/>
  <c r="AX859" i="4"/>
  <c r="AZ859" i="4" s="1"/>
  <c r="AW859" i="4"/>
  <c r="BK859" i="4" s="1"/>
  <c r="AR859" i="4"/>
  <c r="AN859" i="4"/>
  <c r="AK859" i="4"/>
  <c r="BH859" i="4" s="1"/>
  <c r="K859" i="4"/>
  <c r="J859" i="4"/>
  <c r="I859" i="4"/>
  <c r="H859" i="4"/>
  <c r="G859" i="4"/>
  <c r="AX858" i="4"/>
  <c r="AW858" i="4"/>
  <c r="BI858" i="4" s="1"/>
  <c r="AR858" i="4"/>
  <c r="BG858" i="4" s="1"/>
  <c r="AN858" i="4"/>
  <c r="AK858" i="4"/>
  <c r="BH858" i="4" s="1"/>
  <c r="K858" i="4"/>
  <c r="J858" i="4"/>
  <c r="I858" i="4"/>
  <c r="H858" i="4"/>
  <c r="G858" i="4"/>
  <c r="BG857" i="4"/>
  <c r="BA857" i="4"/>
  <c r="BC857" i="4" s="1"/>
  <c r="AY857" i="4"/>
  <c r="AX857" i="4"/>
  <c r="AZ857" i="4" s="1"/>
  <c r="AW857" i="4"/>
  <c r="BK857" i="4" s="1"/>
  <c r="AR857" i="4"/>
  <c r="AN857" i="4"/>
  <c r="AK857" i="4"/>
  <c r="BH857" i="4" s="1"/>
  <c r="K857" i="4"/>
  <c r="J857" i="4"/>
  <c r="I857" i="4"/>
  <c r="H857" i="4"/>
  <c r="G857" i="4"/>
  <c r="AX856" i="4"/>
  <c r="AW856" i="4"/>
  <c r="BI856" i="4" s="1"/>
  <c r="AR856" i="4"/>
  <c r="BG856" i="4" s="1"/>
  <c r="AN856" i="4"/>
  <c r="AK856" i="4"/>
  <c r="BH856" i="4" s="1"/>
  <c r="K856" i="4"/>
  <c r="J856" i="4"/>
  <c r="I856" i="4"/>
  <c r="H856" i="4"/>
  <c r="G856" i="4"/>
  <c r="BG855" i="4"/>
  <c r="BA855" i="4"/>
  <c r="BC855" i="4" s="1"/>
  <c r="AY855" i="4"/>
  <c r="AX855" i="4"/>
  <c r="AZ855" i="4" s="1"/>
  <c r="AW855" i="4"/>
  <c r="BK855" i="4" s="1"/>
  <c r="AR855" i="4"/>
  <c r="AN855" i="4"/>
  <c r="AK855" i="4"/>
  <c r="BH855" i="4" s="1"/>
  <c r="K855" i="4"/>
  <c r="J855" i="4"/>
  <c r="I855" i="4"/>
  <c r="H855" i="4"/>
  <c r="G855" i="4"/>
  <c r="AX854" i="4"/>
  <c r="AW854" i="4"/>
  <c r="BI854" i="4" s="1"/>
  <c r="AR854" i="4"/>
  <c r="BG854" i="4" s="1"/>
  <c r="AN854" i="4"/>
  <c r="AK854" i="4"/>
  <c r="BH854" i="4" s="1"/>
  <c r="K854" i="4"/>
  <c r="J854" i="4"/>
  <c r="I854" i="4"/>
  <c r="H854" i="4"/>
  <c r="G854" i="4"/>
  <c r="BG853" i="4"/>
  <c r="BA853" i="4"/>
  <c r="BC853" i="4" s="1"/>
  <c r="AY853" i="4"/>
  <c r="AX853" i="4"/>
  <c r="AZ853" i="4" s="1"/>
  <c r="AW853" i="4"/>
  <c r="BK853" i="4" s="1"/>
  <c r="AR853" i="4"/>
  <c r="AN853" i="4"/>
  <c r="AK853" i="4"/>
  <c r="BH853" i="4" s="1"/>
  <c r="K853" i="4"/>
  <c r="J853" i="4"/>
  <c r="I853" i="4"/>
  <c r="H853" i="4"/>
  <c r="G853" i="4"/>
  <c r="AX852" i="4"/>
  <c r="AW852" i="4"/>
  <c r="BI852" i="4" s="1"/>
  <c r="AR852" i="4"/>
  <c r="BG852" i="4" s="1"/>
  <c r="AN852" i="4"/>
  <c r="AK852" i="4"/>
  <c r="BH852" i="4" s="1"/>
  <c r="K852" i="4"/>
  <c r="J852" i="4"/>
  <c r="I852" i="4"/>
  <c r="H852" i="4"/>
  <c r="G852" i="4"/>
  <c r="BG851" i="4"/>
  <c r="BA851" i="4"/>
  <c r="BC851" i="4" s="1"/>
  <c r="AY851" i="4"/>
  <c r="AX851" i="4"/>
  <c r="AZ851" i="4" s="1"/>
  <c r="AW851" i="4"/>
  <c r="BK851" i="4" s="1"/>
  <c r="AR851" i="4"/>
  <c r="AN851" i="4"/>
  <c r="AK851" i="4"/>
  <c r="BH851" i="4" s="1"/>
  <c r="K851" i="4"/>
  <c r="J851" i="4"/>
  <c r="I851" i="4"/>
  <c r="H851" i="4"/>
  <c r="G851" i="4"/>
  <c r="AX850" i="4"/>
  <c r="AW850" i="4"/>
  <c r="BI850" i="4" s="1"/>
  <c r="AR850" i="4"/>
  <c r="BG850" i="4" s="1"/>
  <c r="AN850" i="4"/>
  <c r="AK850" i="4"/>
  <c r="BH850" i="4" s="1"/>
  <c r="K850" i="4"/>
  <c r="J850" i="4"/>
  <c r="I850" i="4"/>
  <c r="H850" i="4"/>
  <c r="G850" i="4"/>
  <c r="BG849" i="4"/>
  <c r="BA849" i="4"/>
  <c r="BC849" i="4" s="1"/>
  <c r="AY849" i="4"/>
  <c r="AX849" i="4"/>
  <c r="AZ849" i="4" s="1"/>
  <c r="AW849" i="4"/>
  <c r="BK849" i="4" s="1"/>
  <c r="AR849" i="4"/>
  <c r="AN849" i="4"/>
  <c r="AK849" i="4"/>
  <c r="BH849" i="4" s="1"/>
  <c r="K849" i="4"/>
  <c r="J849" i="4"/>
  <c r="I849" i="4"/>
  <c r="H849" i="4"/>
  <c r="G849" i="4"/>
  <c r="AX848" i="4"/>
  <c r="AW848" i="4"/>
  <c r="BI848" i="4" s="1"/>
  <c r="AR848" i="4"/>
  <c r="BG848" i="4" s="1"/>
  <c r="AN848" i="4"/>
  <c r="AK848" i="4"/>
  <c r="BH848" i="4" s="1"/>
  <c r="K848" i="4"/>
  <c r="J848" i="4"/>
  <c r="I848" i="4"/>
  <c r="H848" i="4"/>
  <c r="G848" i="4"/>
  <c r="BG847" i="4"/>
  <c r="BA847" i="4"/>
  <c r="BC847" i="4" s="1"/>
  <c r="AY847" i="4"/>
  <c r="AX847" i="4"/>
  <c r="AZ847" i="4" s="1"/>
  <c r="AW847" i="4"/>
  <c r="BK847" i="4" s="1"/>
  <c r="AR847" i="4"/>
  <c r="AN847" i="4"/>
  <c r="AK847" i="4"/>
  <c r="BH847" i="4" s="1"/>
  <c r="K847" i="4"/>
  <c r="J847" i="4"/>
  <c r="I847" i="4"/>
  <c r="H847" i="4"/>
  <c r="G847" i="4"/>
  <c r="AX846" i="4"/>
  <c r="AW846" i="4"/>
  <c r="BI846" i="4" s="1"/>
  <c r="AR846" i="4"/>
  <c r="BG846" i="4" s="1"/>
  <c r="AN846" i="4"/>
  <c r="AK846" i="4"/>
  <c r="BH846" i="4" s="1"/>
  <c r="K846" i="4"/>
  <c r="J846" i="4"/>
  <c r="I846" i="4"/>
  <c r="H846" i="4"/>
  <c r="G846" i="4"/>
  <c r="BG845" i="4"/>
  <c r="BA845" i="4"/>
  <c r="BC845" i="4" s="1"/>
  <c r="AY845" i="4"/>
  <c r="AX845" i="4"/>
  <c r="AZ845" i="4" s="1"/>
  <c r="AW845" i="4"/>
  <c r="BK845" i="4" s="1"/>
  <c r="AR845" i="4"/>
  <c r="AN845" i="4"/>
  <c r="AK845" i="4"/>
  <c r="BH845" i="4" s="1"/>
  <c r="K845" i="4"/>
  <c r="J845" i="4"/>
  <c r="I845" i="4"/>
  <c r="H845" i="4"/>
  <c r="G845" i="4"/>
  <c r="AX844" i="4"/>
  <c r="AW844" i="4"/>
  <c r="BI844" i="4" s="1"/>
  <c r="AR844" i="4"/>
  <c r="BG844" i="4" s="1"/>
  <c r="AN844" i="4"/>
  <c r="AK844" i="4"/>
  <c r="BH844" i="4" s="1"/>
  <c r="K844" i="4"/>
  <c r="J844" i="4"/>
  <c r="I844" i="4"/>
  <c r="H844" i="4"/>
  <c r="G844" i="4"/>
  <c r="BG843" i="4"/>
  <c r="BA843" i="4"/>
  <c r="BC843" i="4" s="1"/>
  <c r="AY843" i="4"/>
  <c r="AX843" i="4"/>
  <c r="AZ843" i="4" s="1"/>
  <c r="AW843" i="4"/>
  <c r="BK843" i="4" s="1"/>
  <c r="AR843" i="4"/>
  <c r="AN843" i="4"/>
  <c r="AK843" i="4"/>
  <c r="BH843" i="4" s="1"/>
  <c r="K843" i="4"/>
  <c r="J843" i="4"/>
  <c r="I843" i="4"/>
  <c r="H843" i="4"/>
  <c r="G843" i="4"/>
  <c r="AX842" i="4"/>
  <c r="AW842" i="4"/>
  <c r="BI842" i="4" s="1"/>
  <c r="AR842" i="4"/>
  <c r="BG842" i="4" s="1"/>
  <c r="AN842" i="4"/>
  <c r="AK842" i="4"/>
  <c r="BH842" i="4" s="1"/>
  <c r="K842" i="4"/>
  <c r="J842" i="4"/>
  <c r="I842" i="4"/>
  <c r="H842" i="4"/>
  <c r="G842" i="4"/>
  <c r="BG841" i="4"/>
  <c r="BA841" i="4"/>
  <c r="BC841" i="4" s="1"/>
  <c r="AY841" i="4"/>
  <c r="AX841" i="4"/>
  <c r="AZ841" i="4" s="1"/>
  <c r="AW841" i="4"/>
  <c r="BK841" i="4" s="1"/>
  <c r="AR841" i="4"/>
  <c r="AN841" i="4"/>
  <c r="AK841" i="4"/>
  <c r="BH841" i="4" s="1"/>
  <c r="K841" i="4"/>
  <c r="J841" i="4"/>
  <c r="I841" i="4"/>
  <c r="H841" i="4"/>
  <c r="G841" i="4"/>
  <c r="AX840" i="4"/>
  <c r="AW840" i="4"/>
  <c r="BI840" i="4" s="1"/>
  <c r="AR840" i="4"/>
  <c r="BG840" i="4" s="1"/>
  <c r="AN840" i="4"/>
  <c r="AK840" i="4"/>
  <c r="BH840" i="4" s="1"/>
  <c r="K840" i="4"/>
  <c r="J840" i="4"/>
  <c r="I840" i="4"/>
  <c r="H840" i="4"/>
  <c r="G840" i="4"/>
  <c r="BG839" i="4"/>
  <c r="BA839" i="4"/>
  <c r="BC839" i="4" s="1"/>
  <c r="AY839" i="4"/>
  <c r="AX839" i="4"/>
  <c r="AZ839" i="4" s="1"/>
  <c r="AW839" i="4"/>
  <c r="BK839" i="4" s="1"/>
  <c r="AR839" i="4"/>
  <c r="AN839" i="4"/>
  <c r="AK839" i="4"/>
  <c r="BH839" i="4" s="1"/>
  <c r="K839" i="4"/>
  <c r="J839" i="4"/>
  <c r="I839" i="4"/>
  <c r="H839" i="4"/>
  <c r="G839" i="4"/>
  <c r="AX838" i="4"/>
  <c r="AW838" i="4"/>
  <c r="BI838" i="4" s="1"/>
  <c r="AR838" i="4"/>
  <c r="BG838" i="4" s="1"/>
  <c r="AN838" i="4"/>
  <c r="AK838" i="4"/>
  <c r="BH838" i="4" s="1"/>
  <c r="K838" i="4"/>
  <c r="J838" i="4"/>
  <c r="I838" i="4"/>
  <c r="H838" i="4"/>
  <c r="G838" i="4"/>
  <c r="BG837" i="4"/>
  <c r="BA837" i="4"/>
  <c r="BC837" i="4" s="1"/>
  <c r="AY837" i="4"/>
  <c r="AX837" i="4"/>
  <c r="AZ837" i="4" s="1"/>
  <c r="AW837" i="4"/>
  <c r="BK837" i="4" s="1"/>
  <c r="AR837" i="4"/>
  <c r="AN837" i="4"/>
  <c r="AK837" i="4"/>
  <c r="BH837" i="4" s="1"/>
  <c r="K837" i="4"/>
  <c r="J837" i="4"/>
  <c r="I837" i="4"/>
  <c r="H837" i="4"/>
  <c r="G837" i="4"/>
  <c r="AX836" i="4"/>
  <c r="AW836" i="4"/>
  <c r="BI836" i="4" s="1"/>
  <c r="AR836" i="4"/>
  <c r="BG836" i="4" s="1"/>
  <c r="AN836" i="4"/>
  <c r="AK836" i="4"/>
  <c r="BH836" i="4" s="1"/>
  <c r="K836" i="4"/>
  <c r="J836" i="4"/>
  <c r="I836" i="4"/>
  <c r="H836" i="4"/>
  <c r="G836" i="4"/>
  <c r="BG835" i="4"/>
  <c r="BA835" i="4"/>
  <c r="BC835" i="4" s="1"/>
  <c r="AY835" i="4"/>
  <c r="AX835" i="4"/>
  <c r="AZ835" i="4" s="1"/>
  <c r="AW835" i="4"/>
  <c r="BK835" i="4" s="1"/>
  <c r="AR835" i="4"/>
  <c r="AN835" i="4"/>
  <c r="AK835" i="4"/>
  <c r="BH835" i="4" s="1"/>
  <c r="K835" i="4"/>
  <c r="J835" i="4"/>
  <c r="I835" i="4"/>
  <c r="H835" i="4"/>
  <c r="G835" i="4"/>
  <c r="AX834" i="4"/>
  <c r="AW834" i="4"/>
  <c r="BI834" i="4" s="1"/>
  <c r="AR834" i="4"/>
  <c r="BG834" i="4" s="1"/>
  <c r="AN834" i="4"/>
  <c r="AK834" i="4"/>
  <c r="BH834" i="4" s="1"/>
  <c r="K834" i="4"/>
  <c r="J834" i="4"/>
  <c r="I834" i="4"/>
  <c r="H834" i="4"/>
  <c r="G834" i="4"/>
  <c r="BG833" i="4"/>
  <c r="BA833" i="4"/>
  <c r="BC833" i="4" s="1"/>
  <c r="AY833" i="4"/>
  <c r="AX833" i="4"/>
  <c r="AZ833" i="4" s="1"/>
  <c r="AW833" i="4"/>
  <c r="BK833" i="4" s="1"/>
  <c r="AR833" i="4"/>
  <c r="AN833" i="4"/>
  <c r="AK833" i="4"/>
  <c r="BH833" i="4" s="1"/>
  <c r="K833" i="4"/>
  <c r="J833" i="4"/>
  <c r="I833" i="4"/>
  <c r="H833" i="4"/>
  <c r="G833" i="4"/>
  <c r="AX832" i="4"/>
  <c r="AW832" i="4"/>
  <c r="BI832" i="4" s="1"/>
  <c r="AR832" i="4"/>
  <c r="BG832" i="4" s="1"/>
  <c r="AN832" i="4"/>
  <c r="AK832" i="4"/>
  <c r="BH832" i="4" s="1"/>
  <c r="K832" i="4"/>
  <c r="J832" i="4"/>
  <c r="I832" i="4"/>
  <c r="H832" i="4"/>
  <c r="G832" i="4"/>
  <c r="BG831" i="4"/>
  <c r="BA831" i="4"/>
  <c r="BC831" i="4" s="1"/>
  <c r="AY831" i="4"/>
  <c r="AX831" i="4"/>
  <c r="AZ831" i="4" s="1"/>
  <c r="AW831" i="4"/>
  <c r="BK831" i="4" s="1"/>
  <c r="AR831" i="4"/>
  <c r="AN831" i="4"/>
  <c r="AK831" i="4"/>
  <c r="BH831" i="4" s="1"/>
  <c r="K831" i="4"/>
  <c r="J831" i="4"/>
  <c r="I831" i="4"/>
  <c r="H831" i="4"/>
  <c r="G831" i="4"/>
  <c r="AX830" i="4"/>
  <c r="AW830" i="4"/>
  <c r="BI830" i="4" s="1"/>
  <c r="AR830" i="4"/>
  <c r="BG830" i="4" s="1"/>
  <c r="AN830" i="4"/>
  <c r="AK830" i="4"/>
  <c r="BH830" i="4" s="1"/>
  <c r="K830" i="4"/>
  <c r="J830" i="4"/>
  <c r="I830" i="4"/>
  <c r="H830" i="4"/>
  <c r="G830" i="4"/>
  <c r="BG829" i="4"/>
  <c r="BA829" i="4"/>
  <c r="BC829" i="4" s="1"/>
  <c r="AY829" i="4"/>
  <c r="AX829" i="4"/>
  <c r="AZ829" i="4" s="1"/>
  <c r="AW829" i="4"/>
  <c r="BK829" i="4" s="1"/>
  <c r="AR829" i="4"/>
  <c r="AN829" i="4"/>
  <c r="AK829" i="4"/>
  <c r="BH829" i="4" s="1"/>
  <c r="K829" i="4"/>
  <c r="J829" i="4"/>
  <c r="I829" i="4"/>
  <c r="H829" i="4"/>
  <c r="G829" i="4"/>
  <c r="AX828" i="4"/>
  <c r="AW828" i="4"/>
  <c r="BI828" i="4" s="1"/>
  <c r="AR828" i="4"/>
  <c r="BG828" i="4" s="1"/>
  <c r="AN828" i="4"/>
  <c r="AK828" i="4"/>
  <c r="BH828" i="4" s="1"/>
  <c r="K828" i="4"/>
  <c r="J828" i="4"/>
  <c r="I828" i="4"/>
  <c r="H828" i="4"/>
  <c r="G828" i="4"/>
  <c r="BG827" i="4"/>
  <c r="BA827" i="4"/>
  <c r="BC827" i="4" s="1"/>
  <c r="AY827" i="4"/>
  <c r="AX827" i="4"/>
  <c r="AZ827" i="4" s="1"/>
  <c r="AW827" i="4"/>
  <c r="BK827" i="4" s="1"/>
  <c r="AR827" i="4"/>
  <c r="AN827" i="4"/>
  <c r="AK827" i="4"/>
  <c r="BH827" i="4" s="1"/>
  <c r="K827" i="4"/>
  <c r="J827" i="4"/>
  <c r="I827" i="4"/>
  <c r="H827" i="4"/>
  <c r="G827" i="4"/>
  <c r="AX826" i="4"/>
  <c r="AW826" i="4"/>
  <c r="BI826" i="4" s="1"/>
  <c r="AR826" i="4"/>
  <c r="BG826" i="4" s="1"/>
  <c r="AN826" i="4"/>
  <c r="AK826" i="4"/>
  <c r="BH826" i="4" s="1"/>
  <c r="K826" i="4"/>
  <c r="J826" i="4"/>
  <c r="I826" i="4"/>
  <c r="H826" i="4"/>
  <c r="G826" i="4"/>
  <c r="BG825" i="4"/>
  <c r="BA825" i="4"/>
  <c r="BC825" i="4" s="1"/>
  <c r="AY825" i="4"/>
  <c r="AX825" i="4"/>
  <c r="AZ825" i="4" s="1"/>
  <c r="AW825" i="4"/>
  <c r="BK825" i="4" s="1"/>
  <c r="AR825" i="4"/>
  <c r="AN825" i="4"/>
  <c r="AK825" i="4"/>
  <c r="BH825" i="4" s="1"/>
  <c r="K825" i="4"/>
  <c r="J825" i="4"/>
  <c r="I825" i="4"/>
  <c r="H825" i="4"/>
  <c r="G825" i="4"/>
  <c r="AX824" i="4"/>
  <c r="AW824" i="4"/>
  <c r="BI824" i="4" s="1"/>
  <c r="AR824" i="4"/>
  <c r="BG824" i="4" s="1"/>
  <c r="AN824" i="4"/>
  <c r="AK824" i="4"/>
  <c r="BH824" i="4" s="1"/>
  <c r="K824" i="4"/>
  <c r="J824" i="4"/>
  <c r="I824" i="4"/>
  <c r="H824" i="4"/>
  <c r="G824" i="4"/>
  <c r="BG823" i="4"/>
  <c r="BA823" i="4"/>
  <c r="BC823" i="4" s="1"/>
  <c r="AY823" i="4"/>
  <c r="AX823" i="4"/>
  <c r="AZ823" i="4" s="1"/>
  <c r="AW823" i="4"/>
  <c r="BK823" i="4" s="1"/>
  <c r="AR823" i="4"/>
  <c r="AN823" i="4"/>
  <c r="AK823" i="4"/>
  <c r="BH823" i="4" s="1"/>
  <c r="K823" i="4"/>
  <c r="J823" i="4"/>
  <c r="I823" i="4"/>
  <c r="H823" i="4"/>
  <c r="G823" i="4"/>
  <c r="AX822" i="4"/>
  <c r="AW822" i="4"/>
  <c r="BI822" i="4" s="1"/>
  <c r="AR822" i="4"/>
  <c r="BG822" i="4" s="1"/>
  <c r="AN822" i="4"/>
  <c r="AK822" i="4"/>
  <c r="BH822" i="4" s="1"/>
  <c r="K822" i="4"/>
  <c r="J822" i="4"/>
  <c r="I822" i="4"/>
  <c r="H822" i="4"/>
  <c r="G822" i="4"/>
  <c r="BG821" i="4"/>
  <c r="BA821" i="4"/>
  <c r="BC821" i="4" s="1"/>
  <c r="AY821" i="4"/>
  <c r="AX821" i="4"/>
  <c r="AZ821" i="4" s="1"/>
  <c r="AW821" i="4"/>
  <c r="BK821" i="4" s="1"/>
  <c r="AR821" i="4"/>
  <c r="AN821" i="4"/>
  <c r="AK821" i="4"/>
  <c r="BH821" i="4" s="1"/>
  <c r="K821" i="4"/>
  <c r="J821" i="4"/>
  <c r="I821" i="4"/>
  <c r="H821" i="4"/>
  <c r="G821" i="4"/>
  <c r="AX820" i="4"/>
  <c r="AW820" i="4"/>
  <c r="BI820" i="4" s="1"/>
  <c r="AR820" i="4"/>
  <c r="BG820" i="4" s="1"/>
  <c r="AN820" i="4"/>
  <c r="AK820" i="4"/>
  <c r="BH820" i="4" s="1"/>
  <c r="K820" i="4"/>
  <c r="J820" i="4"/>
  <c r="I820" i="4"/>
  <c r="H820" i="4"/>
  <c r="G820" i="4"/>
  <c r="BG819" i="4"/>
  <c r="BA819" i="4"/>
  <c r="BC819" i="4" s="1"/>
  <c r="AY819" i="4"/>
  <c r="AX819" i="4"/>
  <c r="AZ819" i="4" s="1"/>
  <c r="AW819" i="4"/>
  <c r="BK819" i="4" s="1"/>
  <c r="AR819" i="4"/>
  <c r="AN819" i="4"/>
  <c r="AK819" i="4"/>
  <c r="BH819" i="4" s="1"/>
  <c r="K819" i="4"/>
  <c r="J819" i="4"/>
  <c r="I819" i="4"/>
  <c r="H819" i="4"/>
  <c r="G819" i="4"/>
  <c r="AX818" i="4"/>
  <c r="AW818" i="4"/>
  <c r="BI818" i="4" s="1"/>
  <c r="AR818" i="4"/>
  <c r="BG818" i="4" s="1"/>
  <c r="AN818" i="4"/>
  <c r="AK818" i="4"/>
  <c r="BH818" i="4" s="1"/>
  <c r="K818" i="4"/>
  <c r="J818" i="4"/>
  <c r="I818" i="4"/>
  <c r="H818" i="4"/>
  <c r="G818" i="4"/>
  <c r="BG817" i="4"/>
  <c r="BA817" i="4"/>
  <c r="BC817" i="4" s="1"/>
  <c r="AY817" i="4"/>
  <c r="AX817" i="4"/>
  <c r="AZ817" i="4" s="1"/>
  <c r="AW817" i="4"/>
  <c r="BK817" i="4" s="1"/>
  <c r="AR817" i="4"/>
  <c r="AN817" i="4"/>
  <c r="AK817" i="4"/>
  <c r="BH817" i="4" s="1"/>
  <c r="K817" i="4"/>
  <c r="J817" i="4"/>
  <c r="I817" i="4"/>
  <c r="H817" i="4"/>
  <c r="G817" i="4"/>
  <c r="AX816" i="4"/>
  <c r="AW816" i="4"/>
  <c r="BI816" i="4" s="1"/>
  <c r="AR816" i="4"/>
  <c r="BG816" i="4" s="1"/>
  <c r="AN816" i="4"/>
  <c r="AK816" i="4"/>
  <c r="BH816" i="4" s="1"/>
  <c r="K816" i="4"/>
  <c r="J816" i="4"/>
  <c r="I816" i="4"/>
  <c r="H816" i="4"/>
  <c r="G816" i="4"/>
  <c r="BG815" i="4"/>
  <c r="BA815" i="4"/>
  <c r="BC815" i="4" s="1"/>
  <c r="AY815" i="4"/>
  <c r="AX815" i="4"/>
  <c r="AZ815" i="4" s="1"/>
  <c r="AW815" i="4"/>
  <c r="BK815" i="4" s="1"/>
  <c r="AR815" i="4"/>
  <c r="AN815" i="4"/>
  <c r="AK815" i="4"/>
  <c r="BH815" i="4" s="1"/>
  <c r="K815" i="4"/>
  <c r="J815" i="4"/>
  <c r="I815" i="4"/>
  <c r="H815" i="4"/>
  <c r="G815" i="4"/>
  <c r="AX814" i="4"/>
  <c r="AW814" i="4"/>
  <c r="BI814" i="4" s="1"/>
  <c r="AR814" i="4"/>
  <c r="BG814" i="4" s="1"/>
  <c r="AN814" i="4"/>
  <c r="AK814" i="4"/>
  <c r="BH814" i="4" s="1"/>
  <c r="K814" i="4"/>
  <c r="J814" i="4"/>
  <c r="I814" i="4"/>
  <c r="H814" i="4"/>
  <c r="G814" i="4"/>
  <c r="BG813" i="4"/>
  <c r="BA813" i="4"/>
  <c r="BC813" i="4" s="1"/>
  <c r="AY813" i="4"/>
  <c r="AX813" i="4"/>
  <c r="AZ813" i="4" s="1"/>
  <c r="AW813" i="4"/>
  <c r="BK813" i="4" s="1"/>
  <c r="AR813" i="4"/>
  <c r="AN813" i="4"/>
  <c r="AK813" i="4"/>
  <c r="BH813" i="4" s="1"/>
  <c r="K813" i="4"/>
  <c r="J813" i="4"/>
  <c r="I813" i="4"/>
  <c r="H813" i="4"/>
  <c r="G813" i="4"/>
  <c r="AX812" i="4"/>
  <c r="AW812" i="4"/>
  <c r="BI812" i="4" s="1"/>
  <c r="AR812" i="4"/>
  <c r="BG812" i="4" s="1"/>
  <c r="AN812" i="4"/>
  <c r="AK812" i="4"/>
  <c r="BH812" i="4" s="1"/>
  <c r="K812" i="4"/>
  <c r="J812" i="4"/>
  <c r="I812" i="4"/>
  <c r="H812" i="4"/>
  <c r="G812" i="4"/>
  <c r="BG811" i="4"/>
  <c r="BA811" i="4"/>
  <c r="BC811" i="4" s="1"/>
  <c r="AY811" i="4"/>
  <c r="AX811" i="4"/>
  <c r="AZ811" i="4" s="1"/>
  <c r="AW811" i="4"/>
  <c r="BK811" i="4" s="1"/>
  <c r="AR811" i="4"/>
  <c r="AN811" i="4"/>
  <c r="AK811" i="4"/>
  <c r="BH811" i="4" s="1"/>
  <c r="K811" i="4"/>
  <c r="J811" i="4"/>
  <c r="I811" i="4"/>
  <c r="H811" i="4"/>
  <c r="G811" i="4"/>
  <c r="AX810" i="4"/>
  <c r="AW810" i="4"/>
  <c r="BI810" i="4" s="1"/>
  <c r="AR810" i="4"/>
  <c r="BG810" i="4" s="1"/>
  <c r="AN810" i="4"/>
  <c r="AK810" i="4"/>
  <c r="BH810" i="4" s="1"/>
  <c r="K810" i="4"/>
  <c r="J810" i="4"/>
  <c r="I810" i="4"/>
  <c r="H810" i="4"/>
  <c r="G810" i="4"/>
  <c r="BG809" i="4"/>
  <c r="BA809" i="4"/>
  <c r="BC809" i="4" s="1"/>
  <c r="AY809" i="4"/>
  <c r="AX809" i="4"/>
  <c r="AZ809" i="4" s="1"/>
  <c r="AW809" i="4"/>
  <c r="BK809" i="4" s="1"/>
  <c r="AR809" i="4"/>
  <c r="AN809" i="4"/>
  <c r="AK809" i="4"/>
  <c r="BH809" i="4" s="1"/>
  <c r="K809" i="4"/>
  <c r="J809" i="4"/>
  <c r="I809" i="4"/>
  <c r="H809" i="4"/>
  <c r="G809" i="4"/>
  <c r="AX808" i="4"/>
  <c r="AW808" i="4"/>
  <c r="BI808" i="4" s="1"/>
  <c r="AR808" i="4"/>
  <c r="BG808" i="4" s="1"/>
  <c r="AN808" i="4"/>
  <c r="AK808" i="4"/>
  <c r="BH808" i="4" s="1"/>
  <c r="K808" i="4"/>
  <c r="J808" i="4"/>
  <c r="I808" i="4"/>
  <c r="H808" i="4"/>
  <c r="G808" i="4"/>
  <c r="BG807" i="4"/>
  <c r="BA807" i="4"/>
  <c r="BC807" i="4" s="1"/>
  <c r="AY807" i="4"/>
  <c r="AX807" i="4"/>
  <c r="AZ807" i="4" s="1"/>
  <c r="AW807" i="4"/>
  <c r="BK807" i="4" s="1"/>
  <c r="AR807" i="4"/>
  <c r="AN807" i="4"/>
  <c r="AK807" i="4"/>
  <c r="BH807" i="4" s="1"/>
  <c r="K807" i="4"/>
  <c r="J807" i="4"/>
  <c r="I807" i="4"/>
  <c r="H807" i="4"/>
  <c r="G807" i="4"/>
  <c r="AX806" i="4"/>
  <c r="AW806" i="4"/>
  <c r="BI806" i="4" s="1"/>
  <c r="AR806" i="4"/>
  <c r="BG806" i="4" s="1"/>
  <c r="AN806" i="4"/>
  <c r="AK806" i="4"/>
  <c r="BH806" i="4" s="1"/>
  <c r="K806" i="4"/>
  <c r="J806" i="4"/>
  <c r="I806" i="4"/>
  <c r="H806" i="4"/>
  <c r="G806" i="4"/>
  <c r="BG805" i="4"/>
  <c r="BA805" i="4"/>
  <c r="BC805" i="4" s="1"/>
  <c r="AY805" i="4"/>
  <c r="AX805" i="4"/>
  <c r="AZ805" i="4" s="1"/>
  <c r="AW805" i="4"/>
  <c r="BK805" i="4" s="1"/>
  <c r="AR805" i="4"/>
  <c r="AN805" i="4"/>
  <c r="AK805" i="4"/>
  <c r="BH805" i="4" s="1"/>
  <c r="K805" i="4"/>
  <c r="J805" i="4"/>
  <c r="I805" i="4"/>
  <c r="H805" i="4"/>
  <c r="G805" i="4"/>
  <c r="AX804" i="4"/>
  <c r="AW804" i="4"/>
  <c r="BI804" i="4" s="1"/>
  <c r="AR804" i="4"/>
  <c r="BG804" i="4" s="1"/>
  <c r="AN804" i="4"/>
  <c r="AK804" i="4"/>
  <c r="BH804" i="4" s="1"/>
  <c r="K804" i="4"/>
  <c r="J804" i="4"/>
  <c r="I804" i="4"/>
  <c r="H804" i="4"/>
  <c r="G804" i="4"/>
  <c r="BG803" i="4"/>
  <c r="BA803" i="4"/>
  <c r="BC803" i="4" s="1"/>
  <c r="AY803" i="4"/>
  <c r="AX803" i="4"/>
  <c r="AZ803" i="4" s="1"/>
  <c r="AW803" i="4"/>
  <c r="BK803" i="4" s="1"/>
  <c r="AR803" i="4"/>
  <c r="AN803" i="4"/>
  <c r="AK803" i="4"/>
  <c r="BH803" i="4" s="1"/>
  <c r="K803" i="4"/>
  <c r="J803" i="4"/>
  <c r="I803" i="4"/>
  <c r="H803" i="4"/>
  <c r="G803" i="4"/>
  <c r="AX802" i="4"/>
  <c r="AW802" i="4"/>
  <c r="BI802" i="4" s="1"/>
  <c r="AR802" i="4"/>
  <c r="BG802" i="4" s="1"/>
  <c r="AN802" i="4"/>
  <c r="AK802" i="4"/>
  <c r="BH802" i="4" s="1"/>
  <c r="K802" i="4"/>
  <c r="J802" i="4"/>
  <c r="I802" i="4"/>
  <c r="H802" i="4"/>
  <c r="G802" i="4"/>
  <c r="BG801" i="4"/>
  <c r="BA801" i="4"/>
  <c r="BC801" i="4" s="1"/>
  <c r="AY801" i="4"/>
  <c r="AX801" i="4"/>
  <c r="AZ801" i="4" s="1"/>
  <c r="AW801" i="4"/>
  <c r="BK801" i="4" s="1"/>
  <c r="AR801" i="4"/>
  <c r="AN801" i="4"/>
  <c r="AK801" i="4"/>
  <c r="BH801" i="4" s="1"/>
  <c r="K801" i="4"/>
  <c r="J801" i="4"/>
  <c r="I801" i="4"/>
  <c r="H801" i="4"/>
  <c r="G801" i="4"/>
  <c r="AX800" i="4"/>
  <c r="AW800" i="4"/>
  <c r="BI800" i="4" s="1"/>
  <c r="AR800" i="4"/>
  <c r="BG800" i="4" s="1"/>
  <c r="AN800" i="4"/>
  <c r="AK800" i="4"/>
  <c r="BH800" i="4" s="1"/>
  <c r="K800" i="4"/>
  <c r="J800" i="4"/>
  <c r="I800" i="4"/>
  <c r="H800" i="4"/>
  <c r="G800" i="4"/>
  <c r="BG799" i="4"/>
  <c r="BA799" i="4"/>
  <c r="BC799" i="4" s="1"/>
  <c r="AY799" i="4"/>
  <c r="AX799" i="4"/>
  <c r="AZ799" i="4" s="1"/>
  <c r="AW799" i="4"/>
  <c r="BK799" i="4" s="1"/>
  <c r="AR799" i="4"/>
  <c r="AN799" i="4"/>
  <c r="AK799" i="4"/>
  <c r="BH799" i="4" s="1"/>
  <c r="K799" i="4"/>
  <c r="J799" i="4"/>
  <c r="I799" i="4"/>
  <c r="H799" i="4"/>
  <c r="G799" i="4"/>
  <c r="AX798" i="4"/>
  <c r="AW798" i="4"/>
  <c r="BI798" i="4" s="1"/>
  <c r="AR798" i="4"/>
  <c r="BG798" i="4" s="1"/>
  <c r="AN798" i="4"/>
  <c r="AK798" i="4"/>
  <c r="BH798" i="4" s="1"/>
  <c r="K798" i="4"/>
  <c r="J798" i="4"/>
  <c r="I798" i="4"/>
  <c r="H798" i="4"/>
  <c r="G798" i="4"/>
  <c r="BG797" i="4"/>
  <c r="BA797" i="4"/>
  <c r="BC797" i="4" s="1"/>
  <c r="AY797" i="4"/>
  <c r="AX797" i="4"/>
  <c r="AZ797" i="4" s="1"/>
  <c r="AW797" i="4"/>
  <c r="BK797" i="4" s="1"/>
  <c r="AR797" i="4"/>
  <c r="AN797" i="4"/>
  <c r="AK797" i="4"/>
  <c r="BH797" i="4" s="1"/>
  <c r="K797" i="4"/>
  <c r="J797" i="4"/>
  <c r="I797" i="4"/>
  <c r="H797" i="4"/>
  <c r="G797" i="4"/>
  <c r="AX796" i="4"/>
  <c r="AW796" i="4"/>
  <c r="BI796" i="4" s="1"/>
  <c r="AR796" i="4"/>
  <c r="BG796" i="4" s="1"/>
  <c r="AN796" i="4"/>
  <c r="AK796" i="4"/>
  <c r="BH796" i="4" s="1"/>
  <c r="K796" i="4"/>
  <c r="J796" i="4"/>
  <c r="I796" i="4"/>
  <c r="H796" i="4"/>
  <c r="G796" i="4"/>
  <c r="BG795" i="4"/>
  <c r="BA795" i="4"/>
  <c r="BC795" i="4" s="1"/>
  <c r="AY795" i="4"/>
  <c r="AX795" i="4"/>
  <c r="AZ795" i="4" s="1"/>
  <c r="AW795" i="4"/>
  <c r="BK795" i="4" s="1"/>
  <c r="AR795" i="4"/>
  <c r="AN795" i="4"/>
  <c r="AK795" i="4"/>
  <c r="BH795" i="4" s="1"/>
  <c r="K795" i="4"/>
  <c r="J795" i="4"/>
  <c r="I795" i="4"/>
  <c r="H795" i="4"/>
  <c r="G795" i="4"/>
  <c r="AX794" i="4"/>
  <c r="AW794" i="4"/>
  <c r="BI794" i="4" s="1"/>
  <c r="AR794" i="4"/>
  <c r="BG794" i="4" s="1"/>
  <c r="AN794" i="4"/>
  <c r="AK794" i="4"/>
  <c r="BH794" i="4" s="1"/>
  <c r="K794" i="4"/>
  <c r="J794" i="4"/>
  <c r="I794" i="4"/>
  <c r="H794" i="4"/>
  <c r="G794" i="4"/>
  <c r="BG793" i="4"/>
  <c r="BA793" i="4"/>
  <c r="BC793" i="4" s="1"/>
  <c r="AY793" i="4"/>
  <c r="AX793" i="4"/>
  <c r="AZ793" i="4" s="1"/>
  <c r="AW793" i="4"/>
  <c r="BK793" i="4" s="1"/>
  <c r="AR793" i="4"/>
  <c r="AN793" i="4"/>
  <c r="AK793" i="4"/>
  <c r="BH793" i="4" s="1"/>
  <c r="K793" i="4"/>
  <c r="J793" i="4"/>
  <c r="I793" i="4"/>
  <c r="H793" i="4"/>
  <c r="G793" i="4"/>
  <c r="AX792" i="4"/>
  <c r="AW792" i="4"/>
  <c r="BI792" i="4" s="1"/>
  <c r="AR792" i="4"/>
  <c r="BG792" i="4" s="1"/>
  <c r="AN792" i="4"/>
  <c r="AK792" i="4"/>
  <c r="BH792" i="4" s="1"/>
  <c r="K792" i="4"/>
  <c r="J792" i="4"/>
  <c r="I792" i="4"/>
  <c r="H792" i="4"/>
  <c r="G792" i="4"/>
  <c r="BG791" i="4"/>
  <c r="BC791" i="4"/>
  <c r="BA791" i="4"/>
  <c r="BB791" i="4" s="1"/>
  <c r="AY791" i="4"/>
  <c r="AX791" i="4"/>
  <c r="AW791" i="4"/>
  <c r="BK791" i="4" s="1"/>
  <c r="AR791" i="4"/>
  <c r="AN791" i="4"/>
  <c r="AK791" i="4"/>
  <c r="BH791" i="4" s="1"/>
  <c r="K791" i="4"/>
  <c r="J791" i="4"/>
  <c r="I791" i="4"/>
  <c r="H791" i="4"/>
  <c r="G791" i="4"/>
  <c r="BH790" i="4"/>
  <c r="BD790" i="4"/>
  <c r="BE790" i="4" s="1"/>
  <c r="AX790" i="4"/>
  <c r="AW790" i="4"/>
  <c r="BI790" i="4" s="1"/>
  <c r="AR790" i="4"/>
  <c r="AN790" i="4"/>
  <c r="AK790" i="4"/>
  <c r="K790" i="4"/>
  <c r="J790" i="4"/>
  <c r="I790" i="4"/>
  <c r="H790" i="4"/>
  <c r="G790" i="4"/>
  <c r="BI789" i="4"/>
  <c r="BG789" i="4"/>
  <c r="BA789" i="4"/>
  <c r="BB789" i="4" s="1"/>
  <c r="AY789" i="4"/>
  <c r="AX789" i="4"/>
  <c r="AZ789" i="4" s="1"/>
  <c r="AW789" i="4"/>
  <c r="BK789" i="4" s="1"/>
  <c r="AR789" i="4"/>
  <c r="AN789" i="4"/>
  <c r="AK789" i="4"/>
  <c r="BH789" i="4" s="1"/>
  <c r="K789" i="4"/>
  <c r="J789" i="4"/>
  <c r="I789" i="4"/>
  <c r="H789" i="4"/>
  <c r="G789" i="4"/>
  <c r="AX788" i="4"/>
  <c r="AW788" i="4"/>
  <c r="BI788" i="4" s="1"/>
  <c r="AR788" i="4"/>
  <c r="AN788" i="4"/>
  <c r="AK788" i="4"/>
  <c r="BH788" i="4" s="1"/>
  <c r="K788" i="4"/>
  <c r="J788" i="4"/>
  <c r="I788" i="4"/>
  <c r="H788" i="4"/>
  <c r="G788" i="4"/>
  <c r="BG787" i="4"/>
  <c r="BC787" i="4"/>
  <c r="BA787" i="4"/>
  <c r="BB787" i="4" s="1"/>
  <c r="AY787" i="4"/>
  <c r="AX787" i="4"/>
  <c r="AW787" i="4"/>
  <c r="BK787" i="4" s="1"/>
  <c r="AR787" i="4"/>
  <c r="AN787" i="4"/>
  <c r="AK787" i="4"/>
  <c r="BH787" i="4" s="1"/>
  <c r="K787" i="4"/>
  <c r="J787" i="4"/>
  <c r="I787" i="4"/>
  <c r="H787" i="4"/>
  <c r="G787" i="4"/>
  <c r="BH786" i="4"/>
  <c r="BD786" i="4"/>
  <c r="BE786" i="4" s="1"/>
  <c r="AX786" i="4"/>
  <c r="AW786" i="4"/>
  <c r="BI786" i="4" s="1"/>
  <c r="AR786" i="4"/>
  <c r="AN786" i="4"/>
  <c r="AK786" i="4"/>
  <c r="K786" i="4"/>
  <c r="J786" i="4"/>
  <c r="I786" i="4"/>
  <c r="H786" i="4"/>
  <c r="G786" i="4"/>
  <c r="BI785" i="4"/>
  <c r="BG785" i="4"/>
  <c r="BA785" i="4"/>
  <c r="BB785" i="4" s="1"/>
  <c r="AY785" i="4"/>
  <c r="AX785" i="4"/>
  <c r="AZ785" i="4" s="1"/>
  <c r="AW785" i="4"/>
  <c r="BK785" i="4" s="1"/>
  <c r="AR785" i="4"/>
  <c r="AN785" i="4"/>
  <c r="AK785" i="4"/>
  <c r="BH785" i="4" s="1"/>
  <c r="K785" i="4"/>
  <c r="J785" i="4"/>
  <c r="I785" i="4"/>
  <c r="H785" i="4"/>
  <c r="G785" i="4"/>
  <c r="AX784" i="4"/>
  <c r="AW784" i="4"/>
  <c r="BI784" i="4" s="1"/>
  <c r="AR784" i="4"/>
  <c r="AN784" i="4"/>
  <c r="AK784" i="4"/>
  <c r="BH784" i="4" s="1"/>
  <c r="K784" i="4"/>
  <c r="J784" i="4"/>
  <c r="I784" i="4"/>
  <c r="H784" i="4"/>
  <c r="G784" i="4"/>
  <c r="BG783" i="4"/>
  <c r="BC783" i="4"/>
  <c r="BA783" i="4"/>
  <c r="BB783" i="4" s="1"/>
  <c r="AY783" i="4"/>
  <c r="AX783" i="4"/>
  <c r="AW783" i="4"/>
  <c r="BK783" i="4" s="1"/>
  <c r="AR783" i="4"/>
  <c r="AN783" i="4"/>
  <c r="AK783" i="4"/>
  <c r="BH783" i="4" s="1"/>
  <c r="K783" i="4"/>
  <c r="J783" i="4"/>
  <c r="I783" i="4"/>
  <c r="H783" i="4"/>
  <c r="G783" i="4"/>
  <c r="BH782" i="4"/>
  <c r="BD782" i="4"/>
  <c r="BE782" i="4" s="1"/>
  <c r="AX782" i="4"/>
  <c r="AW782" i="4"/>
  <c r="BI782" i="4" s="1"/>
  <c r="AR782" i="4"/>
  <c r="AN782" i="4"/>
  <c r="AK782" i="4"/>
  <c r="K782" i="4"/>
  <c r="J782" i="4"/>
  <c r="I782" i="4"/>
  <c r="H782" i="4"/>
  <c r="G782" i="4"/>
  <c r="BI781" i="4"/>
  <c r="BG781" i="4"/>
  <c r="BA781" i="4"/>
  <c r="BB781" i="4" s="1"/>
  <c r="AY781" i="4"/>
  <c r="AX781" i="4"/>
  <c r="AZ781" i="4" s="1"/>
  <c r="AW781" i="4"/>
  <c r="BK781" i="4" s="1"/>
  <c r="AR781" i="4"/>
  <c r="AN781" i="4"/>
  <c r="AK781" i="4"/>
  <c r="BH781" i="4" s="1"/>
  <c r="K781" i="4"/>
  <c r="J781" i="4"/>
  <c r="I781" i="4"/>
  <c r="H781" i="4"/>
  <c r="G781" i="4"/>
  <c r="AX780" i="4"/>
  <c r="AW780" i="4"/>
  <c r="BI780" i="4" s="1"/>
  <c r="AR780" i="4"/>
  <c r="AN780" i="4"/>
  <c r="AK780" i="4"/>
  <c r="BH780" i="4" s="1"/>
  <c r="K780" i="4"/>
  <c r="J780" i="4"/>
  <c r="I780" i="4"/>
  <c r="H780" i="4"/>
  <c r="G780" i="4"/>
  <c r="BG779" i="4"/>
  <c r="BC779" i="4"/>
  <c r="BA779" i="4"/>
  <c r="BB779" i="4" s="1"/>
  <c r="AY779" i="4"/>
  <c r="AX779" i="4"/>
  <c r="AW779" i="4"/>
  <c r="BK779" i="4" s="1"/>
  <c r="AR779" i="4"/>
  <c r="AN779" i="4"/>
  <c r="AK779" i="4"/>
  <c r="BH779" i="4" s="1"/>
  <c r="K779" i="4"/>
  <c r="J779" i="4"/>
  <c r="I779" i="4"/>
  <c r="H779" i="4"/>
  <c r="G779" i="4"/>
  <c r="BH778" i="4"/>
  <c r="BD778" i="4"/>
  <c r="BE778" i="4" s="1"/>
  <c r="AX778" i="4"/>
  <c r="AW778" i="4"/>
  <c r="BI778" i="4" s="1"/>
  <c r="AR778" i="4"/>
  <c r="AN778" i="4"/>
  <c r="AK778" i="4"/>
  <c r="K778" i="4"/>
  <c r="J778" i="4"/>
  <c r="I778" i="4"/>
  <c r="H778" i="4"/>
  <c r="G778" i="4"/>
  <c r="BI777" i="4"/>
  <c r="BG777" i="4"/>
  <c r="BA777" i="4"/>
  <c r="BB777" i="4" s="1"/>
  <c r="AY777" i="4"/>
  <c r="AX777" i="4"/>
  <c r="AZ777" i="4" s="1"/>
  <c r="AW777" i="4"/>
  <c r="BK777" i="4" s="1"/>
  <c r="AR777" i="4"/>
  <c r="AN777" i="4"/>
  <c r="AK777" i="4"/>
  <c r="BH777" i="4" s="1"/>
  <c r="K777" i="4"/>
  <c r="J777" i="4"/>
  <c r="I777" i="4"/>
  <c r="H777" i="4"/>
  <c r="G777" i="4"/>
  <c r="AX776" i="4"/>
  <c r="AW776" i="4"/>
  <c r="BI776" i="4" s="1"/>
  <c r="AR776" i="4"/>
  <c r="AN776" i="4"/>
  <c r="AK776" i="4"/>
  <c r="BH776" i="4" s="1"/>
  <c r="K776" i="4"/>
  <c r="J776" i="4"/>
  <c r="I776" i="4"/>
  <c r="H776" i="4"/>
  <c r="G776" i="4"/>
  <c r="BG775" i="4"/>
  <c r="BC775" i="4"/>
  <c r="BA775" i="4"/>
  <c r="BB775" i="4" s="1"/>
  <c r="AY775" i="4"/>
  <c r="AX775" i="4"/>
  <c r="AW775" i="4"/>
  <c r="BK775" i="4" s="1"/>
  <c r="AR775" i="4"/>
  <c r="AN775" i="4"/>
  <c r="AK775" i="4"/>
  <c r="BH775" i="4" s="1"/>
  <c r="K775" i="4"/>
  <c r="J775" i="4"/>
  <c r="I775" i="4"/>
  <c r="H775" i="4"/>
  <c r="G775" i="4"/>
  <c r="BH774" i="4"/>
  <c r="BD774" i="4"/>
  <c r="BE774" i="4" s="1"/>
  <c r="AX774" i="4"/>
  <c r="AW774" i="4"/>
  <c r="BI774" i="4" s="1"/>
  <c r="AR774" i="4"/>
  <c r="AN774" i="4"/>
  <c r="AK774" i="4"/>
  <c r="K774" i="4"/>
  <c r="J774" i="4"/>
  <c r="I774" i="4"/>
  <c r="H774" i="4"/>
  <c r="G774" i="4"/>
  <c r="BI773" i="4"/>
  <c r="BG773" i="4"/>
  <c r="BA773" i="4"/>
  <c r="BB773" i="4" s="1"/>
  <c r="AY773" i="4"/>
  <c r="AX773" i="4"/>
  <c r="AZ773" i="4" s="1"/>
  <c r="AW773" i="4"/>
  <c r="BK773" i="4" s="1"/>
  <c r="AR773" i="4"/>
  <c r="AN773" i="4"/>
  <c r="AK773" i="4"/>
  <c r="BH773" i="4" s="1"/>
  <c r="K773" i="4"/>
  <c r="J773" i="4"/>
  <c r="I773" i="4"/>
  <c r="H773" i="4"/>
  <c r="G773" i="4"/>
  <c r="AY772" i="4"/>
  <c r="AX772" i="4"/>
  <c r="AZ772" i="4" s="1"/>
  <c r="AW772" i="4"/>
  <c r="BI772" i="4" s="1"/>
  <c r="AR772" i="4"/>
  <c r="BG772" i="4" s="1"/>
  <c r="AN772" i="4"/>
  <c r="AK772" i="4"/>
  <c r="K772" i="4"/>
  <c r="J772" i="4"/>
  <c r="I772" i="4"/>
  <c r="H772" i="4"/>
  <c r="G772" i="4"/>
  <c r="AX771" i="4"/>
  <c r="AW771" i="4"/>
  <c r="BI771" i="4" s="1"/>
  <c r="AR771" i="4"/>
  <c r="BG771" i="4" s="1"/>
  <c r="AN771" i="4"/>
  <c r="AK771" i="4"/>
  <c r="BH771" i="4" s="1"/>
  <c r="K771" i="4"/>
  <c r="J771" i="4"/>
  <c r="I771" i="4"/>
  <c r="H771" i="4"/>
  <c r="G771" i="4"/>
  <c r="BG770" i="4"/>
  <c r="BA770" i="4"/>
  <c r="BC770" i="4" s="1"/>
  <c r="AY770" i="4"/>
  <c r="AX770" i="4"/>
  <c r="AZ770" i="4" s="1"/>
  <c r="AW770" i="4"/>
  <c r="BK770" i="4" s="1"/>
  <c r="AR770" i="4"/>
  <c r="AN770" i="4"/>
  <c r="AK770" i="4"/>
  <c r="BH770" i="4" s="1"/>
  <c r="K770" i="4"/>
  <c r="J770" i="4"/>
  <c r="I770" i="4"/>
  <c r="H770" i="4"/>
  <c r="G770" i="4"/>
  <c r="AX769" i="4"/>
  <c r="AW769" i="4"/>
  <c r="BI769" i="4" s="1"/>
  <c r="AR769" i="4"/>
  <c r="BG769" i="4" s="1"/>
  <c r="AN769" i="4"/>
  <c r="AK769" i="4"/>
  <c r="BH769" i="4" s="1"/>
  <c r="K769" i="4"/>
  <c r="J769" i="4"/>
  <c r="I769" i="4"/>
  <c r="H769" i="4"/>
  <c r="G769" i="4"/>
  <c r="BG768" i="4"/>
  <c r="BA768" i="4"/>
  <c r="BC768" i="4" s="1"/>
  <c r="AY768" i="4"/>
  <c r="AX768" i="4"/>
  <c r="AZ768" i="4" s="1"/>
  <c r="AW768" i="4"/>
  <c r="BK768" i="4" s="1"/>
  <c r="AR768" i="4"/>
  <c r="AN768" i="4"/>
  <c r="AK768" i="4"/>
  <c r="BH768" i="4" s="1"/>
  <c r="K768" i="4"/>
  <c r="J768" i="4"/>
  <c r="I768" i="4"/>
  <c r="H768" i="4"/>
  <c r="G768" i="4"/>
  <c r="AX767" i="4"/>
  <c r="AW767" i="4"/>
  <c r="BI767" i="4" s="1"/>
  <c r="AR767" i="4"/>
  <c r="BG767" i="4" s="1"/>
  <c r="AN767" i="4"/>
  <c r="AK767" i="4"/>
  <c r="BH767" i="4" s="1"/>
  <c r="K767" i="4"/>
  <c r="J767" i="4"/>
  <c r="I767" i="4"/>
  <c r="H767" i="4"/>
  <c r="G767" i="4"/>
  <c r="BG766" i="4"/>
  <c r="BA766" i="4"/>
  <c r="BC766" i="4" s="1"/>
  <c r="AY766" i="4"/>
  <c r="AX766" i="4"/>
  <c r="AZ766" i="4" s="1"/>
  <c r="AW766" i="4"/>
  <c r="BK766" i="4" s="1"/>
  <c r="AR766" i="4"/>
  <c r="AN766" i="4"/>
  <c r="AK766" i="4"/>
  <c r="BH766" i="4" s="1"/>
  <c r="K766" i="4"/>
  <c r="J766" i="4"/>
  <c r="I766" i="4"/>
  <c r="H766" i="4"/>
  <c r="G766" i="4"/>
  <c r="AX765" i="4"/>
  <c r="AW765" i="4"/>
  <c r="BI765" i="4" s="1"/>
  <c r="AR765" i="4"/>
  <c r="BG765" i="4" s="1"/>
  <c r="AN765" i="4"/>
  <c r="AK765" i="4"/>
  <c r="BH765" i="4" s="1"/>
  <c r="K765" i="4"/>
  <c r="J765" i="4"/>
  <c r="I765" i="4"/>
  <c r="H765" i="4"/>
  <c r="G765" i="4"/>
  <c r="BG764" i="4"/>
  <c r="BA764" i="4"/>
  <c r="BC764" i="4" s="1"/>
  <c r="AY764" i="4"/>
  <c r="AX764" i="4"/>
  <c r="AZ764" i="4" s="1"/>
  <c r="AW764" i="4"/>
  <c r="BK764" i="4" s="1"/>
  <c r="AR764" i="4"/>
  <c r="AN764" i="4"/>
  <c r="AK764" i="4"/>
  <c r="BH764" i="4" s="1"/>
  <c r="K764" i="4"/>
  <c r="J764" i="4"/>
  <c r="I764" i="4"/>
  <c r="H764" i="4"/>
  <c r="G764" i="4"/>
  <c r="AX763" i="4"/>
  <c r="AW763" i="4"/>
  <c r="BI763" i="4" s="1"/>
  <c r="AR763" i="4"/>
  <c r="BG763" i="4" s="1"/>
  <c r="AN763" i="4"/>
  <c r="AK763" i="4"/>
  <c r="BH763" i="4" s="1"/>
  <c r="K763" i="4"/>
  <c r="J763" i="4"/>
  <c r="I763" i="4"/>
  <c r="H763" i="4"/>
  <c r="G763" i="4"/>
  <c r="BG762" i="4"/>
  <c r="BA762" i="4"/>
  <c r="BC762" i="4" s="1"/>
  <c r="AY762" i="4"/>
  <c r="AX762" i="4"/>
  <c r="AZ762" i="4" s="1"/>
  <c r="AW762" i="4"/>
  <c r="BK762" i="4" s="1"/>
  <c r="AR762" i="4"/>
  <c r="AN762" i="4"/>
  <c r="AK762" i="4"/>
  <c r="BH762" i="4" s="1"/>
  <c r="K762" i="4"/>
  <c r="J762" i="4"/>
  <c r="I762" i="4"/>
  <c r="H762" i="4"/>
  <c r="G762" i="4"/>
  <c r="AX761" i="4"/>
  <c r="AW761" i="4"/>
  <c r="BI761" i="4" s="1"/>
  <c r="AR761" i="4"/>
  <c r="BG761" i="4" s="1"/>
  <c r="AN761" i="4"/>
  <c r="AK761" i="4"/>
  <c r="BH761" i="4" s="1"/>
  <c r="K761" i="4"/>
  <c r="J761" i="4"/>
  <c r="I761" i="4"/>
  <c r="H761" i="4"/>
  <c r="G761" i="4"/>
  <c r="BG760" i="4"/>
  <c r="BA760" i="4"/>
  <c r="BC760" i="4" s="1"/>
  <c r="AY760" i="4"/>
  <c r="AX760" i="4"/>
  <c r="AZ760" i="4" s="1"/>
  <c r="AW760" i="4"/>
  <c r="BK760" i="4" s="1"/>
  <c r="AR760" i="4"/>
  <c r="AN760" i="4"/>
  <c r="AK760" i="4"/>
  <c r="BH760" i="4" s="1"/>
  <c r="K760" i="4"/>
  <c r="J760" i="4"/>
  <c r="I760" i="4"/>
  <c r="H760" i="4"/>
  <c r="G760" i="4"/>
  <c r="AX759" i="4"/>
  <c r="AW759" i="4"/>
  <c r="BI759" i="4" s="1"/>
  <c r="AR759" i="4"/>
  <c r="BG759" i="4" s="1"/>
  <c r="AN759" i="4"/>
  <c r="AK759" i="4"/>
  <c r="BH759" i="4" s="1"/>
  <c r="K759" i="4"/>
  <c r="J759" i="4"/>
  <c r="I759" i="4"/>
  <c r="H759" i="4"/>
  <c r="G759" i="4"/>
  <c r="BG758" i="4"/>
  <c r="BA758" i="4"/>
  <c r="BC758" i="4" s="1"/>
  <c r="AY758" i="4"/>
  <c r="AX758" i="4"/>
  <c r="AZ758" i="4" s="1"/>
  <c r="AW758" i="4"/>
  <c r="BK758" i="4" s="1"/>
  <c r="AR758" i="4"/>
  <c r="AN758" i="4"/>
  <c r="AK758" i="4"/>
  <c r="BH758" i="4" s="1"/>
  <c r="K758" i="4"/>
  <c r="J758" i="4"/>
  <c r="I758" i="4"/>
  <c r="H758" i="4"/>
  <c r="G758" i="4"/>
  <c r="AX757" i="4"/>
  <c r="AW757" i="4"/>
  <c r="BI757" i="4" s="1"/>
  <c r="AR757" i="4"/>
  <c r="BG757" i="4" s="1"/>
  <c r="AN757" i="4"/>
  <c r="AK757" i="4"/>
  <c r="BH757" i="4" s="1"/>
  <c r="K757" i="4"/>
  <c r="J757" i="4"/>
  <c r="I757" i="4"/>
  <c r="H757" i="4"/>
  <c r="G757" i="4"/>
  <c r="BG756" i="4"/>
  <c r="BA756" i="4"/>
  <c r="BC756" i="4" s="1"/>
  <c r="AY756" i="4"/>
  <c r="AX756" i="4"/>
  <c r="AZ756" i="4" s="1"/>
  <c r="AW756" i="4"/>
  <c r="BK756" i="4" s="1"/>
  <c r="AR756" i="4"/>
  <c r="AN756" i="4"/>
  <c r="AK756" i="4"/>
  <c r="BH756" i="4" s="1"/>
  <c r="K756" i="4"/>
  <c r="J756" i="4"/>
  <c r="I756" i="4"/>
  <c r="H756" i="4"/>
  <c r="G756" i="4"/>
  <c r="AX755" i="4"/>
  <c r="AW755" i="4"/>
  <c r="BI755" i="4" s="1"/>
  <c r="AR755" i="4"/>
  <c r="BG755" i="4" s="1"/>
  <c r="AN755" i="4"/>
  <c r="AK755" i="4"/>
  <c r="BH755" i="4" s="1"/>
  <c r="K755" i="4"/>
  <c r="J755" i="4"/>
  <c r="I755" i="4"/>
  <c r="H755" i="4"/>
  <c r="G755" i="4"/>
  <c r="BG754" i="4"/>
  <c r="BA754" i="4"/>
  <c r="BC754" i="4" s="1"/>
  <c r="AY754" i="4"/>
  <c r="AX754" i="4"/>
  <c r="AZ754" i="4" s="1"/>
  <c r="AW754" i="4"/>
  <c r="BK754" i="4" s="1"/>
  <c r="AR754" i="4"/>
  <c r="AN754" i="4"/>
  <c r="AK754" i="4"/>
  <c r="BH754" i="4" s="1"/>
  <c r="K754" i="4"/>
  <c r="J754" i="4"/>
  <c r="I754" i="4"/>
  <c r="H754" i="4"/>
  <c r="G754" i="4"/>
  <c r="AX753" i="4"/>
  <c r="AW753" i="4"/>
  <c r="BI753" i="4" s="1"/>
  <c r="AR753" i="4"/>
  <c r="BG753" i="4" s="1"/>
  <c r="AN753" i="4"/>
  <c r="AK753" i="4"/>
  <c r="BH753" i="4" s="1"/>
  <c r="K753" i="4"/>
  <c r="J753" i="4"/>
  <c r="I753" i="4"/>
  <c r="H753" i="4"/>
  <c r="G753" i="4"/>
  <c r="BG752" i="4"/>
  <c r="BA752" i="4"/>
  <c r="BC752" i="4" s="1"/>
  <c r="AY752" i="4"/>
  <c r="AX752" i="4"/>
  <c r="AZ752" i="4" s="1"/>
  <c r="AW752" i="4"/>
  <c r="BK752" i="4" s="1"/>
  <c r="AR752" i="4"/>
  <c r="AN752" i="4"/>
  <c r="AK752" i="4"/>
  <c r="BH752" i="4" s="1"/>
  <c r="K752" i="4"/>
  <c r="J752" i="4"/>
  <c r="I752" i="4"/>
  <c r="H752" i="4"/>
  <c r="G752" i="4"/>
  <c r="AX751" i="4"/>
  <c r="AW751" i="4"/>
  <c r="BI751" i="4" s="1"/>
  <c r="AR751" i="4"/>
  <c r="BG751" i="4" s="1"/>
  <c r="AN751" i="4"/>
  <c r="AK751" i="4"/>
  <c r="BH751" i="4" s="1"/>
  <c r="K751" i="4"/>
  <c r="J751" i="4"/>
  <c r="I751" i="4"/>
  <c r="H751" i="4"/>
  <c r="G751" i="4"/>
  <c r="BG750" i="4"/>
  <c r="BA750" i="4"/>
  <c r="BC750" i="4" s="1"/>
  <c r="AY750" i="4"/>
  <c r="AX750" i="4"/>
  <c r="AZ750" i="4" s="1"/>
  <c r="AW750" i="4"/>
  <c r="BK750" i="4" s="1"/>
  <c r="AR750" i="4"/>
  <c r="AN750" i="4"/>
  <c r="AK750" i="4"/>
  <c r="BH750" i="4" s="1"/>
  <c r="K750" i="4"/>
  <c r="J750" i="4"/>
  <c r="I750" i="4"/>
  <c r="H750" i="4"/>
  <c r="G750" i="4"/>
  <c r="AX749" i="4"/>
  <c r="AW749" i="4"/>
  <c r="BI749" i="4" s="1"/>
  <c r="AR749" i="4"/>
  <c r="BG749" i="4" s="1"/>
  <c r="AN749" i="4"/>
  <c r="AK749" i="4"/>
  <c r="BH749" i="4" s="1"/>
  <c r="K749" i="4"/>
  <c r="J749" i="4"/>
  <c r="I749" i="4"/>
  <c r="H749" i="4"/>
  <c r="G749" i="4"/>
  <c r="BG748" i="4"/>
  <c r="BA748" i="4"/>
  <c r="BC748" i="4" s="1"/>
  <c r="AY748" i="4"/>
  <c r="AX748" i="4"/>
  <c r="AZ748" i="4" s="1"/>
  <c r="AW748" i="4"/>
  <c r="BK748" i="4" s="1"/>
  <c r="AR748" i="4"/>
  <c r="AN748" i="4"/>
  <c r="AK748" i="4"/>
  <c r="BH748" i="4" s="1"/>
  <c r="K748" i="4"/>
  <c r="J748" i="4"/>
  <c r="I748" i="4"/>
  <c r="H748" i="4"/>
  <c r="G748" i="4"/>
  <c r="AX747" i="4"/>
  <c r="AW747" i="4"/>
  <c r="BI747" i="4" s="1"/>
  <c r="AR747" i="4"/>
  <c r="BG747" i="4" s="1"/>
  <c r="AN747" i="4"/>
  <c r="AK747" i="4"/>
  <c r="BH747" i="4" s="1"/>
  <c r="K747" i="4"/>
  <c r="J747" i="4"/>
  <c r="I747" i="4"/>
  <c r="H747" i="4"/>
  <c r="G747" i="4"/>
  <c r="BG746" i="4"/>
  <c r="BA746" i="4"/>
  <c r="BC746" i="4" s="1"/>
  <c r="AY746" i="4"/>
  <c r="AX746" i="4"/>
  <c r="AZ746" i="4" s="1"/>
  <c r="AW746" i="4"/>
  <c r="BK746" i="4" s="1"/>
  <c r="AR746" i="4"/>
  <c r="AN746" i="4"/>
  <c r="AK746" i="4"/>
  <c r="BH746" i="4" s="1"/>
  <c r="K746" i="4"/>
  <c r="J746" i="4"/>
  <c r="I746" i="4"/>
  <c r="H746" i="4"/>
  <c r="G746" i="4"/>
  <c r="AX745" i="4"/>
  <c r="AW745" i="4"/>
  <c r="BI745" i="4" s="1"/>
  <c r="AR745" i="4"/>
  <c r="BG745" i="4" s="1"/>
  <c r="AN745" i="4"/>
  <c r="AK745" i="4"/>
  <c r="BH745" i="4" s="1"/>
  <c r="K745" i="4"/>
  <c r="J745" i="4"/>
  <c r="I745" i="4"/>
  <c r="H745" i="4"/>
  <c r="G745" i="4"/>
  <c r="BG744" i="4"/>
  <c r="BA744" i="4"/>
  <c r="BC744" i="4" s="1"/>
  <c r="AY744" i="4"/>
  <c r="AX744" i="4"/>
  <c r="AZ744" i="4" s="1"/>
  <c r="AW744" i="4"/>
  <c r="BK744" i="4" s="1"/>
  <c r="AR744" i="4"/>
  <c r="AN744" i="4"/>
  <c r="AK744" i="4"/>
  <c r="BH744" i="4" s="1"/>
  <c r="K744" i="4"/>
  <c r="J744" i="4"/>
  <c r="I744" i="4"/>
  <c r="H744" i="4"/>
  <c r="G744" i="4"/>
  <c r="AX743" i="4"/>
  <c r="AW743" i="4"/>
  <c r="BI743" i="4" s="1"/>
  <c r="AR743" i="4"/>
  <c r="BG743" i="4" s="1"/>
  <c r="AN743" i="4"/>
  <c r="AK743" i="4"/>
  <c r="BH743" i="4" s="1"/>
  <c r="K743" i="4"/>
  <c r="J743" i="4"/>
  <c r="I743" i="4"/>
  <c r="H743" i="4"/>
  <c r="G743" i="4"/>
  <c r="BG742" i="4"/>
  <c r="BA742" i="4"/>
  <c r="BC742" i="4" s="1"/>
  <c r="AY742" i="4"/>
  <c r="AX742" i="4"/>
  <c r="AZ742" i="4" s="1"/>
  <c r="AW742" i="4"/>
  <c r="BK742" i="4" s="1"/>
  <c r="AR742" i="4"/>
  <c r="AN742" i="4"/>
  <c r="AK742" i="4"/>
  <c r="BH742" i="4" s="1"/>
  <c r="K742" i="4"/>
  <c r="J742" i="4"/>
  <c r="I742" i="4"/>
  <c r="H742" i="4"/>
  <c r="G742" i="4"/>
  <c r="AX741" i="4"/>
  <c r="AW741" i="4"/>
  <c r="BI741" i="4" s="1"/>
  <c r="AR741" i="4"/>
  <c r="BG741" i="4" s="1"/>
  <c r="AN741" i="4"/>
  <c r="AK741" i="4"/>
  <c r="BH741" i="4" s="1"/>
  <c r="K741" i="4"/>
  <c r="J741" i="4"/>
  <c r="I741" i="4"/>
  <c r="H741" i="4"/>
  <c r="G741" i="4"/>
  <c r="BG740" i="4"/>
  <c r="BA740" i="4"/>
  <c r="BC740" i="4" s="1"/>
  <c r="AY740" i="4"/>
  <c r="AX740" i="4"/>
  <c r="AZ740" i="4" s="1"/>
  <c r="AW740" i="4"/>
  <c r="BK740" i="4" s="1"/>
  <c r="AR740" i="4"/>
  <c r="AN740" i="4"/>
  <c r="AK740" i="4"/>
  <c r="BH740" i="4" s="1"/>
  <c r="K740" i="4"/>
  <c r="J740" i="4"/>
  <c r="I740" i="4"/>
  <c r="H740" i="4"/>
  <c r="G740" i="4"/>
  <c r="AX739" i="4"/>
  <c r="AW739" i="4"/>
  <c r="BI739" i="4" s="1"/>
  <c r="AR739" i="4"/>
  <c r="BG739" i="4" s="1"/>
  <c r="AN739" i="4"/>
  <c r="AK739" i="4"/>
  <c r="BH739" i="4" s="1"/>
  <c r="K739" i="4"/>
  <c r="J739" i="4"/>
  <c r="I739" i="4"/>
  <c r="H739" i="4"/>
  <c r="G739" i="4"/>
  <c r="BG738" i="4"/>
  <c r="BA738" i="4"/>
  <c r="BC738" i="4" s="1"/>
  <c r="AY738" i="4"/>
  <c r="AX738" i="4"/>
  <c r="AZ738" i="4" s="1"/>
  <c r="AW738" i="4"/>
  <c r="BK738" i="4" s="1"/>
  <c r="AR738" i="4"/>
  <c r="AN738" i="4"/>
  <c r="AK738" i="4"/>
  <c r="BH738" i="4" s="1"/>
  <c r="K738" i="4"/>
  <c r="J738" i="4"/>
  <c r="I738" i="4"/>
  <c r="H738" i="4"/>
  <c r="G738" i="4"/>
  <c r="AX737" i="4"/>
  <c r="AW737" i="4"/>
  <c r="BI737" i="4" s="1"/>
  <c r="AR737" i="4"/>
  <c r="BG737" i="4" s="1"/>
  <c r="AN737" i="4"/>
  <c r="AK737" i="4"/>
  <c r="BH737" i="4" s="1"/>
  <c r="K737" i="4"/>
  <c r="J737" i="4"/>
  <c r="I737" i="4"/>
  <c r="H737" i="4"/>
  <c r="G737" i="4"/>
  <c r="BG736" i="4"/>
  <c r="BA736" i="4"/>
  <c r="BC736" i="4" s="1"/>
  <c r="AY736" i="4"/>
  <c r="AX736" i="4"/>
  <c r="AZ736" i="4" s="1"/>
  <c r="AW736" i="4"/>
  <c r="BK736" i="4" s="1"/>
  <c r="AR736" i="4"/>
  <c r="AN736" i="4"/>
  <c r="AK736" i="4"/>
  <c r="BH736" i="4" s="1"/>
  <c r="K736" i="4"/>
  <c r="J736" i="4"/>
  <c r="I736" i="4"/>
  <c r="H736" i="4"/>
  <c r="G736" i="4"/>
  <c r="AX735" i="4"/>
  <c r="AW735" i="4"/>
  <c r="BI735" i="4" s="1"/>
  <c r="AR735" i="4"/>
  <c r="BG735" i="4" s="1"/>
  <c r="AN735" i="4"/>
  <c r="AK735" i="4"/>
  <c r="BH735" i="4" s="1"/>
  <c r="K735" i="4"/>
  <c r="J735" i="4"/>
  <c r="I735" i="4"/>
  <c r="H735" i="4"/>
  <c r="G735" i="4"/>
  <c r="BG734" i="4"/>
  <c r="BA734" i="4"/>
  <c r="BC734" i="4" s="1"/>
  <c r="AY734" i="4"/>
  <c r="AX734" i="4"/>
  <c r="AZ734" i="4" s="1"/>
  <c r="AW734" i="4"/>
  <c r="BK734" i="4" s="1"/>
  <c r="AR734" i="4"/>
  <c r="AN734" i="4"/>
  <c r="AK734" i="4"/>
  <c r="BH734" i="4" s="1"/>
  <c r="K734" i="4"/>
  <c r="J734" i="4"/>
  <c r="I734" i="4"/>
  <c r="H734" i="4"/>
  <c r="G734" i="4"/>
  <c r="AX733" i="4"/>
  <c r="AW733" i="4"/>
  <c r="BI733" i="4" s="1"/>
  <c r="AR733" i="4"/>
  <c r="BG733" i="4" s="1"/>
  <c r="AN733" i="4"/>
  <c r="AK733" i="4"/>
  <c r="BH733" i="4" s="1"/>
  <c r="K733" i="4"/>
  <c r="J733" i="4"/>
  <c r="I733" i="4"/>
  <c r="H733" i="4"/>
  <c r="G733" i="4"/>
  <c r="BG732" i="4"/>
  <c r="BA732" i="4"/>
  <c r="BC732" i="4" s="1"/>
  <c r="AY732" i="4"/>
  <c r="AX732" i="4"/>
  <c r="AZ732" i="4" s="1"/>
  <c r="AW732" i="4"/>
  <c r="BK732" i="4" s="1"/>
  <c r="AR732" i="4"/>
  <c r="AN732" i="4"/>
  <c r="AK732" i="4"/>
  <c r="BH732" i="4" s="1"/>
  <c r="K732" i="4"/>
  <c r="J732" i="4"/>
  <c r="I732" i="4"/>
  <c r="H732" i="4"/>
  <c r="G732" i="4"/>
  <c r="AX731" i="4"/>
  <c r="AW731" i="4"/>
  <c r="BI731" i="4" s="1"/>
  <c r="AR731" i="4"/>
  <c r="BG731" i="4" s="1"/>
  <c r="AN731" i="4"/>
  <c r="AK731" i="4"/>
  <c r="BH731" i="4" s="1"/>
  <c r="K731" i="4"/>
  <c r="J731" i="4"/>
  <c r="I731" i="4"/>
  <c r="H731" i="4"/>
  <c r="G731" i="4"/>
  <c r="BG730" i="4"/>
  <c r="BA730" i="4"/>
  <c r="BC730" i="4" s="1"/>
  <c r="AY730" i="4"/>
  <c r="AX730" i="4"/>
  <c r="AZ730" i="4" s="1"/>
  <c r="AW730" i="4"/>
  <c r="BK730" i="4" s="1"/>
  <c r="AR730" i="4"/>
  <c r="AN730" i="4"/>
  <c r="AK730" i="4"/>
  <c r="BH730" i="4" s="1"/>
  <c r="K730" i="4"/>
  <c r="J730" i="4"/>
  <c r="I730" i="4"/>
  <c r="H730" i="4"/>
  <c r="G730" i="4"/>
  <c r="AX729" i="4"/>
  <c r="AW729" i="4"/>
  <c r="BI729" i="4" s="1"/>
  <c r="AR729" i="4"/>
  <c r="BG729" i="4" s="1"/>
  <c r="AN729" i="4"/>
  <c r="AK729" i="4"/>
  <c r="BH729" i="4" s="1"/>
  <c r="K729" i="4"/>
  <c r="J729" i="4"/>
  <c r="I729" i="4"/>
  <c r="H729" i="4"/>
  <c r="G729" i="4"/>
  <c r="BG728" i="4"/>
  <c r="BA728" i="4"/>
  <c r="BC728" i="4" s="1"/>
  <c r="AY728" i="4"/>
  <c r="AX728" i="4"/>
  <c r="AZ728" i="4" s="1"/>
  <c r="AW728" i="4"/>
  <c r="BK728" i="4" s="1"/>
  <c r="AR728" i="4"/>
  <c r="AN728" i="4"/>
  <c r="AK728" i="4"/>
  <c r="BH728" i="4" s="1"/>
  <c r="K728" i="4"/>
  <c r="J728" i="4"/>
  <c r="I728" i="4"/>
  <c r="H728" i="4"/>
  <c r="G728" i="4"/>
  <c r="AX727" i="4"/>
  <c r="AW727" i="4"/>
  <c r="BI727" i="4" s="1"/>
  <c r="AR727" i="4"/>
  <c r="BG727" i="4" s="1"/>
  <c r="AN727" i="4"/>
  <c r="AK727" i="4"/>
  <c r="BH727" i="4" s="1"/>
  <c r="K727" i="4"/>
  <c r="J727" i="4"/>
  <c r="I727" i="4"/>
  <c r="H727" i="4"/>
  <c r="G727" i="4"/>
  <c r="BG726" i="4"/>
  <c r="BA726" i="4"/>
  <c r="BC726" i="4" s="1"/>
  <c r="AY726" i="4"/>
  <c r="AX726" i="4"/>
  <c r="AZ726" i="4" s="1"/>
  <c r="AW726" i="4"/>
  <c r="BK726" i="4" s="1"/>
  <c r="AR726" i="4"/>
  <c r="AN726" i="4"/>
  <c r="AK726" i="4"/>
  <c r="BH726" i="4" s="1"/>
  <c r="K726" i="4"/>
  <c r="J726" i="4"/>
  <c r="I726" i="4"/>
  <c r="H726" i="4"/>
  <c r="G726" i="4"/>
  <c r="AX725" i="4"/>
  <c r="AW725" i="4"/>
  <c r="BI725" i="4" s="1"/>
  <c r="AR725" i="4"/>
  <c r="BG725" i="4" s="1"/>
  <c r="AN725" i="4"/>
  <c r="AK725" i="4"/>
  <c r="BH725" i="4" s="1"/>
  <c r="K725" i="4"/>
  <c r="J725" i="4"/>
  <c r="I725" i="4"/>
  <c r="H725" i="4"/>
  <c r="G725" i="4"/>
  <c r="BG724" i="4"/>
  <c r="BA724" i="4"/>
  <c r="BC724" i="4" s="1"/>
  <c r="AY724" i="4"/>
  <c r="AX724" i="4"/>
  <c r="AZ724" i="4" s="1"/>
  <c r="AW724" i="4"/>
  <c r="BK724" i="4" s="1"/>
  <c r="AR724" i="4"/>
  <c r="AN724" i="4"/>
  <c r="AK724" i="4"/>
  <c r="BH724" i="4" s="1"/>
  <c r="K724" i="4"/>
  <c r="J724" i="4"/>
  <c r="I724" i="4"/>
  <c r="H724" i="4"/>
  <c r="G724" i="4"/>
  <c r="AX723" i="4"/>
  <c r="AW723" i="4"/>
  <c r="BI723" i="4" s="1"/>
  <c r="AR723" i="4"/>
  <c r="BG723" i="4" s="1"/>
  <c r="AN723" i="4"/>
  <c r="AK723" i="4"/>
  <c r="BH723" i="4" s="1"/>
  <c r="K723" i="4"/>
  <c r="J723" i="4"/>
  <c r="I723" i="4"/>
  <c r="H723" i="4"/>
  <c r="G723" i="4"/>
  <c r="BG722" i="4"/>
  <c r="BA722" i="4"/>
  <c r="BC722" i="4" s="1"/>
  <c r="AY722" i="4"/>
  <c r="AX722" i="4"/>
  <c r="AZ722" i="4" s="1"/>
  <c r="AW722" i="4"/>
  <c r="BK722" i="4" s="1"/>
  <c r="AR722" i="4"/>
  <c r="AN722" i="4"/>
  <c r="AK722" i="4"/>
  <c r="BH722" i="4" s="1"/>
  <c r="K722" i="4"/>
  <c r="J722" i="4"/>
  <c r="I722" i="4"/>
  <c r="H722" i="4"/>
  <c r="G722" i="4"/>
  <c r="AX721" i="4"/>
  <c r="AW721" i="4"/>
  <c r="BI721" i="4" s="1"/>
  <c r="AR721" i="4"/>
  <c r="BG721" i="4" s="1"/>
  <c r="AN721" i="4"/>
  <c r="AK721" i="4"/>
  <c r="BH721" i="4" s="1"/>
  <c r="K721" i="4"/>
  <c r="J721" i="4"/>
  <c r="I721" i="4"/>
  <c r="H721" i="4"/>
  <c r="G721" i="4"/>
  <c r="BG720" i="4"/>
  <c r="BA720" i="4"/>
  <c r="BC720" i="4" s="1"/>
  <c r="AY720" i="4"/>
  <c r="AX720" i="4"/>
  <c r="AZ720" i="4" s="1"/>
  <c r="AW720" i="4"/>
  <c r="BK720" i="4" s="1"/>
  <c r="AR720" i="4"/>
  <c r="AN720" i="4"/>
  <c r="AK720" i="4"/>
  <c r="BH720" i="4" s="1"/>
  <c r="K720" i="4"/>
  <c r="J720" i="4"/>
  <c r="I720" i="4"/>
  <c r="H720" i="4"/>
  <c r="G720" i="4"/>
  <c r="AX719" i="4"/>
  <c r="AW719" i="4"/>
  <c r="BI719" i="4" s="1"/>
  <c r="AR719" i="4"/>
  <c r="BG719" i="4" s="1"/>
  <c r="AN719" i="4"/>
  <c r="AK719" i="4"/>
  <c r="BH719" i="4" s="1"/>
  <c r="K719" i="4"/>
  <c r="J719" i="4"/>
  <c r="I719" i="4"/>
  <c r="H719" i="4"/>
  <c r="G719" i="4"/>
  <c r="BG718" i="4"/>
  <c r="BA718" i="4"/>
  <c r="BC718" i="4" s="1"/>
  <c r="AY718" i="4"/>
  <c r="AX718" i="4"/>
  <c r="AZ718" i="4" s="1"/>
  <c r="AW718" i="4"/>
  <c r="BK718" i="4" s="1"/>
  <c r="AR718" i="4"/>
  <c r="AN718" i="4"/>
  <c r="AK718" i="4"/>
  <c r="BH718" i="4" s="1"/>
  <c r="K718" i="4"/>
  <c r="J718" i="4"/>
  <c r="I718" i="4"/>
  <c r="H718" i="4"/>
  <c r="G718" i="4"/>
  <c r="AX717" i="4"/>
  <c r="AW717" i="4"/>
  <c r="BI717" i="4" s="1"/>
  <c r="AR717" i="4"/>
  <c r="BG717" i="4" s="1"/>
  <c r="AN717" i="4"/>
  <c r="AK717" i="4"/>
  <c r="BH717" i="4" s="1"/>
  <c r="K717" i="4"/>
  <c r="J717" i="4"/>
  <c r="I717" i="4"/>
  <c r="H717" i="4"/>
  <c r="G717" i="4"/>
  <c r="BG716" i="4"/>
  <c r="BA716" i="4"/>
  <c r="BC716" i="4" s="1"/>
  <c r="AY716" i="4"/>
  <c r="AX716" i="4"/>
  <c r="AZ716" i="4" s="1"/>
  <c r="AW716" i="4"/>
  <c r="BK716" i="4" s="1"/>
  <c r="AR716" i="4"/>
  <c r="AN716" i="4"/>
  <c r="AK716" i="4"/>
  <c r="BH716" i="4" s="1"/>
  <c r="K716" i="4"/>
  <c r="J716" i="4"/>
  <c r="I716" i="4"/>
  <c r="H716" i="4"/>
  <c r="G716" i="4"/>
  <c r="AX715" i="4"/>
  <c r="AW715" i="4"/>
  <c r="BI715" i="4" s="1"/>
  <c r="AR715" i="4"/>
  <c r="BG715" i="4" s="1"/>
  <c r="AN715" i="4"/>
  <c r="AK715" i="4"/>
  <c r="BH715" i="4" s="1"/>
  <c r="K715" i="4"/>
  <c r="J715" i="4"/>
  <c r="I715" i="4"/>
  <c r="H715" i="4"/>
  <c r="G715" i="4"/>
  <c r="BG714" i="4"/>
  <c r="BA714" i="4"/>
  <c r="BC714" i="4" s="1"/>
  <c r="AY714" i="4"/>
  <c r="AX714" i="4"/>
  <c r="AZ714" i="4" s="1"/>
  <c r="AW714" i="4"/>
  <c r="BK714" i="4" s="1"/>
  <c r="AR714" i="4"/>
  <c r="AN714" i="4"/>
  <c r="AK714" i="4"/>
  <c r="BH714" i="4" s="1"/>
  <c r="K714" i="4"/>
  <c r="J714" i="4"/>
  <c r="I714" i="4"/>
  <c r="H714" i="4"/>
  <c r="G714" i="4"/>
  <c r="AX713" i="4"/>
  <c r="AW713" i="4"/>
  <c r="BI713" i="4" s="1"/>
  <c r="AR713" i="4"/>
  <c r="BG713" i="4" s="1"/>
  <c r="AN713" i="4"/>
  <c r="AK713" i="4"/>
  <c r="BH713" i="4" s="1"/>
  <c r="K713" i="4"/>
  <c r="J713" i="4"/>
  <c r="I713" i="4"/>
  <c r="H713" i="4"/>
  <c r="G713" i="4"/>
  <c r="BG712" i="4"/>
  <c r="BA712" i="4"/>
  <c r="BC712" i="4" s="1"/>
  <c r="AY712" i="4"/>
  <c r="AX712" i="4"/>
  <c r="AZ712" i="4" s="1"/>
  <c r="AW712" i="4"/>
  <c r="BK712" i="4" s="1"/>
  <c r="AR712" i="4"/>
  <c r="AN712" i="4"/>
  <c r="AK712" i="4"/>
  <c r="BH712" i="4" s="1"/>
  <c r="K712" i="4"/>
  <c r="J712" i="4"/>
  <c r="I712" i="4"/>
  <c r="H712" i="4"/>
  <c r="G712" i="4"/>
  <c r="AX711" i="4"/>
  <c r="AW711" i="4"/>
  <c r="BI711" i="4" s="1"/>
  <c r="AR711" i="4"/>
  <c r="BG711" i="4" s="1"/>
  <c r="AN711" i="4"/>
  <c r="AK711" i="4"/>
  <c r="BH711" i="4" s="1"/>
  <c r="K711" i="4"/>
  <c r="J711" i="4"/>
  <c r="I711" i="4"/>
  <c r="H711" i="4"/>
  <c r="G711" i="4"/>
  <c r="BG710" i="4"/>
  <c r="BA710" i="4"/>
  <c r="BC710" i="4" s="1"/>
  <c r="AY710" i="4"/>
  <c r="AX710" i="4"/>
  <c r="AZ710" i="4" s="1"/>
  <c r="AW710" i="4"/>
  <c r="BK710" i="4" s="1"/>
  <c r="AR710" i="4"/>
  <c r="AN710" i="4"/>
  <c r="AK710" i="4"/>
  <c r="BH710" i="4" s="1"/>
  <c r="K710" i="4"/>
  <c r="J710" i="4"/>
  <c r="I710" i="4"/>
  <c r="H710" i="4"/>
  <c r="G710" i="4"/>
  <c r="AX709" i="4"/>
  <c r="AW709" i="4"/>
  <c r="BI709" i="4" s="1"/>
  <c r="AR709" i="4"/>
  <c r="BG709" i="4" s="1"/>
  <c r="AN709" i="4"/>
  <c r="AK709" i="4"/>
  <c r="BH709" i="4" s="1"/>
  <c r="K709" i="4"/>
  <c r="J709" i="4"/>
  <c r="I709" i="4"/>
  <c r="H709" i="4"/>
  <c r="G709" i="4"/>
  <c r="BG708" i="4"/>
  <c r="BA708" i="4"/>
  <c r="BC708" i="4" s="1"/>
  <c r="AY708" i="4"/>
  <c r="AX708" i="4"/>
  <c r="AZ708" i="4" s="1"/>
  <c r="AW708" i="4"/>
  <c r="BK708" i="4" s="1"/>
  <c r="AR708" i="4"/>
  <c r="AN708" i="4"/>
  <c r="AK708" i="4"/>
  <c r="BH708" i="4" s="1"/>
  <c r="K708" i="4"/>
  <c r="J708" i="4"/>
  <c r="I708" i="4"/>
  <c r="H708" i="4"/>
  <c r="G708" i="4"/>
  <c r="AX707" i="4"/>
  <c r="AW707" i="4"/>
  <c r="BI707" i="4" s="1"/>
  <c r="AR707" i="4"/>
  <c r="BG707" i="4" s="1"/>
  <c r="AN707" i="4"/>
  <c r="AK707" i="4"/>
  <c r="BH707" i="4" s="1"/>
  <c r="K707" i="4"/>
  <c r="J707" i="4"/>
  <c r="I707" i="4"/>
  <c r="H707" i="4"/>
  <c r="G707" i="4"/>
  <c r="BG706" i="4"/>
  <c r="BA706" i="4"/>
  <c r="BC706" i="4" s="1"/>
  <c r="AY706" i="4"/>
  <c r="AX706" i="4"/>
  <c r="AZ706" i="4" s="1"/>
  <c r="AW706" i="4"/>
  <c r="BK706" i="4" s="1"/>
  <c r="AR706" i="4"/>
  <c r="AN706" i="4"/>
  <c r="AK706" i="4"/>
  <c r="BH706" i="4" s="1"/>
  <c r="K706" i="4"/>
  <c r="J706" i="4"/>
  <c r="I706" i="4"/>
  <c r="H706" i="4"/>
  <c r="G706" i="4"/>
  <c r="AX705" i="4"/>
  <c r="AW705" i="4"/>
  <c r="BI705" i="4" s="1"/>
  <c r="AR705" i="4"/>
  <c r="BG705" i="4" s="1"/>
  <c r="AN705" i="4"/>
  <c r="AK705" i="4"/>
  <c r="BH705" i="4" s="1"/>
  <c r="K705" i="4"/>
  <c r="J705" i="4"/>
  <c r="I705" i="4"/>
  <c r="H705" i="4"/>
  <c r="G705" i="4"/>
  <c r="BG704" i="4"/>
  <c r="BA704" i="4"/>
  <c r="BC704" i="4" s="1"/>
  <c r="AY704" i="4"/>
  <c r="AX704" i="4"/>
  <c r="AZ704" i="4" s="1"/>
  <c r="AW704" i="4"/>
  <c r="BK704" i="4" s="1"/>
  <c r="AR704" i="4"/>
  <c r="AN704" i="4"/>
  <c r="AK704" i="4"/>
  <c r="BH704" i="4" s="1"/>
  <c r="K704" i="4"/>
  <c r="J704" i="4"/>
  <c r="I704" i="4"/>
  <c r="H704" i="4"/>
  <c r="G704" i="4"/>
  <c r="AX703" i="4"/>
  <c r="AW703" i="4"/>
  <c r="BI703" i="4" s="1"/>
  <c r="AR703" i="4"/>
  <c r="BG703" i="4" s="1"/>
  <c r="AN703" i="4"/>
  <c r="AK703" i="4"/>
  <c r="BH703" i="4" s="1"/>
  <c r="K703" i="4"/>
  <c r="J703" i="4"/>
  <c r="I703" i="4"/>
  <c r="H703" i="4"/>
  <c r="G703" i="4"/>
  <c r="BG702" i="4"/>
  <c r="BA702" i="4"/>
  <c r="BC702" i="4" s="1"/>
  <c r="AY702" i="4"/>
  <c r="AX702" i="4"/>
  <c r="AZ702" i="4" s="1"/>
  <c r="AW702" i="4"/>
  <c r="BK702" i="4" s="1"/>
  <c r="AR702" i="4"/>
  <c r="AN702" i="4"/>
  <c r="AK702" i="4"/>
  <c r="BH702" i="4" s="1"/>
  <c r="K702" i="4"/>
  <c r="J702" i="4"/>
  <c r="I702" i="4"/>
  <c r="H702" i="4"/>
  <c r="G702" i="4"/>
  <c r="AX701" i="4"/>
  <c r="AW701" i="4"/>
  <c r="BI701" i="4" s="1"/>
  <c r="AR701" i="4"/>
  <c r="BG701" i="4" s="1"/>
  <c r="AN701" i="4"/>
  <c r="AK701" i="4"/>
  <c r="BH701" i="4" s="1"/>
  <c r="K701" i="4"/>
  <c r="J701" i="4"/>
  <c r="I701" i="4"/>
  <c r="H701" i="4"/>
  <c r="G701" i="4"/>
  <c r="BG700" i="4"/>
  <c r="BA700" i="4"/>
  <c r="BC700" i="4" s="1"/>
  <c r="AY700" i="4"/>
  <c r="AX700" i="4"/>
  <c r="AZ700" i="4" s="1"/>
  <c r="AW700" i="4"/>
  <c r="BK700" i="4" s="1"/>
  <c r="AR700" i="4"/>
  <c r="AN700" i="4"/>
  <c r="AK700" i="4"/>
  <c r="BH700" i="4" s="1"/>
  <c r="K700" i="4"/>
  <c r="J700" i="4"/>
  <c r="I700" i="4"/>
  <c r="H700" i="4"/>
  <c r="G700" i="4"/>
  <c r="AX699" i="4"/>
  <c r="AW699" i="4"/>
  <c r="BI699" i="4" s="1"/>
  <c r="AR699" i="4"/>
  <c r="BG699" i="4" s="1"/>
  <c r="AN699" i="4"/>
  <c r="AK699" i="4"/>
  <c r="BH699" i="4" s="1"/>
  <c r="K699" i="4"/>
  <c r="J699" i="4"/>
  <c r="I699" i="4"/>
  <c r="H699" i="4"/>
  <c r="G699" i="4"/>
  <c r="BG698" i="4"/>
  <c r="BA698" i="4"/>
  <c r="BC698" i="4" s="1"/>
  <c r="AY698" i="4"/>
  <c r="AX698" i="4"/>
  <c r="AZ698" i="4" s="1"/>
  <c r="AW698" i="4"/>
  <c r="BK698" i="4" s="1"/>
  <c r="AR698" i="4"/>
  <c r="AN698" i="4"/>
  <c r="AK698" i="4"/>
  <c r="BH698" i="4" s="1"/>
  <c r="K698" i="4"/>
  <c r="J698" i="4"/>
  <c r="I698" i="4"/>
  <c r="H698" i="4"/>
  <c r="G698" i="4"/>
  <c r="AX697" i="4"/>
  <c r="AW697" i="4"/>
  <c r="BI697" i="4" s="1"/>
  <c r="AR697" i="4"/>
  <c r="BG697" i="4" s="1"/>
  <c r="AN697" i="4"/>
  <c r="AK697" i="4"/>
  <c r="BH697" i="4" s="1"/>
  <c r="K697" i="4"/>
  <c r="J697" i="4"/>
  <c r="I697" i="4"/>
  <c r="H697" i="4"/>
  <c r="G697" i="4"/>
  <c r="BG696" i="4"/>
  <c r="BA696" i="4"/>
  <c r="BC696" i="4" s="1"/>
  <c r="AY696" i="4"/>
  <c r="AX696" i="4"/>
  <c r="AZ696" i="4" s="1"/>
  <c r="AW696" i="4"/>
  <c r="BK696" i="4" s="1"/>
  <c r="AR696" i="4"/>
  <c r="AN696" i="4"/>
  <c r="AK696" i="4"/>
  <c r="BH696" i="4" s="1"/>
  <c r="K696" i="4"/>
  <c r="J696" i="4"/>
  <c r="I696" i="4"/>
  <c r="H696" i="4"/>
  <c r="G696" i="4"/>
  <c r="AX695" i="4"/>
  <c r="AW695" i="4"/>
  <c r="BI695" i="4" s="1"/>
  <c r="AR695" i="4"/>
  <c r="BG695" i="4" s="1"/>
  <c r="AN695" i="4"/>
  <c r="AK695" i="4"/>
  <c r="BH695" i="4" s="1"/>
  <c r="K695" i="4"/>
  <c r="J695" i="4"/>
  <c r="I695" i="4"/>
  <c r="H695" i="4"/>
  <c r="G695" i="4"/>
  <c r="BG694" i="4"/>
  <c r="BA694" i="4"/>
  <c r="BC694" i="4" s="1"/>
  <c r="AY694" i="4"/>
  <c r="AX694" i="4"/>
  <c r="AZ694" i="4" s="1"/>
  <c r="AW694" i="4"/>
  <c r="BK694" i="4" s="1"/>
  <c r="AR694" i="4"/>
  <c r="AN694" i="4"/>
  <c r="AK694" i="4"/>
  <c r="BH694" i="4" s="1"/>
  <c r="K694" i="4"/>
  <c r="J694" i="4"/>
  <c r="I694" i="4"/>
  <c r="H694" i="4"/>
  <c r="G694" i="4"/>
  <c r="AX693" i="4"/>
  <c r="AW693" i="4"/>
  <c r="BI693" i="4" s="1"/>
  <c r="AR693" i="4"/>
  <c r="BG693" i="4" s="1"/>
  <c r="AN693" i="4"/>
  <c r="AK693" i="4"/>
  <c r="BH693" i="4" s="1"/>
  <c r="K693" i="4"/>
  <c r="J693" i="4"/>
  <c r="I693" i="4"/>
  <c r="H693" i="4"/>
  <c r="G693" i="4"/>
  <c r="BG692" i="4"/>
  <c r="BA692" i="4"/>
  <c r="BC692" i="4" s="1"/>
  <c r="AY692" i="4"/>
  <c r="AX692" i="4"/>
  <c r="AZ692" i="4" s="1"/>
  <c r="AW692" i="4"/>
  <c r="BK692" i="4" s="1"/>
  <c r="AR692" i="4"/>
  <c r="AN692" i="4"/>
  <c r="AK692" i="4"/>
  <c r="BH692" i="4" s="1"/>
  <c r="K692" i="4"/>
  <c r="J692" i="4"/>
  <c r="I692" i="4"/>
  <c r="H692" i="4"/>
  <c r="G692" i="4"/>
  <c r="AX691" i="4"/>
  <c r="AW691" i="4"/>
  <c r="BI691" i="4" s="1"/>
  <c r="AR691" i="4"/>
  <c r="BG691" i="4" s="1"/>
  <c r="AN691" i="4"/>
  <c r="AK691" i="4"/>
  <c r="BH691" i="4" s="1"/>
  <c r="K691" i="4"/>
  <c r="J691" i="4"/>
  <c r="I691" i="4"/>
  <c r="H691" i="4"/>
  <c r="G691" i="4"/>
  <c r="BG690" i="4"/>
  <c r="BA690" i="4"/>
  <c r="BC690" i="4" s="1"/>
  <c r="AY690" i="4"/>
  <c r="AX690" i="4"/>
  <c r="AZ690" i="4" s="1"/>
  <c r="AW690" i="4"/>
  <c r="BK690" i="4" s="1"/>
  <c r="AR690" i="4"/>
  <c r="AN690" i="4"/>
  <c r="AK690" i="4"/>
  <c r="BH690" i="4" s="1"/>
  <c r="K690" i="4"/>
  <c r="J690" i="4"/>
  <c r="I690" i="4"/>
  <c r="H690" i="4"/>
  <c r="G690" i="4"/>
  <c r="AX689" i="4"/>
  <c r="AW689" i="4"/>
  <c r="BI689" i="4" s="1"/>
  <c r="AR689" i="4"/>
  <c r="BG689" i="4" s="1"/>
  <c r="AN689" i="4"/>
  <c r="AK689" i="4"/>
  <c r="BH689" i="4" s="1"/>
  <c r="K689" i="4"/>
  <c r="J689" i="4"/>
  <c r="I689" i="4"/>
  <c r="H689" i="4"/>
  <c r="G689" i="4"/>
  <c r="BG688" i="4"/>
  <c r="BA688" i="4"/>
  <c r="BC688" i="4" s="1"/>
  <c r="AY688" i="4"/>
  <c r="AX688" i="4"/>
  <c r="AZ688" i="4" s="1"/>
  <c r="AW688" i="4"/>
  <c r="BK688" i="4" s="1"/>
  <c r="AR688" i="4"/>
  <c r="AN688" i="4"/>
  <c r="AK688" i="4"/>
  <c r="BH688" i="4" s="1"/>
  <c r="K688" i="4"/>
  <c r="J688" i="4"/>
  <c r="I688" i="4"/>
  <c r="H688" i="4"/>
  <c r="G688" i="4"/>
  <c r="AX687" i="4"/>
  <c r="AW687" i="4"/>
  <c r="BI687" i="4" s="1"/>
  <c r="AR687" i="4"/>
  <c r="BG687" i="4" s="1"/>
  <c r="AN687" i="4"/>
  <c r="AK687" i="4"/>
  <c r="BH687" i="4" s="1"/>
  <c r="K687" i="4"/>
  <c r="J687" i="4"/>
  <c r="I687" i="4"/>
  <c r="H687" i="4"/>
  <c r="G687" i="4"/>
  <c r="BG686" i="4"/>
  <c r="BA686" i="4"/>
  <c r="BC686" i="4" s="1"/>
  <c r="AY686" i="4"/>
  <c r="AX686" i="4"/>
  <c r="AZ686" i="4" s="1"/>
  <c r="AW686" i="4"/>
  <c r="BK686" i="4" s="1"/>
  <c r="AR686" i="4"/>
  <c r="AN686" i="4"/>
  <c r="AK686" i="4"/>
  <c r="BH686" i="4" s="1"/>
  <c r="K686" i="4"/>
  <c r="J686" i="4"/>
  <c r="I686" i="4"/>
  <c r="H686" i="4"/>
  <c r="G686" i="4"/>
  <c r="AX685" i="4"/>
  <c r="AW685" i="4"/>
  <c r="BI685" i="4" s="1"/>
  <c r="AR685" i="4"/>
  <c r="BG685" i="4" s="1"/>
  <c r="AN685" i="4"/>
  <c r="AK685" i="4"/>
  <c r="BH685" i="4" s="1"/>
  <c r="K685" i="4"/>
  <c r="J685" i="4"/>
  <c r="I685" i="4"/>
  <c r="H685" i="4"/>
  <c r="G685" i="4"/>
  <c r="BG684" i="4"/>
  <c r="BA684" i="4"/>
  <c r="BC684" i="4" s="1"/>
  <c r="AY684" i="4"/>
  <c r="AX684" i="4"/>
  <c r="AZ684" i="4" s="1"/>
  <c r="AW684" i="4"/>
  <c r="BK684" i="4" s="1"/>
  <c r="AR684" i="4"/>
  <c r="AN684" i="4"/>
  <c r="AK684" i="4"/>
  <c r="BH684" i="4" s="1"/>
  <c r="K684" i="4"/>
  <c r="J684" i="4"/>
  <c r="I684" i="4"/>
  <c r="H684" i="4"/>
  <c r="G684" i="4"/>
  <c r="AX683" i="4"/>
  <c r="AW683" i="4"/>
  <c r="BI683" i="4" s="1"/>
  <c r="AR683" i="4"/>
  <c r="BG683" i="4" s="1"/>
  <c r="AN683" i="4"/>
  <c r="AK683" i="4"/>
  <c r="BH683" i="4" s="1"/>
  <c r="K683" i="4"/>
  <c r="J683" i="4"/>
  <c r="I683" i="4"/>
  <c r="H683" i="4"/>
  <c r="G683" i="4"/>
  <c r="BG682" i="4"/>
  <c r="BA682" i="4"/>
  <c r="BC682" i="4" s="1"/>
  <c r="AY682" i="4"/>
  <c r="AX682" i="4"/>
  <c r="AZ682" i="4" s="1"/>
  <c r="AW682" i="4"/>
  <c r="BK682" i="4" s="1"/>
  <c r="AR682" i="4"/>
  <c r="AN682" i="4"/>
  <c r="AK682" i="4"/>
  <c r="BH682" i="4" s="1"/>
  <c r="K682" i="4"/>
  <c r="J682" i="4"/>
  <c r="I682" i="4"/>
  <c r="H682" i="4"/>
  <c r="G682" i="4"/>
  <c r="AX681" i="4"/>
  <c r="AW681" i="4"/>
  <c r="BI681" i="4" s="1"/>
  <c r="AR681" i="4"/>
  <c r="BG681" i="4" s="1"/>
  <c r="AN681" i="4"/>
  <c r="AK681" i="4"/>
  <c r="BH681" i="4" s="1"/>
  <c r="K681" i="4"/>
  <c r="J681" i="4"/>
  <c r="I681" i="4"/>
  <c r="H681" i="4"/>
  <c r="G681" i="4"/>
  <c r="BG680" i="4"/>
  <c r="BA680" i="4"/>
  <c r="BC680" i="4" s="1"/>
  <c r="AY680" i="4"/>
  <c r="AX680" i="4"/>
  <c r="AZ680" i="4" s="1"/>
  <c r="AW680" i="4"/>
  <c r="BK680" i="4" s="1"/>
  <c r="AR680" i="4"/>
  <c r="AN680" i="4"/>
  <c r="AK680" i="4"/>
  <c r="BH680" i="4" s="1"/>
  <c r="K680" i="4"/>
  <c r="J680" i="4"/>
  <c r="I680" i="4"/>
  <c r="H680" i="4"/>
  <c r="G680" i="4"/>
  <c r="AX679" i="4"/>
  <c r="AW679" i="4"/>
  <c r="BI679" i="4" s="1"/>
  <c r="AR679" i="4"/>
  <c r="BG679" i="4" s="1"/>
  <c r="AN679" i="4"/>
  <c r="AK679" i="4"/>
  <c r="BH679" i="4" s="1"/>
  <c r="K679" i="4"/>
  <c r="J679" i="4"/>
  <c r="I679" i="4"/>
  <c r="H679" i="4"/>
  <c r="G679" i="4"/>
  <c r="BG678" i="4"/>
  <c r="BA678" i="4"/>
  <c r="BC678" i="4" s="1"/>
  <c r="AY678" i="4"/>
  <c r="AX678" i="4"/>
  <c r="AZ678" i="4" s="1"/>
  <c r="AW678" i="4"/>
  <c r="BK678" i="4" s="1"/>
  <c r="AR678" i="4"/>
  <c r="AN678" i="4"/>
  <c r="AK678" i="4"/>
  <c r="BH678" i="4" s="1"/>
  <c r="K678" i="4"/>
  <c r="J678" i="4"/>
  <c r="I678" i="4"/>
  <c r="H678" i="4"/>
  <c r="G678" i="4"/>
  <c r="AX677" i="4"/>
  <c r="AW677" i="4"/>
  <c r="BI677" i="4" s="1"/>
  <c r="AR677" i="4"/>
  <c r="BG677" i="4" s="1"/>
  <c r="AN677" i="4"/>
  <c r="AK677" i="4"/>
  <c r="BH677" i="4" s="1"/>
  <c r="K677" i="4"/>
  <c r="J677" i="4"/>
  <c r="I677" i="4"/>
  <c r="H677" i="4"/>
  <c r="G677" i="4"/>
  <c r="BG676" i="4"/>
  <c r="BA676" i="4"/>
  <c r="BC676" i="4" s="1"/>
  <c r="AY676" i="4"/>
  <c r="AX676" i="4"/>
  <c r="AZ676" i="4" s="1"/>
  <c r="AW676" i="4"/>
  <c r="BK676" i="4" s="1"/>
  <c r="AR676" i="4"/>
  <c r="AN676" i="4"/>
  <c r="AK676" i="4"/>
  <c r="BH676" i="4" s="1"/>
  <c r="K676" i="4"/>
  <c r="J676" i="4"/>
  <c r="I676" i="4"/>
  <c r="H676" i="4"/>
  <c r="G676" i="4"/>
  <c r="AX675" i="4"/>
  <c r="AW675" i="4"/>
  <c r="BI675" i="4" s="1"/>
  <c r="AR675" i="4"/>
  <c r="BG675" i="4" s="1"/>
  <c r="AN675" i="4"/>
  <c r="AK675" i="4"/>
  <c r="BH675" i="4" s="1"/>
  <c r="K675" i="4"/>
  <c r="J675" i="4"/>
  <c r="I675" i="4"/>
  <c r="H675" i="4"/>
  <c r="G675" i="4"/>
  <c r="BG674" i="4"/>
  <c r="BA674" i="4"/>
  <c r="BC674" i="4" s="1"/>
  <c r="AY674" i="4"/>
  <c r="AX674" i="4"/>
  <c r="AZ674" i="4" s="1"/>
  <c r="AW674" i="4"/>
  <c r="BK674" i="4" s="1"/>
  <c r="AR674" i="4"/>
  <c r="AN674" i="4"/>
  <c r="AK674" i="4"/>
  <c r="BH674" i="4" s="1"/>
  <c r="K674" i="4"/>
  <c r="J674" i="4"/>
  <c r="I674" i="4"/>
  <c r="H674" i="4"/>
  <c r="G674" i="4"/>
  <c r="AX673" i="4"/>
  <c r="AW673" i="4"/>
  <c r="BI673" i="4" s="1"/>
  <c r="AR673" i="4"/>
  <c r="BG673" i="4" s="1"/>
  <c r="AN673" i="4"/>
  <c r="AK673" i="4"/>
  <c r="BH673" i="4" s="1"/>
  <c r="K673" i="4"/>
  <c r="J673" i="4"/>
  <c r="I673" i="4"/>
  <c r="H673" i="4"/>
  <c r="G673" i="4"/>
  <c r="BG672" i="4"/>
  <c r="BA672" i="4"/>
  <c r="BC672" i="4" s="1"/>
  <c r="AY672" i="4"/>
  <c r="AX672" i="4"/>
  <c r="AZ672" i="4" s="1"/>
  <c r="AW672" i="4"/>
  <c r="BK672" i="4" s="1"/>
  <c r="AR672" i="4"/>
  <c r="AN672" i="4"/>
  <c r="AK672" i="4"/>
  <c r="BH672" i="4" s="1"/>
  <c r="K672" i="4"/>
  <c r="J672" i="4"/>
  <c r="I672" i="4"/>
  <c r="H672" i="4"/>
  <c r="G672" i="4"/>
  <c r="AX671" i="4"/>
  <c r="AW671" i="4"/>
  <c r="BI671" i="4" s="1"/>
  <c r="AR671" i="4"/>
  <c r="BG671" i="4" s="1"/>
  <c r="AN671" i="4"/>
  <c r="AK671" i="4"/>
  <c r="BH671" i="4" s="1"/>
  <c r="K671" i="4"/>
  <c r="J671" i="4"/>
  <c r="I671" i="4"/>
  <c r="H671" i="4"/>
  <c r="G671" i="4"/>
  <c r="BG670" i="4"/>
  <c r="BA670" i="4"/>
  <c r="BC670" i="4" s="1"/>
  <c r="AY670" i="4"/>
  <c r="AX670" i="4"/>
  <c r="AZ670" i="4" s="1"/>
  <c r="AW670" i="4"/>
  <c r="BK670" i="4" s="1"/>
  <c r="AR670" i="4"/>
  <c r="AN670" i="4"/>
  <c r="AK670" i="4"/>
  <c r="BH670" i="4" s="1"/>
  <c r="K670" i="4"/>
  <c r="J670" i="4"/>
  <c r="I670" i="4"/>
  <c r="H670" i="4"/>
  <c r="G670" i="4"/>
  <c r="AX669" i="4"/>
  <c r="AW669" i="4"/>
  <c r="BI669" i="4" s="1"/>
  <c r="AR669" i="4"/>
  <c r="BG669" i="4" s="1"/>
  <c r="AN669" i="4"/>
  <c r="AK669" i="4"/>
  <c r="BH669" i="4" s="1"/>
  <c r="K669" i="4"/>
  <c r="J669" i="4"/>
  <c r="I669" i="4"/>
  <c r="H669" i="4"/>
  <c r="G669" i="4"/>
  <c r="BG668" i="4"/>
  <c r="BA668" i="4"/>
  <c r="BC668" i="4" s="1"/>
  <c r="AY668" i="4"/>
  <c r="AX668" i="4"/>
  <c r="AZ668" i="4" s="1"/>
  <c r="AW668" i="4"/>
  <c r="BK668" i="4" s="1"/>
  <c r="AR668" i="4"/>
  <c r="AN668" i="4"/>
  <c r="AK668" i="4"/>
  <c r="BH668" i="4" s="1"/>
  <c r="K668" i="4"/>
  <c r="J668" i="4"/>
  <c r="I668" i="4"/>
  <c r="H668" i="4"/>
  <c r="G668" i="4"/>
  <c r="AX667" i="4"/>
  <c r="AW667" i="4"/>
  <c r="BI667" i="4" s="1"/>
  <c r="AR667" i="4"/>
  <c r="BG667" i="4" s="1"/>
  <c r="AN667" i="4"/>
  <c r="AK667" i="4"/>
  <c r="BH667" i="4" s="1"/>
  <c r="K667" i="4"/>
  <c r="J667" i="4"/>
  <c r="I667" i="4"/>
  <c r="H667" i="4"/>
  <c r="G667" i="4"/>
  <c r="BG666" i="4"/>
  <c r="BA666" i="4"/>
  <c r="BC666" i="4" s="1"/>
  <c r="AY666" i="4"/>
  <c r="AX666" i="4"/>
  <c r="AZ666" i="4" s="1"/>
  <c r="AW666" i="4"/>
  <c r="BK666" i="4" s="1"/>
  <c r="AR666" i="4"/>
  <c r="AN666" i="4"/>
  <c r="AK666" i="4"/>
  <c r="BH666" i="4" s="1"/>
  <c r="K666" i="4"/>
  <c r="J666" i="4"/>
  <c r="I666" i="4"/>
  <c r="H666" i="4"/>
  <c r="G666" i="4"/>
  <c r="AX665" i="4"/>
  <c r="AW665" i="4"/>
  <c r="BI665" i="4" s="1"/>
  <c r="AR665" i="4"/>
  <c r="BG665" i="4" s="1"/>
  <c r="AN665" i="4"/>
  <c r="AK665" i="4"/>
  <c r="BH665" i="4" s="1"/>
  <c r="K665" i="4"/>
  <c r="J665" i="4"/>
  <c r="I665" i="4"/>
  <c r="H665" i="4"/>
  <c r="G665" i="4"/>
  <c r="BG664" i="4"/>
  <c r="BA664" i="4"/>
  <c r="BC664" i="4" s="1"/>
  <c r="AY664" i="4"/>
  <c r="AX664" i="4"/>
  <c r="AZ664" i="4" s="1"/>
  <c r="AW664" i="4"/>
  <c r="BK664" i="4" s="1"/>
  <c r="AR664" i="4"/>
  <c r="AN664" i="4"/>
  <c r="AK664" i="4"/>
  <c r="BH664" i="4" s="1"/>
  <c r="K664" i="4"/>
  <c r="J664" i="4"/>
  <c r="I664" i="4"/>
  <c r="H664" i="4"/>
  <c r="G664" i="4"/>
  <c r="AX663" i="4"/>
  <c r="AW663" i="4"/>
  <c r="BI663" i="4" s="1"/>
  <c r="AR663" i="4"/>
  <c r="BG663" i="4" s="1"/>
  <c r="AN663" i="4"/>
  <c r="AK663" i="4"/>
  <c r="BH663" i="4" s="1"/>
  <c r="K663" i="4"/>
  <c r="J663" i="4"/>
  <c r="I663" i="4"/>
  <c r="H663" i="4"/>
  <c r="G663" i="4"/>
  <c r="BG662" i="4"/>
  <c r="BA662" i="4"/>
  <c r="BC662" i="4" s="1"/>
  <c r="AY662" i="4"/>
  <c r="AX662" i="4"/>
  <c r="AZ662" i="4" s="1"/>
  <c r="AW662" i="4"/>
  <c r="BK662" i="4" s="1"/>
  <c r="AR662" i="4"/>
  <c r="AN662" i="4"/>
  <c r="AK662" i="4"/>
  <c r="BH662" i="4" s="1"/>
  <c r="K662" i="4"/>
  <c r="J662" i="4"/>
  <c r="I662" i="4"/>
  <c r="H662" i="4"/>
  <c r="G662" i="4"/>
  <c r="AX661" i="4"/>
  <c r="AW661" i="4"/>
  <c r="BI661" i="4" s="1"/>
  <c r="AR661" i="4"/>
  <c r="BG661" i="4" s="1"/>
  <c r="AN661" i="4"/>
  <c r="AK661" i="4"/>
  <c r="BH661" i="4" s="1"/>
  <c r="K661" i="4"/>
  <c r="J661" i="4"/>
  <c r="I661" i="4"/>
  <c r="H661" i="4"/>
  <c r="G661" i="4"/>
  <c r="BG660" i="4"/>
  <c r="BA660" i="4"/>
  <c r="BC660" i="4" s="1"/>
  <c r="AY660" i="4"/>
  <c r="AX660" i="4"/>
  <c r="AZ660" i="4" s="1"/>
  <c r="AW660" i="4"/>
  <c r="BK660" i="4" s="1"/>
  <c r="AR660" i="4"/>
  <c r="AN660" i="4"/>
  <c r="AK660" i="4"/>
  <c r="BH660" i="4" s="1"/>
  <c r="K660" i="4"/>
  <c r="J660" i="4"/>
  <c r="I660" i="4"/>
  <c r="H660" i="4"/>
  <c r="G660" i="4"/>
  <c r="AX659" i="4"/>
  <c r="AW659" i="4"/>
  <c r="BI659" i="4" s="1"/>
  <c r="AR659" i="4"/>
  <c r="BG659" i="4" s="1"/>
  <c r="AN659" i="4"/>
  <c r="AK659" i="4"/>
  <c r="BH659" i="4" s="1"/>
  <c r="K659" i="4"/>
  <c r="J659" i="4"/>
  <c r="I659" i="4"/>
  <c r="H659" i="4"/>
  <c r="G659" i="4"/>
  <c r="BG658" i="4"/>
  <c r="BA658" i="4"/>
  <c r="BC658" i="4" s="1"/>
  <c r="AY658" i="4"/>
  <c r="AX658" i="4"/>
  <c r="AZ658" i="4" s="1"/>
  <c r="AW658" i="4"/>
  <c r="BK658" i="4" s="1"/>
  <c r="AR658" i="4"/>
  <c r="AN658" i="4"/>
  <c r="AK658" i="4"/>
  <c r="BH658" i="4" s="1"/>
  <c r="K658" i="4"/>
  <c r="J658" i="4"/>
  <c r="I658" i="4"/>
  <c r="H658" i="4"/>
  <c r="G658" i="4"/>
  <c r="AX657" i="4"/>
  <c r="AW657" i="4"/>
  <c r="BI657" i="4" s="1"/>
  <c r="AR657" i="4"/>
  <c r="BG657" i="4" s="1"/>
  <c r="AN657" i="4"/>
  <c r="AK657" i="4"/>
  <c r="BH657" i="4" s="1"/>
  <c r="K657" i="4"/>
  <c r="J657" i="4"/>
  <c r="I657" i="4"/>
  <c r="H657" i="4"/>
  <c r="G657" i="4"/>
  <c r="BG656" i="4"/>
  <c r="BA656" i="4"/>
  <c r="BC656" i="4" s="1"/>
  <c r="AY656" i="4"/>
  <c r="AX656" i="4"/>
  <c r="AZ656" i="4" s="1"/>
  <c r="AW656" i="4"/>
  <c r="BK656" i="4" s="1"/>
  <c r="AR656" i="4"/>
  <c r="AN656" i="4"/>
  <c r="AK656" i="4"/>
  <c r="BH656" i="4" s="1"/>
  <c r="K656" i="4"/>
  <c r="J656" i="4"/>
  <c r="I656" i="4"/>
  <c r="H656" i="4"/>
  <c r="G656" i="4"/>
  <c r="AX655" i="4"/>
  <c r="AW655" i="4"/>
  <c r="BI655" i="4" s="1"/>
  <c r="AR655" i="4"/>
  <c r="AN655" i="4"/>
  <c r="AK655" i="4"/>
  <c r="K655" i="4"/>
  <c r="J655" i="4"/>
  <c r="I655" i="4"/>
  <c r="H655" i="4"/>
  <c r="G655" i="4"/>
  <c r="BI654" i="4"/>
  <c r="BG654" i="4"/>
  <c r="BA654" i="4"/>
  <c r="BB654" i="4" s="1"/>
  <c r="AY654" i="4"/>
  <c r="AX654" i="4"/>
  <c r="AZ654" i="4" s="1"/>
  <c r="AW654" i="4"/>
  <c r="BK654" i="4" s="1"/>
  <c r="AR654" i="4"/>
  <c r="AN654" i="4"/>
  <c r="AK654" i="4"/>
  <c r="BH654" i="4" s="1"/>
  <c r="K654" i="4"/>
  <c r="J654" i="4"/>
  <c r="I654" i="4"/>
  <c r="H654" i="4"/>
  <c r="G654" i="4"/>
  <c r="AX653" i="4"/>
  <c r="AW653" i="4"/>
  <c r="BI653" i="4" s="1"/>
  <c r="AR653" i="4"/>
  <c r="AN653" i="4"/>
  <c r="AK653" i="4"/>
  <c r="BH653" i="4" s="1"/>
  <c r="K653" i="4"/>
  <c r="J653" i="4"/>
  <c r="I653" i="4"/>
  <c r="H653" i="4"/>
  <c r="G653" i="4"/>
  <c r="BG652" i="4"/>
  <c r="BC652" i="4"/>
  <c r="BA652" i="4"/>
  <c r="BB652" i="4" s="1"/>
  <c r="AY652" i="4"/>
  <c r="AX652" i="4"/>
  <c r="AW652" i="4"/>
  <c r="BK652" i="4" s="1"/>
  <c r="AR652" i="4"/>
  <c r="AN652" i="4"/>
  <c r="AK652" i="4"/>
  <c r="BH652" i="4" s="1"/>
  <c r="K652" i="4"/>
  <c r="J652" i="4"/>
  <c r="I652" i="4"/>
  <c r="H652" i="4"/>
  <c r="G652" i="4"/>
  <c r="BH651" i="4"/>
  <c r="BD651" i="4"/>
  <c r="BE651" i="4" s="1"/>
  <c r="AX651" i="4"/>
  <c r="AW651" i="4"/>
  <c r="BI651" i="4" s="1"/>
  <c r="AR651" i="4"/>
  <c r="AN651" i="4"/>
  <c r="AK651" i="4"/>
  <c r="K651" i="4"/>
  <c r="J651" i="4"/>
  <c r="I651" i="4"/>
  <c r="H651" i="4"/>
  <c r="G651" i="4"/>
  <c r="BI650" i="4"/>
  <c r="BG650" i="4"/>
  <c r="BA650" i="4"/>
  <c r="BB650" i="4" s="1"/>
  <c r="AY650" i="4"/>
  <c r="AX650" i="4"/>
  <c r="AZ650" i="4" s="1"/>
  <c r="AW650" i="4"/>
  <c r="BK650" i="4" s="1"/>
  <c r="AR650" i="4"/>
  <c r="AN650" i="4"/>
  <c r="AK650" i="4"/>
  <c r="BH650" i="4" s="1"/>
  <c r="K650" i="4"/>
  <c r="J650" i="4"/>
  <c r="I650" i="4"/>
  <c r="H650" i="4"/>
  <c r="G650" i="4"/>
  <c r="AX649" i="4"/>
  <c r="AW649" i="4"/>
  <c r="BI649" i="4" s="1"/>
  <c r="AR649" i="4"/>
  <c r="AN649" i="4"/>
  <c r="AK649" i="4"/>
  <c r="BH649" i="4" s="1"/>
  <c r="K649" i="4"/>
  <c r="J649" i="4"/>
  <c r="I649" i="4"/>
  <c r="H649" i="4"/>
  <c r="G649" i="4"/>
  <c r="BG648" i="4"/>
  <c r="BC648" i="4"/>
  <c r="BA648" i="4"/>
  <c r="BB648" i="4" s="1"/>
  <c r="AY648" i="4"/>
  <c r="AX648" i="4"/>
  <c r="AW648" i="4"/>
  <c r="BK648" i="4" s="1"/>
  <c r="AR648" i="4"/>
  <c r="AN648" i="4"/>
  <c r="AK648" i="4"/>
  <c r="BH648" i="4" s="1"/>
  <c r="K648" i="4"/>
  <c r="J648" i="4"/>
  <c r="I648" i="4"/>
  <c r="H648" i="4"/>
  <c r="G648" i="4"/>
  <c r="BH647" i="4"/>
  <c r="BD647" i="4"/>
  <c r="BE647" i="4" s="1"/>
  <c r="AX647" i="4"/>
  <c r="AW647" i="4"/>
  <c r="BI647" i="4" s="1"/>
  <c r="AR647" i="4"/>
  <c r="AN647" i="4"/>
  <c r="AK647" i="4"/>
  <c r="K647" i="4"/>
  <c r="J647" i="4"/>
  <c r="I647" i="4"/>
  <c r="H647" i="4"/>
  <c r="G647" i="4"/>
  <c r="BI646" i="4"/>
  <c r="BG646" i="4"/>
  <c r="BA646" i="4"/>
  <c r="BB646" i="4" s="1"/>
  <c r="AY646" i="4"/>
  <c r="AX646" i="4"/>
  <c r="AZ646" i="4" s="1"/>
  <c r="AW646" i="4"/>
  <c r="BK646" i="4" s="1"/>
  <c r="AR646" i="4"/>
  <c r="AN646" i="4"/>
  <c r="AK646" i="4"/>
  <c r="BH646" i="4" s="1"/>
  <c r="K646" i="4"/>
  <c r="J646" i="4"/>
  <c r="I646" i="4"/>
  <c r="H646" i="4"/>
  <c r="G646" i="4"/>
  <c r="AX645" i="4"/>
  <c r="AW645" i="4"/>
  <c r="BI645" i="4" s="1"/>
  <c r="AR645" i="4"/>
  <c r="AN645" i="4"/>
  <c r="AK645" i="4"/>
  <c r="BH645" i="4" s="1"/>
  <c r="K645" i="4"/>
  <c r="J645" i="4"/>
  <c r="I645" i="4"/>
  <c r="H645" i="4"/>
  <c r="G645" i="4"/>
  <c r="BG644" i="4"/>
  <c r="BC644" i="4"/>
  <c r="BA644" i="4"/>
  <c r="BB644" i="4" s="1"/>
  <c r="AY644" i="4"/>
  <c r="AX644" i="4"/>
  <c r="AW644" i="4"/>
  <c r="BK644" i="4" s="1"/>
  <c r="AR644" i="4"/>
  <c r="AN644" i="4"/>
  <c r="AK644" i="4"/>
  <c r="BH644" i="4" s="1"/>
  <c r="K644" i="4"/>
  <c r="J644" i="4"/>
  <c r="I644" i="4"/>
  <c r="H644" i="4"/>
  <c r="G644" i="4"/>
  <c r="BH643" i="4"/>
  <c r="BD643" i="4"/>
  <c r="BE643" i="4" s="1"/>
  <c r="AX643" i="4"/>
  <c r="AW643" i="4"/>
  <c r="BI643" i="4" s="1"/>
  <c r="AR643" i="4"/>
  <c r="AN643" i="4"/>
  <c r="AK643" i="4"/>
  <c r="K643" i="4"/>
  <c r="J643" i="4"/>
  <c r="I643" i="4"/>
  <c r="H643" i="4"/>
  <c r="G643" i="4"/>
  <c r="BI642" i="4"/>
  <c r="BG642" i="4"/>
  <c r="BA642" i="4"/>
  <c r="BB642" i="4" s="1"/>
  <c r="AY642" i="4"/>
  <c r="AX642" i="4"/>
  <c r="AZ642" i="4" s="1"/>
  <c r="AW642" i="4"/>
  <c r="BK642" i="4" s="1"/>
  <c r="AR642" i="4"/>
  <c r="AN642" i="4"/>
  <c r="AK642" i="4"/>
  <c r="BH642" i="4" s="1"/>
  <c r="K642" i="4"/>
  <c r="J642" i="4"/>
  <c r="I642" i="4"/>
  <c r="H642" i="4"/>
  <c r="G642" i="4"/>
  <c r="AX641" i="4"/>
  <c r="AW641" i="4"/>
  <c r="BI641" i="4" s="1"/>
  <c r="AR641" i="4"/>
  <c r="AN641" i="4"/>
  <c r="AK641" i="4"/>
  <c r="BH641" i="4" s="1"/>
  <c r="K641" i="4"/>
  <c r="J641" i="4"/>
  <c r="I641" i="4"/>
  <c r="H641" i="4"/>
  <c r="G641" i="4"/>
  <c r="BG640" i="4"/>
  <c r="BC640" i="4"/>
  <c r="BA640" i="4"/>
  <c r="BB640" i="4" s="1"/>
  <c r="AY640" i="4"/>
  <c r="AX640" i="4"/>
  <c r="AW640" i="4"/>
  <c r="BK640" i="4" s="1"/>
  <c r="AR640" i="4"/>
  <c r="AN640" i="4"/>
  <c r="AK640" i="4"/>
  <c r="BH640" i="4" s="1"/>
  <c r="K640" i="4"/>
  <c r="J640" i="4"/>
  <c r="I640" i="4"/>
  <c r="H640" i="4"/>
  <c r="G640" i="4"/>
  <c r="BH639" i="4"/>
  <c r="BD639" i="4"/>
  <c r="BE639" i="4" s="1"/>
  <c r="AX639" i="4"/>
  <c r="AW639" i="4"/>
  <c r="BI639" i="4" s="1"/>
  <c r="AR639" i="4"/>
  <c r="AN639" i="4"/>
  <c r="AK639" i="4"/>
  <c r="K639" i="4"/>
  <c r="J639" i="4"/>
  <c r="I639" i="4"/>
  <c r="H639" i="4"/>
  <c r="G639" i="4"/>
  <c r="BI638" i="4"/>
  <c r="BG638" i="4"/>
  <c r="BA638" i="4"/>
  <c r="BB638" i="4" s="1"/>
  <c r="AY638" i="4"/>
  <c r="AX638" i="4"/>
  <c r="AZ638" i="4" s="1"/>
  <c r="AW638" i="4"/>
  <c r="BK638" i="4" s="1"/>
  <c r="AR638" i="4"/>
  <c r="AN638" i="4"/>
  <c r="AK638" i="4"/>
  <c r="BH638" i="4" s="1"/>
  <c r="K638" i="4"/>
  <c r="J638" i="4"/>
  <c r="I638" i="4"/>
  <c r="H638" i="4"/>
  <c r="G638" i="4"/>
  <c r="AX637" i="4"/>
  <c r="AW637" i="4"/>
  <c r="BI637" i="4" s="1"/>
  <c r="AR637" i="4"/>
  <c r="AN637" i="4"/>
  <c r="AK637" i="4"/>
  <c r="BH637" i="4" s="1"/>
  <c r="K637" i="4"/>
  <c r="J637" i="4"/>
  <c r="I637" i="4"/>
  <c r="H637" i="4"/>
  <c r="G637" i="4"/>
  <c r="BG636" i="4"/>
  <c r="BC636" i="4"/>
  <c r="BA636" i="4"/>
  <c r="BB636" i="4" s="1"/>
  <c r="AY636" i="4"/>
  <c r="AX636" i="4"/>
  <c r="AW636" i="4"/>
  <c r="BK636" i="4" s="1"/>
  <c r="AR636" i="4"/>
  <c r="AN636" i="4"/>
  <c r="AK636" i="4"/>
  <c r="BH636" i="4" s="1"/>
  <c r="K636" i="4"/>
  <c r="J636" i="4"/>
  <c r="I636" i="4"/>
  <c r="H636" i="4"/>
  <c r="G636" i="4"/>
  <c r="BH635" i="4"/>
  <c r="BD635" i="4"/>
  <c r="BE635" i="4" s="1"/>
  <c r="AX635" i="4"/>
  <c r="AW635" i="4"/>
  <c r="BI635" i="4" s="1"/>
  <c r="AR635" i="4"/>
  <c r="AN635" i="4"/>
  <c r="AK635" i="4"/>
  <c r="K635" i="4"/>
  <c r="J635" i="4"/>
  <c r="I635" i="4"/>
  <c r="H635" i="4"/>
  <c r="G635" i="4"/>
  <c r="BI634" i="4"/>
  <c r="BG634" i="4"/>
  <c r="BA634" i="4"/>
  <c r="BB634" i="4" s="1"/>
  <c r="AY634" i="4"/>
  <c r="AX634" i="4"/>
  <c r="AZ634" i="4" s="1"/>
  <c r="AW634" i="4"/>
  <c r="BK634" i="4" s="1"/>
  <c r="AR634" i="4"/>
  <c r="AN634" i="4"/>
  <c r="AK634" i="4"/>
  <c r="BH634" i="4" s="1"/>
  <c r="K634" i="4"/>
  <c r="J634" i="4"/>
  <c r="I634" i="4"/>
  <c r="H634" i="4"/>
  <c r="G634" i="4"/>
  <c r="AX633" i="4"/>
  <c r="AW633" i="4"/>
  <c r="BI633" i="4" s="1"/>
  <c r="AR633" i="4"/>
  <c r="AN633" i="4"/>
  <c r="AK633" i="4"/>
  <c r="BH633" i="4" s="1"/>
  <c r="K633" i="4"/>
  <c r="J633" i="4"/>
  <c r="I633" i="4"/>
  <c r="H633" i="4"/>
  <c r="G633" i="4"/>
  <c r="BG632" i="4"/>
  <c r="BC632" i="4"/>
  <c r="BA632" i="4"/>
  <c r="BB632" i="4" s="1"/>
  <c r="AY632" i="4"/>
  <c r="AX632" i="4"/>
  <c r="AW632" i="4"/>
  <c r="BK632" i="4" s="1"/>
  <c r="AR632" i="4"/>
  <c r="AN632" i="4"/>
  <c r="AK632" i="4"/>
  <c r="BH632" i="4" s="1"/>
  <c r="K632" i="4"/>
  <c r="J632" i="4"/>
  <c r="I632" i="4"/>
  <c r="H632" i="4"/>
  <c r="G632" i="4"/>
  <c r="BH631" i="4"/>
  <c r="BD631" i="4"/>
  <c r="BE631" i="4" s="1"/>
  <c r="AX631" i="4"/>
  <c r="AW631" i="4"/>
  <c r="BI631" i="4" s="1"/>
  <c r="AR631" i="4"/>
  <c r="AN631" i="4"/>
  <c r="AK631" i="4"/>
  <c r="K631" i="4"/>
  <c r="J631" i="4"/>
  <c r="I631" i="4"/>
  <c r="H631" i="4"/>
  <c r="G631" i="4"/>
  <c r="BI630" i="4"/>
  <c r="BG630" i="4"/>
  <c r="BA630" i="4"/>
  <c r="BB630" i="4" s="1"/>
  <c r="AY630" i="4"/>
  <c r="AX630" i="4"/>
  <c r="AZ630" i="4" s="1"/>
  <c r="AW630" i="4"/>
  <c r="BK630" i="4" s="1"/>
  <c r="AR630" i="4"/>
  <c r="AN630" i="4"/>
  <c r="AK630" i="4"/>
  <c r="BH630" i="4" s="1"/>
  <c r="K630" i="4"/>
  <c r="J630" i="4"/>
  <c r="I630" i="4"/>
  <c r="H630" i="4"/>
  <c r="G630" i="4"/>
  <c r="BG629" i="4"/>
  <c r="BA629" i="4"/>
  <c r="BC629" i="4" s="1"/>
  <c r="AY629" i="4"/>
  <c r="AX629" i="4"/>
  <c r="AZ629" i="4" s="1"/>
  <c r="AW629" i="4"/>
  <c r="BK629" i="4" s="1"/>
  <c r="AR629" i="4"/>
  <c r="AN629" i="4"/>
  <c r="AK629" i="4"/>
  <c r="BH629" i="4" s="1"/>
  <c r="K629" i="4"/>
  <c r="J629" i="4"/>
  <c r="I629" i="4"/>
  <c r="H629" i="4"/>
  <c r="G629" i="4"/>
  <c r="AX628" i="4"/>
  <c r="AW628" i="4"/>
  <c r="BI628" i="4" s="1"/>
  <c r="AR628" i="4"/>
  <c r="BG628" i="4" s="1"/>
  <c r="AN628" i="4"/>
  <c r="AK628" i="4"/>
  <c r="BH628" i="4" s="1"/>
  <c r="K628" i="4"/>
  <c r="J628" i="4"/>
  <c r="I628" i="4"/>
  <c r="H628" i="4"/>
  <c r="G628" i="4"/>
  <c r="BG627" i="4"/>
  <c r="BA627" i="4"/>
  <c r="BC627" i="4" s="1"/>
  <c r="AY627" i="4"/>
  <c r="AX627" i="4"/>
  <c r="AZ627" i="4" s="1"/>
  <c r="AW627" i="4"/>
  <c r="BK627" i="4" s="1"/>
  <c r="AR627" i="4"/>
  <c r="AN627" i="4"/>
  <c r="AK627" i="4"/>
  <c r="BH627" i="4" s="1"/>
  <c r="K627" i="4"/>
  <c r="J627" i="4"/>
  <c r="I627" i="4"/>
  <c r="H627" i="4"/>
  <c r="G627" i="4"/>
  <c r="AX626" i="4"/>
  <c r="AW626" i="4"/>
  <c r="BI626" i="4" s="1"/>
  <c r="AR626" i="4"/>
  <c r="BG626" i="4" s="1"/>
  <c r="AN626" i="4"/>
  <c r="AK626" i="4"/>
  <c r="BH626" i="4" s="1"/>
  <c r="K626" i="4"/>
  <c r="J626" i="4"/>
  <c r="I626" i="4"/>
  <c r="H626" i="4"/>
  <c r="G626" i="4"/>
  <c r="BG625" i="4"/>
  <c r="BA625" i="4"/>
  <c r="BC625" i="4" s="1"/>
  <c r="AY625" i="4"/>
  <c r="AX625" i="4"/>
  <c r="AZ625" i="4" s="1"/>
  <c r="AW625" i="4"/>
  <c r="BK625" i="4" s="1"/>
  <c r="AR625" i="4"/>
  <c r="AN625" i="4"/>
  <c r="AK625" i="4"/>
  <c r="BH625" i="4" s="1"/>
  <c r="K625" i="4"/>
  <c r="J625" i="4"/>
  <c r="I625" i="4"/>
  <c r="H625" i="4"/>
  <c r="G625" i="4"/>
  <c r="AX624" i="4"/>
  <c r="AW624" i="4"/>
  <c r="BI624" i="4" s="1"/>
  <c r="AR624" i="4"/>
  <c r="BG624" i="4" s="1"/>
  <c r="AN624" i="4"/>
  <c r="AK624" i="4"/>
  <c r="BH624" i="4" s="1"/>
  <c r="K624" i="4"/>
  <c r="J624" i="4"/>
  <c r="I624" i="4"/>
  <c r="H624" i="4"/>
  <c r="G624" i="4"/>
  <c r="BG623" i="4"/>
  <c r="BA623" i="4"/>
  <c r="BC623" i="4" s="1"/>
  <c r="AY623" i="4"/>
  <c r="AX623" i="4"/>
  <c r="AZ623" i="4" s="1"/>
  <c r="AW623" i="4"/>
  <c r="BK623" i="4" s="1"/>
  <c r="AR623" i="4"/>
  <c r="AN623" i="4"/>
  <c r="AK623" i="4"/>
  <c r="BH623" i="4" s="1"/>
  <c r="K623" i="4"/>
  <c r="J623" i="4"/>
  <c r="I623" i="4"/>
  <c r="H623" i="4"/>
  <c r="G623" i="4"/>
  <c r="AX622" i="4"/>
  <c r="AW622" i="4"/>
  <c r="BI622" i="4" s="1"/>
  <c r="AR622" i="4"/>
  <c r="BG622" i="4" s="1"/>
  <c r="AN622" i="4"/>
  <c r="AK622" i="4"/>
  <c r="BH622" i="4" s="1"/>
  <c r="K622" i="4"/>
  <c r="J622" i="4"/>
  <c r="I622" i="4"/>
  <c r="H622" i="4"/>
  <c r="G622" i="4"/>
  <c r="BG621" i="4"/>
  <c r="BA621" i="4"/>
  <c r="BC621" i="4" s="1"/>
  <c r="AY621" i="4"/>
  <c r="AX621" i="4"/>
  <c r="AZ621" i="4" s="1"/>
  <c r="AW621" i="4"/>
  <c r="BK621" i="4" s="1"/>
  <c r="AR621" i="4"/>
  <c r="AN621" i="4"/>
  <c r="AK621" i="4"/>
  <c r="BH621" i="4" s="1"/>
  <c r="K621" i="4"/>
  <c r="J621" i="4"/>
  <c r="I621" i="4"/>
  <c r="H621" i="4"/>
  <c r="G621" i="4"/>
  <c r="AX620" i="4"/>
  <c r="AW620" i="4"/>
  <c r="BI620" i="4" s="1"/>
  <c r="AR620" i="4"/>
  <c r="BG620" i="4" s="1"/>
  <c r="AN620" i="4"/>
  <c r="AK620" i="4"/>
  <c r="BH620" i="4" s="1"/>
  <c r="K620" i="4"/>
  <c r="J620" i="4"/>
  <c r="I620" i="4"/>
  <c r="H620" i="4"/>
  <c r="G620" i="4"/>
  <c r="BG619" i="4"/>
  <c r="BA619" i="4"/>
  <c r="BC619" i="4" s="1"/>
  <c r="AY619" i="4"/>
  <c r="AX619" i="4"/>
  <c r="AZ619" i="4" s="1"/>
  <c r="AW619" i="4"/>
  <c r="BK619" i="4" s="1"/>
  <c r="AR619" i="4"/>
  <c r="AN619" i="4"/>
  <c r="AK619" i="4"/>
  <c r="BH619" i="4" s="1"/>
  <c r="K619" i="4"/>
  <c r="J619" i="4"/>
  <c r="I619" i="4"/>
  <c r="H619" i="4"/>
  <c r="G619" i="4"/>
  <c r="AX618" i="4"/>
  <c r="AW618" i="4"/>
  <c r="BI618" i="4" s="1"/>
  <c r="AR618" i="4"/>
  <c r="BG618" i="4" s="1"/>
  <c r="AN618" i="4"/>
  <c r="AK618" i="4"/>
  <c r="BH618" i="4" s="1"/>
  <c r="K618" i="4"/>
  <c r="J618" i="4"/>
  <c r="I618" i="4"/>
  <c r="H618" i="4"/>
  <c r="G618" i="4"/>
  <c r="BG617" i="4"/>
  <c r="BA617" i="4"/>
  <c r="BC617" i="4" s="1"/>
  <c r="AY617" i="4"/>
  <c r="AX617" i="4"/>
  <c r="AZ617" i="4" s="1"/>
  <c r="AW617" i="4"/>
  <c r="BK617" i="4" s="1"/>
  <c r="AR617" i="4"/>
  <c r="AN617" i="4"/>
  <c r="AK617" i="4"/>
  <c r="BH617" i="4" s="1"/>
  <c r="K617" i="4"/>
  <c r="J617" i="4"/>
  <c r="I617" i="4"/>
  <c r="H617" i="4"/>
  <c r="G617" i="4"/>
  <c r="AX616" i="4"/>
  <c r="AW616" i="4"/>
  <c r="BI616" i="4" s="1"/>
  <c r="AR616" i="4"/>
  <c r="BG616" i="4" s="1"/>
  <c r="AN616" i="4"/>
  <c r="AK616" i="4"/>
  <c r="BH616" i="4" s="1"/>
  <c r="K616" i="4"/>
  <c r="J616" i="4"/>
  <c r="I616" i="4"/>
  <c r="H616" i="4"/>
  <c r="G616" i="4"/>
  <c r="BG615" i="4"/>
  <c r="BA615" i="4"/>
  <c r="BC615" i="4" s="1"/>
  <c r="AY615" i="4"/>
  <c r="AX615" i="4"/>
  <c r="AZ615" i="4" s="1"/>
  <c r="AW615" i="4"/>
  <c r="BK615" i="4" s="1"/>
  <c r="AR615" i="4"/>
  <c r="AN615" i="4"/>
  <c r="AK615" i="4"/>
  <c r="BH615" i="4" s="1"/>
  <c r="K615" i="4"/>
  <c r="J615" i="4"/>
  <c r="I615" i="4"/>
  <c r="H615" i="4"/>
  <c r="G615" i="4"/>
  <c r="AX614" i="4"/>
  <c r="AW614" i="4"/>
  <c r="BI614" i="4" s="1"/>
  <c r="AR614" i="4"/>
  <c r="BG614" i="4" s="1"/>
  <c r="AN614" i="4"/>
  <c r="AK614" i="4"/>
  <c r="BH614" i="4" s="1"/>
  <c r="K614" i="4"/>
  <c r="J614" i="4"/>
  <c r="I614" i="4"/>
  <c r="H614" i="4"/>
  <c r="G614" i="4"/>
  <c r="BG613" i="4"/>
  <c r="BA613" i="4"/>
  <c r="BC613" i="4" s="1"/>
  <c r="AY613" i="4"/>
  <c r="AX613" i="4"/>
  <c r="AZ613" i="4" s="1"/>
  <c r="AW613" i="4"/>
  <c r="BK613" i="4" s="1"/>
  <c r="AR613" i="4"/>
  <c r="AN613" i="4"/>
  <c r="AK613" i="4"/>
  <c r="BH613" i="4" s="1"/>
  <c r="K613" i="4"/>
  <c r="J613" i="4"/>
  <c r="I613" i="4"/>
  <c r="H613" i="4"/>
  <c r="G613" i="4"/>
  <c r="AX612" i="4"/>
  <c r="AW612" i="4"/>
  <c r="BI612" i="4" s="1"/>
  <c r="AR612" i="4"/>
  <c r="BG612" i="4" s="1"/>
  <c r="AN612" i="4"/>
  <c r="AK612" i="4"/>
  <c r="BH612" i="4" s="1"/>
  <c r="K612" i="4"/>
  <c r="J612" i="4"/>
  <c r="I612" i="4"/>
  <c r="H612" i="4"/>
  <c r="G612" i="4"/>
  <c r="BG611" i="4"/>
  <c r="BA611" i="4"/>
  <c r="BC611" i="4" s="1"/>
  <c r="AY611" i="4"/>
  <c r="AX611" i="4"/>
  <c r="AZ611" i="4" s="1"/>
  <c r="AW611" i="4"/>
  <c r="BK611" i="4" s="1"/>
  <c r="AR611" i="4"/>
  <c r="AN611" i="4"/>
  <c r="AK611" i="4"/>
  <c r="BH611" i="4" s="1"/>
  <c r="K611" i="4"/>
  <c r="J611" i="4"/>
  <c r="I611" i="4"/>
  <c r="H611" i="4"/>
  <c r="G611" i="4"/>
  <c r="AX610" i="4"/>
  <c r="AW610" i="4"/>
  <c r="BI610" i="4" s="1"/>
  <c r="AR610" i="4"/>
  <c r="BG610" i="4" s="1"/>
  <c r="AN610" i="4"/>
  <c r="AK610" i="4"/>
  <c r="BH610" i="4" s="1"/>
  <c r="K610" i="4"/>
  <c r="J610" i="4"/>
  <c r="I610" i="4"/>
  <c r="H610" i="4"/>
  <c r="G610" i="4"/>
  <c r="BG609" i="4"/>
  <c r="BA609" i="4"/>
  <c r="BC609" i="4" s="1"/>
  <c r="AY609" i="4"/>
  <c r="AX609" i="4"/>
  <c r="AZ609" i="4" s="1"/>
  <c r="AW609" i="4"/>
  <c r="BK609" i="4" s="1"/>
  <c r="AR609" i="4"/>
  <c r="AN609" i="4"/>
  <c r="AK609" i="4"/>
  <c r="BH609" i="4" s="1"/>
  <c r="K609" i="4"/>
  <c r="J609" i="4"/>
  <c r="I609" i="4"/>
  <c r="H609" i="4"/>
  <c r="G609" i="4"/>
  <c r="AX608" i="4"/>
  <c r="AW608" i="4"/>
  <c r="BI608" i="4" s="1"/>
  <c r="AR608" i="4"/>
  <c r="BG608" i="4" s="1"/>
  <c r="AN608" i="4"/>
  <c r="AK608" i="4"/>
  <c r="BH608" i="4" s="1"/>
  <c r="K608" i="4"/>
  <c r="J608" i="4"/>
  <c r="I608" i="4"/>
  <c r="H608" i="4"/>
  <c r="G608" i="4"/>
  <c r="BG607" i="4"/>
  <c r="BA607" i="4"/>
  <c r="BC607" i="4" s="1"/>
  <c r="AY607" i="4"/>
  <c r="AX607" i="4"/>
  <c r="AZ607" i="4" s="1"/>
  <c r="AW607" i="4"/>
  <c r="BK607" i="4" s="1"/>
  <c r="AR607" i="4"/>
  <c r="AN607" i="4"/>
  <c r="AK607" i="4"/>
  <c r="BH607" i="4" s="1"/>
  <c r="K607" i="4"/>
  <c r="J607" i="4"/>
  <c r="I607" i="4"/>
  <c r="H607" i="4"/>
  <c r="G607" i="4"/>
  <c r="AX606" i="4"/>
  <c r="AW606" i="4"/>
  <c r="BI606" i="4" s="1"/>
  <c r="AR606" i="4"/>
  <c r="BG606" i="4" s="1"/>
  <c r="AN606" i="4"/>
  <c r="AK606" i="4"/>
  <c r="BH606" i="4" s="1"/>
  <c r="K606" i="4"/>
  <c r="J606" i="4"/>
  <c r="I606" i="4"/>
  <c r="H606" i="4"/>
  <c r="G606" i="4"/>
  <c r="BG605" i="4"/>
  <c r="BA605" i="4"/>
  <c r="BC605" i="4" s="1"/>
  <c r="AY605" i="4"/>
  <c r="AX605" i="4"/>
  <c r="AZ605" i="4" s="1"/>
  <c r="AW605" i="4"/>
  <c r="BK605" i="4" s="1"/>
  <c r="AR605" i="4"/>
  <c r="AN605" i="4"/>
  <c r="AK605" i="4"/>
  <c r="BH605" i="4" s="1"/>
  <c r="K605" i="4"/>
  <c r="J605" i="4"/>
  <c r="I605" i="4"/>
  <c r="H605" i="4"/>
  <c r="G605" i="4"/>
  <c r="AX604" i="4"/>
  <c r="AW604" i="4"/>
  <c r="BI604" i="4" s="1"/>
  <c r="AR604" i="4"/>
  <c r="BG604" i="4" s="1"/>
  <c r="AN604" i="4"/>
  <c r="AK604" i="4"/>
  <c r="BH604" i="4" s="1"/>
  <c r="K604" i="4"/>
  <c r="J604" i="4"/>
  <c r="I604" i="4"/>
  <c r="H604" i="4"/>
  <c r="G604" i="4"/>
  <c r="BG603" i="4"/>
  <c r="BA603" i="4"/>
  <c r="BC603" i="4" s="1"/>
  <c r="AY603" i="4"/>
  <c r="AX603" i="4"/>
  <c r="AZ603" i="4" s="1"/>
  <c r="AW603" i="4"/>
  <c r="BK603" i="4" s="1"/>
  <c r="AR603" i="4"/>
  <c r="AN603" i="4"/>
  <c r="AK603" i="4"/>
  <c r="BH603" i="4" s="1"/>
  <c r="K603" i="4"/>
  <c r="J603" i="4"/>
  <c r="I603" i="4"/>
  <c r="H603" i="4"/>
  <c r="G603" i="4"/>
  <c r="AX602" i="4"/>
  <c r="AW602" i="4"/>
  <c r="BI602" i="4" s="1"/>
  <c r="AR602" i="4"/>
  <c r="BG602" i="4" s="1"/>
  <c r="AN602" i="4"/>
  <c r="AK602" i="4"/>
  <c r="BH602" i="4" s="1"/>
  <c r="K602" i="4"/>
  <c r="J602" i="4"/>
  <c r="I602" i="4"/>
  <c r="H602" i="4"/>
  <c r="G602" i="4"/>
  <c r="BG601" i="4"/>
  <c r="BA601" i="4"/>
  <c r="BC601" i="4" s="1"/>
  <c r="AY601" i="4"/>
  <c r="AX601" i="4"/>
  <c r="AZ601" i="4" s="1"/>
  <c r="AW601" i="4"/>
  <c r="BK601" i="4" s="1"/>
  <c r="AR601" i="4"/>
  <c r="AN601" i="4"/>
  <c r="AK601" i="4"/>
  <c r="BH601" i="4" s="1"/>
  <c r="K601" i="4"/>
  <c r="J601" i="4"/>
  <c r="I601" i="4"/>
  <c r="H601" i="4"/>
  <c r="G601" i="4"/>
  <c r="AX600" i="4"/>
  <c r="AW600" i="4"/>
  <c r="BI600" i="4" s="1"/>
  <c r="AR600" i="4"/>
  <c r="BG600" i="4" s="1"/>
  <c r="AN600" i="4"/>
  <c r="AK600" i="4"/>
  <c r="BH600" i="4" s="1"/>
  <c r="K600" i="4"/>
  <c r="J600" i="4"/>
  <c r="I600" i="4"/>
  <c r="H600" i="4"/>
  <c r="G600" i="4"/>
  <c r="BG599" i="4"/>
  <c r="BA599" i="4"/>
  <c r="BC599" i="4" s="1"/>
  <c r="AY599" i="4"/>
  <c r="AX599" i="4"/>
  <c r="AZ599" i="4" s="1"/>
  <c r="AW599" i="4"/>
  <c r="BK599" i="4" s="1"/>
  <c r="AR599" i="4"/>
  <c r="AN599" i="4"/>
  <c r="AK599" i="4"/>
  <c r="BH599" i="4" s="1"/>
  <c r="K599" i="4"/>
  <c r="J599" i="4"/>
  <c r="I599" i="4"/>
  <c r="H599" i="4"/>
  <c r="G599" i="4"/>
  <c r="AX598" i="4"/>
  <c r="AW598" i="4"/>
  <c r="BI598" i="4" s="1"/>
  <c r="AR598" i="4"/>
  <c r="BG598" i="4" s="1"/>
  <c r="AN598" i="4"/>
  <c r="AK598" i="4"/>
  <c r="BH598" i="4" s="1"/>
  <c r="K598" i="4"/>
  <c r="J598" i="4"/>
  <c r="I598" i="4"/>
  <c r="H598" i="4"/>
  <c r="G598" i="4"/>
  <c r="BG597" i="4"/>
  <c r="BA597" i="4"/>
  <c r="BC597" i="4" s="1"/>
  <c r="AY597" i="4"/>
  <c r="AX597" i="4"/>
  <c r="AZ597" i="4" s="1"/>
  <c r="AW597" i="4"/>
  <c r="BK597" i="4" s="1"/>
  <c r="AR597" i="4"/>
  <c r="AN597" i="4"/>
  <c r="AK597" i="4"/>
  <c r="BH597" i="4" s="1"/>
  <c r="K597" i="4"/>
  <c r="J597" i="4"/>
  <c r="I597" i="4"/>
  <c r="H597" i="4"/>
  <c r="G597" i="4"/>
  <c r="AX596" i="4"/>
  <c r="AW596" i="4"/>
  <c r="BI596" i="4" s="1"/>
  <c r="AR596" i="4"/>
  <c r="BG596" i="4" s="1"/>
  <c r="AN596" i="4"/>
  <c r="AK596" i="4"/>
  <c r="BH596" i="4" s="1"/>
  <c r="K596" i="4"/>
  <c r="J596" i="4"/>
  <c r="I596" i="4"/>
  <c r="H596" i="4"/>
  <c r="G596" i="4"/>
  <c r="BG595" i="4"/>
  <c r="BA595" i="4"/>
  <c r="BC595" i="4" s="1"/>
  <c r="AY595" i="4"/>
  <c r="AX595" i="4"/>
  <c r="AZ595" i="4" s="1"/>
  <c r="AW595" i="4"/>
  <c r="BK595" i="4" s="1"/>
  <c r="AR595" i="4"/>
  <c r="AN595" i="4"/>
  <c r="AK595" i="4"/>
  <c r="BH595" i="4" s="1"/>
  <c r="K595" i="4"/>
  <c r="J595" i="4"/>
  <c r="I595" i="4"/>
  <c r="H595" i="4"/>
  <c r="G595" i="4"/>
  <c r="AX594" i="4"/>
  <c r="AW594" i="4"/>
  <c r="BI594" i="4" s="1"/>
  <c r="AR594" i="4"/>
  <c r="BG594" i="4" s="1"/>
  <c r="AN594" i="4"/>
  <c r="AK594" i="4"/>
  <c r="BH594" i="4" s="1"/>
  <c r="K594" i="4"/>
  <c r="J594" i="4"/>
  <c r="I594" i="4"/>
  <c r="H594" i="4"/>
  <c r="G594" i="4"/>
  <c r="BG593" i="4"/>
  <c r="BA593" i="4"/>
  <c r="BC593" i="4" s="1"/>
  <c r="AY593" i="4"/>
  <c r="AX593" i="4"/>
  <c r="AZ593" i="4" s="1"/>
  <c r="AW593" i="4"/>
  <c r="BK593" i="4" s="1"/>
  <c r="AR593" i="4"/>
  <c r="AN593" i="4"/>
  <c r="AK593" i="4"/>
  <c r="BH593" i="4" s="1"/>
  <c r="K593" i="4"/>
  <c r="J593" i="4"/>
  <c r="I593" i="4"/>
  <c r="H593" i="4"/>
  <c r="G593" i="4"/>
  <c r="AX592" i="4"/>
  <c r="AW592" i="4"/>
  <c r="BI592" i="4" s="1"/>
  <c r="AR592" i="4"/>
  <c r="BG592" i="4" s="1"/>
  <c r="AN592" i="4"/>
  <c r="AK592" i="4"/>
  <c r="BH592" i="4" s="1"/>
  <c r="K592" i="4"/>
  <c r="J592" i="4"/>
  <c r="I592" i="4"/>
  <c r="H592" i="4"/>
  <c r="G592" i="4"/>
  <c r="BG591" i="4"/>
  <c r="BA591" i="4"/>
  <c r="BC591" i="4" s="1"/>
  <c r="AY591" i="4"/>
  <c r="AX591" i="4"/>
  <c r="AZ591" i="4" s="1"/>
  <c r="AW591" i="4"/>
  <c r="BK591" i="4" s="1"/>
  <c r="AR591" i="4"/>
  <c r="AN591" i="4"/>
  <c r="AK591" i="4"/>
  <c r="BH591" i="4" s="1"/>
  <c r="K591" i="4"/>
  <c r="J591" i="4"/>
  <c r="I591" i="4"/>
  <c r="H591" i="4"/>
  <c r="G591" i="4"/>
  <c r="AX590" i="4"/>
  <c r="AW590" i="4"/>
  <c r="BI590" i="4" s="1"/>
  <c r="AR590" i="4"/>
  <c r="BG590" i="4" s="1"/>
  <c r="AN590" i="4"/>
  <c r="AK590" i="4"/>
  <c r="BH590" i="4" s="1"/>
  <c r="K590" i="4"/>
  <c r="J590" i="4"/>
  <c r="I590" i="4"/>
  <c r="H590" i="4"/>
  <c r="G590" i="4"/>
  <c r="BG589" i="4"/>
  <c r="BA589" i="4"/>
  <c r="BC589" i="4" s="1"/>
  <c r="AY589" i="4"/>
  <c r="AX589" i="4"/>
  <c r="AZ589" i="4" s="1"/>
  <c r="AW589" i="4"/>
  <c r="BK589" i="4" s="1"/>
  <c r="AR589" i="4"/>
  <c r="AN589" i="4"/>
  <c r="AK589" i="4"/>
  <c r="BH589" i="4" s="1"/>
  <c r="K589" i="4"/>
  <c r="J589" i="4"/>
  <c r="I589" i="4"/>
  <c r="H589" i="4"/>
  <c r="G589" i="4"/>
  <c r="AX588" i="4"/>
  <c r="AW588" i="4"/>
  <c r="BI588" i="4" s="1"/>
  <c r="AR588" i="4"/>
  <c r="BG588" i="4" s="1"/>
  <c r="AN588" i="4"/>
  <c r="AK588" i="4"/>
  <c r="BH588" i="4" s="1"/>
  <c r="K588" i="4"/>
  <c r="J588" i="4"/>
  <c r="I588" i="4"/>
  <c r="H588" i="4"/>
  <c r="G588" i="4"/>
  <c r="BG587" i="4"/>
  <c r="BA587" i="4"/>
  <c r="BC587" i="4" s="1"/>
  <c r="AY587" i="4"/>
  <c r="AX587" i="4"/>
  <c r="AZ587" i="4" s="1"/>
  <c r="AW587" i="4"/>
  <c r="BK587" i="4" s="1"/>
  <c r="AR587" i="4"/>
  <c r="AN587" i="4"/>
  <c r="AK587" i="4"/>
  <c r="BH587" i="4" s="1"/>
  <c r="K587" i="4"/>
  <c r="J587" i="4"/>
  <c r="I587" i="4"/>
  <c r="H587" i="4"/>
  <c r="G587" i="4"/>
  <c r="AX586" i="4"/>
  <c r="AW586" i="4"/>
  <c r="BI586" i="4" s="1"/>
  <c r="AR586" i="4"/>
  <c r="BG586" i="4" s="1"/>
  <c r="AN586" i="4"/>
  <c r="AK586" i="4"/>
  <c r="BH586" i="4" s="1"/>
  <c r="K586" i="4"/>
  <c r="J586" i="4"/>
  <c r="I586" i="4"/>
  <c r="H586" i="4"/>
  <c r="G586" i="4"/>
  <c r="BG585" i="4"/>
  <c r="BA585" i="4"/>
  <c r="BC585" i="4" s="1"/>
  <c r="AY585" i="4"/>
  <c r="AX585" i="4"/>
  <c r="AZ585" i="4" s="1"/>
  <c r="AW585" i="4"/>
  <c r="BK585" i="4" s="1"/>
  <c r="AR585" i="4"/>
  <c r="AN585" i="4"/>
  <c r="AK585" i="4"/>
  <c r="BH585" i="4" s="1"/>
  <c r="K585" i="4"/>
  <c r="J585" i="4"/>
  <c r="I585" i="4"/>
  <c r="H585" i="4"/>
  <c r="G585" i="4"/>
  <c r="AX584" i="4"/>
  <c r="AW584" i="4"/>
  <c r="BI584" i="4" s="1"/>
  <c r="AR584" i="4"/>
  <c r="BG584" i="4" s="1"/>
  <c r="AN584" i="4"/>
  <c r="AK584" i="4"/>
  <c r="BH584" i="4" s="1"/>
  <c r="K584" i="4"/>
  <c r="J584" i="4"/>
  <c r="I584" i="4"/>
  <c r="H584" i="4"/>
  <c r="G584" i="4"/>
  <c r="BG583" i="4"/>
  <c r="BA583" i="4"/>
  <c r="BC583" i="4" s="1"/>
  <c r="AY583" i="4"/>
  <c r="AX583" i="4"/>
  <c r="AZ583" i="4" s="1"/>
  <c r="AW583" i="4"/>
  <c r="BK583" i="4" s="1"/>
  <c r="AR583" i="4"/>
  <c r="AN583" i="4"/>
  <c r="AK583" i="4"/>
  <c r="BH583" i="4" s="1"/>
  <c r="K583" i="4"/>
  <c r="J583" i="4"/>
  <c r="I583" i="4"/>
  <c r="H583" i="4"/>
  <c r="G583" i="4"/>
  <c r="AX582" i="4"/>
  <c r="AW582" i="4"/>
  <c r="BI582" i="4" s="1"/>
  <c r="AR582" i="4"/>
  <c r="BG582" i="4" s="1"/>
  <c r="AN582" i="4"/>
  <c r="AK582" i="4"/>
  <c r="BH582" i="4" s="1"/>
  <c r="K582" i="4"/>
  <c r="J582" i="4"/>
  <c r="I582" i="4"/>
  <c r="H582" i="4"/>
  <c r="G582" i="4"/>
  <c r="BG581" i="4"/>
  <c r="BA581" i="4"/>
  <c r="BC581" i="4" s="1"/>
  <c r="AY581" i="4"/>
  <c r="AX581" i="4"/>
  <c r="AZ581" i="4" s="1"/>
  <c r="AW581" i="4"/>
  <c r="BK581" i="4" s="1"/>
  <c r="AR581" i="4"/>
  <c r="AN581" i="4"/>
  <c r="AK581" i="4"/>
  <c r="BH581" i="4" s="1"/>
  <c r="K581" i="4"/>
  <c r="J581" i="4"/>
  <c r="I581" i="4"/>
  <c r="H581" i="4"/>
  <c r="G581" i="4"/>
  <c r="AX580" i="4"/>
  <c r="AW580" i="4"/>
  <c r="BI580" i="4" s="1"/>
  <c r="AR580" i="4"/>
  <c r="BG580" i="4" s="1"/>
  <c r="AN580" i="4"/>
  <c r="AK580" i="4"/>
  <c r="BH580" i="4" s="1"/>
  <c r="K580" i="4"/>
  <c r="J580" i="4"/>
  <c r="I580" i="4"/>
  <c r="H580" i="4"/>
  <c r="G580" i="4"/>
  <c r="BG579" i="4"/>
  <c r="BA579" i="4"/>
  <c r="BC579" i="4" s="1"/>
  <c r="AY579" i="4"/>
  <c r="AX579" i="4"/>
  <c r="AZ579" i="4" s="1"/>
  <c r="AW579" i="4"/>
  <c r="BK579" i="4" s="1"/>
  <c r="AR579" i="4"/>
  <c r="AN579" i="4"/>
  <c r="AK579" i="4"/>
  <c r="BH579" i="4" s="1"/>
  <c r="K579" i="4"/>
  <c r="J579" i="4"/>
  <c r="I579" i="4"/>
  <c r="H579" i="4"/>
  <c r="G579" i="4"/>
  <c r="AX578" i="4"/>
  <c r="AW578" i="4"/>
  <c r="BI578" i="4" s="1"/>
  <c r="AR578" i="4"/>
  <c r="BG578" i="4" s="1"/>
  <c r="AN578" i="4"/>
  <c r="AK578" i="4"/>
  <c r="BH578" i="4" s="1"/>
  <c r="K578" i="4"/>
  <c r="J578" i="4"/>
  <c r="I578" i="4"/>
  <c r="H578" i="4"/>
  <c r="G578" i="4"/>
  <c r="BG577" i="4"/>
  <c r="BA577" i="4"/>
  <c r="BC577" i="4" s="1"/>
  <c r="AY577" i="4"/>
  <c r="AX577" i="4"/>
  <c r="AZ577" i="4" s="1"/>
  <c r="AW577" i="4"/>
  <c r="BK577" i="4" s="1"/>
  <c r="AR577" i="4"/>
  <c r="AN577" i="4"/>
  <c r="AK577" i="4"/>
  <c r="BH577" i="4" s="1"/>
  <c r="K577" i="4"/>
  <c r="J577" i="4"/>
  <c r="I577" i="4"/>
  <c r="H577" i="4"/>
  <c r="G577" i="4"/>
  <c r="AX576" i="4"/>
  <c r="AW576" i="4"/>
  <c r="BI576" i="4" s="1"/>
  <c r="AR576" i="4"/>
  <c r="BG576" i="4" s="1"/>
  <c r="AN576" i="4"/>
  <c r="AK576" i="4"/>
  <c r="BH576" i="4" s="1"/>
  <c r="K576" i="4"/>
  <c r="J576" i="4"/>
  <c r="I576" i="4"/>
  <c r="H576" i="4"/>
  <c r="G576" i="4"/>
  <c r="BG575" i="4"/>
  <c r="BA575" i="4"/>
  <c r="BC575" i="4" s="1"/>
  <c r="AY575" i="4"/>
  <c r="AX575" i="4"/>
  <c r="AZ575" i="4" s="1"/>
  <c r="AW575" i="4"/>
  <c r="BK575" i="4" s="1"/>
  <c r="AR575" i="4"/>
  <c r="AN575" i="4"/>
  <c r="AK575" i="4"/>
  <c r="BH575" i="4" s="1"/>
  <c r="K575" i="4"/>
  <c r="J575" i="4"/>
  <c r="I575" i="4"/>
  <c r="H575" i="4"/>
  <c r="G575" i="4"/>
  <c r="AX574" i="4"/>
  <c r="AW574" i="4"/>
  <c r="BI574" i="4" s="1"/>
  <c r="AR574" i="4"/>
  <c r="BG574" i="4" s="1"/>
  <c r="AN574" i="4"/>
  <c r="AK574" i="4"/>
  <c r="BH574" i="4" s="1"/>
  <c r="K574" i="4"/>
  <c r="J574" i="4"/>
  <c r="I574" i="4"/>
  <c r="H574" i="4"/>
  <c r="G574" i="4"/>
  <c r="BG573" i="4"/>
  <c r="BA573" i="4"/>
  <c r="BC573" i="4" s="1"/>
  <c r="AY573" i="4"/>
  <c r="AX573" i="4"/>
  <c r="AZ573" i="4" s="1"/>
  <c r="AW573" i="4"/>
  <c r="BK573" i="4" s="1"/>
  <c r="AR573" i="4"/>
  <c r="AN573" i="4"/>
  <c r="AK573" i="4"/>
  <c r="BH573" i="4" s="1"/>
  <c r="K573" i="4"/>
  <c r="J573" i="4"/>
  <c r="I573" i="4"/>
  <c r="H573" i="4"/>
  <c r="G573" i="4"/>
  <c r="AX572" i="4"/>
  <c r="AW572" i="4"/>
  <c r="BI572" i="4" s="1"/>
  <c r="AR572" i="4"/>
  <c r="BG572" i="4" s="1"/>
  <c r="AN572" i="4"/>
  <c r="AK572" i="4"/>
  <c r="BH572" i="4" s="1"/>
  <c r="K572" i="4"/>
  <c r="J572" i="4"/>
  <c r="I572" i="4"/>
  <c r="H572" i="4"/>
  <c r="G572" i="4"/>
  <c r="BG571" i="4"/>
  <c r="BA571" i="4"/>
  <c r="BC571" i="4" s="1"/>
  <c r="AY571" i="4"/>
  <c r="AX571" i="4"/>
  <c r="AZ571" i="4" s="1"/>
  <c r="AW571" i="4"/>
  <c r="BK571" i="4" s="1"/>
  <c r="AR571" i="4"/>
  <c r="AN571" i="4"/>
  <c r="AK571" i="4"/>
  <c r="BH571" i="4" s="1"/>
  <c r="K571" i="4"/>
  <c r="J571" i="4"/>
  <c r="I571" i="4"/>
  <c r="H571" i="4"/>
  <c r="G571" i="4"/>
  <c r="AX570" i="4"/>
  <c r="AW570" i="4"/>
  <c r="BI570" i="4" s="1"/>
  <c r="AR570" i="4"/>
  <c r="BG570" i="4" s="1"/>
  <c r="AN570" i="4"/>
  <c r="AK570" i="4"/>
  <c r="BH570" i="4" s="1"/>
  <c r="K570" i="4"/>
  <c r="J570" i="4"/>
  <c r="I570" i="4"/>
  <c r="H570" i="4"/>
  <c r="G570" i="4"/>
  <c r="BG569" i="4"/>
  <c r="BA569" i="4"/>
  <c r="BC569" i="4" s="1"/>
  <c r="AY569" i="4"/>
  <c r="AX569" i="4"/>
  <c r="AZ569" i="4" s="1"/>
  <c r="AW569" i="4"/>
  <c r="BK569" i="4" s="1"/>
  <c r="AR569" i="4"/>
  <c r="AN569" i="4"/>
  <c r="AK569" i="4"/>
  <c r="BH569" i="4" s="1"/>
  <c r="K569" i="4"/>
  <c r="J569" i="4"/>
  <c r="I569" i="4"/>
  <c r="H569" i="4"/>
  <c r="G569" i="4"/>
  <c r="AX568" i="4"/>
  <c r="AW568" i="4"/>
  <c r="BI568" i="4" s="1"/>
  <c r="AR568" i="4"/>
  <c r="BG568" i="4" s="1"/>
  <c r="AN568" i="4"/>
  <c r="AK568" i="4"/>
  <c r="BH568" i="4" s="1"/>
  <c r="K568" i="4"/>
  <c r="J568" i="4"/>
  <c r="I568" i="4"/>
  <c r="H568" i="4"/>
  <c r="G568" i="4"/>
  <c r="BG567" i="4"/>
  <c r="BA567" i="4"/>
  <c r="BC567" i="4" s="1"/>
  <c r="AY567" i="4"/>
  <c r="AX567" i="4"/>
  <c r="AZ567" i="4" s="1"/>
  <c r="AW567" i="4"/>
  <c r="BK567" i="4" s="1"/>
  <c r="AR567" i="4"/>
  <c r="AN567" i="4"/>
  <c r="AK567" i="4"/>
  <c r="BH567" i="4" s="1"/>
  <c r="K567" i="4"/>
  <c r="J567" i="4"/>
  <c r="I567" i="4"/>
  <c r="H567" i="4"/>
  <c r="G567" i="4"/>
  <c r="AX566" i="4"/>
  <c r="AW566" i="4"/>
  <c r="BI566" i="4" s="1"/>
  <c r="AR566" i="4"/>
  <c r="BG566" i="4" s="1"/>
  <c r="AN566" i="4"/>
  <c r="AK566" i="4"/>
  <c r="BH566" i="4" s="1"/>
  <c r="K566" i="4"/>
  <c r="J566" i="4"/>
  <c r="I566" i="4"/>
  <c r="H566" i="4"/>
  <c r="G566" i="4"/>
  <c r="BG565" i="4"/>
  <c r="BA565" i="4"/>
  <c r="BC565" i="4" s="1"/>
  <c r="AY565" i="4"/>
  <c r="AX565" i="4"/>
  <c r="AZ565" i="4" s="1"/>
  <c r="AW565" i="4"/>
  <c r="BK565" i="4" s="1"/>
  <c r="AR565" i="4"/>
  <c r="AN565" i="4"/>
  <c r="AK565" i="4"/>
  <c r="BH565" i="4" s="1"/>
  <c r="K565" i="4"/>
  <c r="J565" i="4"/>
  <c r="I565" i="4"/>
  <c r="H565" i="4"/>
  <c r="G565" i="4"/>
  <c r="AX564" i="4"/>
  <c r="AW564" i="4"/>
  <c r="BI564" i="4" s="1"/>
  <c r="AR564" i="4"/>
  <c r="BG564" i="4" s="1"/>
  <c r="AN564" i="4"/>
  <c r="AK564" i="4"/>
  <c r="BH564" i="4" s="1"/>
  <c r="K564" i="4"/>
  <c r="J564" i="4"/>
  <c r="I564" i="4"/>
  <c r="H564" i="4"/>
  <c r="G564" i="4"/>
  <c r="BG563" i="4"/>
  <c r="BA563" i="4"/>
  <c r="BC563" i="4" s="1"/>
  <c r="AY563" i="4"/>
  <c r="AX563" i="4"/>
  <c r="AZ563" i="4" s="1"/>
  <c r="AW563" i="4"/>
  <c r="BK563" i="4" s="1"/>
  <c r="AR563" i="4"/>
  <c r="AN563" i="4"/>
  <c r="AK563" i="4"/>
  <c r="BH563" i="4" s="1"/>
  <c r="K563" i="4"/>
  <c r="J563" i="4"/>
  <c r="I563" i="4"/>
  <c r="H563" i="4"/>
  <c r="G563" i="4"/>
  <c r="AX562" i="4"/>
  <c r="AW562" i="4"/>
  <c r="BI562" i="4" s="1"/>
  <c r="AR562" i="4"/>
  <c r="BG562" i="4" s="1"/>
  <c r="AN562" i="4"/>
  <c r="AK562" i="4"/>
  <c r="BH562" i="4" s="1"/>
  <c r="K562" i="4"/>
  <c r="J562" i="4"/>
  <c r="I562" i="4"/>
  <c r="H562" i="4"/>
  <c r="G562" i="4"/>
  <c r="BG561" i="4"/>
  <c r="BA561" i="4"/>
  <c r="BC561" i="4" s="1"/>
  <c r="AY561" i="4"/>
  <c r="AX561" i="4"/>
  <c r="AZ561" i="4" s="1"/>
  <c r="AW561" i="4"/>
  <c r="BK561" i="4" s="1"/>
  <c r="AR561" i="4"/>
  <c r="AN561" i="4"/>
  <c r="AK561" i="4"/>
  <c r="BH561" i="4" s="1"/>
  <c r="K561" i="4"/>
  <c r="J561" i="4"/>
  <c r="I561" i="4"/>
  <c r="H561" i="4"/>
  <c r="G561" i="4"/>
  <c r="AX560" i="4"/>
  <c r="AW560" i="4"/>
  <c r="BI560" i="4" s="1"/>
  <c r="AR560" i="4"/>
  <c r="BG560" i="4" s="1"/>
  <c r="AN560" i="4"/>
  <c r="AK560" i="4"/>
  <c r="BH560" i="4" s="1"/>
  <c r="K560" i="4"/>
  <c r="J560" i="4"/>
  <c r="I560" i="4"/>
  <c r="H560" i="4"/>
  <c r="G560" i="4"/>
  <c r="BG559" i="4"/>
  <c r="BA559" i="4"/>
  <c r="BC559" i="4" s="1"/>
  <c r="AY559" i="4"/>
  <c r="AX559" i="4"/>
  <c r="AZ559" i="4" s="1"/>
  <c r="AW559" i="4"/>
  <c r="BK559" i="4" s="1"/>
  <c r="AR559" i="4"/>
  <c r="AN559" i="4"/>
  <c r="AK559" i="4"/>
  <c r="BH559" i="4" s="1"/>
  <c r="K559" i="4"/>
  <c r="J559" i="4"/>
  <c r="I559" i="4"/>
  <c r="H559" i="4"/>
  <c r="G559" i="4"/>
  <c r="AX558" i="4"/>
  <c r="AW558" i="4"/>
  <c r="BI558" i="4" s="1"/>
  <c r="AR558" i="4"/>
  <c r="BG558" i="4" s="1"/>
  <c r="AN558" i="4"/>
  <c r="AK558" i="4"/>
  <c r="BH558" i="4" s="1"/>
  <c r="K558" i="4"/>
  <c r="J558" i="4"/>
  <c r="I558" i="4"/>
  <c r="H558" i="4"/>
  <c r="G558" i="4"/>
  <c r="BG557" i="4"/>
  <c r="BA557" i="4"/>
  <c r="BC557" i="4" s="1"/>
  <c r="AY557" i="4"/>
  <c r="AX557" i="4"/>
  <c r="AZ557" i="4" s="1"/>
  <c r="AW557" i="4"/>
  <c r="BK557" i="4" s="1"/>
  <c r="AR557" i="4"/>
  <c r="AN557" i="4"/>
  <c r="AK557" i="4"/>
  <c r="BH557" i="4" s="1"/>
  <c r="K557" i="4"/>
  <c r="J557" i="4"/>
  <c r="I557" i="4"/>
  <c r="H557" i="4"/>
  <c r="G557" i="4"/>
  <c r="AX556" i="4"/>
  <c r="AW556" i="4"/>
  <c r="BI556" i="4" s="1"/>
  <c r="AR556" i="4"/>
  <c r="BG556" i="4" s="1"/>
  <c r="AN556" i="4"/>
  <c r="AK556" i="4"/>
  <c r="BH556" i="4" s="1"/>
  <c r="K556" i="4"/>
  <c r="J556" i="4"/>
  <c r="I556" i="4"/>
  <c r="H556" i="4"/>
  <c r="G556" i="4"/>
  <c r="BG555" i="4"/>
  <c r="BA555" i="4"/>
  <c r="BC555" i="4" s="1"/>
  <c r="AY555" i="4"/>
  <c r="AX555" i="4"/>
  <c r="AZ555" i="4" s="1"/>
  <c r="AW555" i="4"/>
  <c r="BK555" i="4" s="1"/>
  <c r="AR555" i="4"/>
  <c r="AN555" i="4"/>
  <c r="AK555" i="4"/>
  <c r="BH555" i="4" s="1"/>
  <c r="K555" i="4"/>
  <c r="J555" i="4"/>
  <c r="I555" i="4"/>
  <c r="H555" i="4"/>
  <c r="G555" i="4"/>
  <c r="AX554" i="4"/>
  <c r="AW554" i="4"/>
  <c r="BI554" i="4" s="1"/>
  <c r="AR554" i="4"/>
  <c r="BG554" i="4" s="1"/>
  <c r="AN554" i="4"/>
  <c r="AK554" i="4"/>
  <c r="BH554" i="4" s="1"/>
  <c r="K554" i="4"/>
  <c r="J554" i="4"/>
  <c r="I554" i="4"/>
  <c r="H554" i="4"/>
  <c r="G554" i="4"/>
  <c r="BG553" i="4"/>
  <c r="BA553" i="4"/>
  <c r="BC553" i="4" s="1"/>
  <c r="AY553" i="4"/>
  <c r="AX553" i="4"/>
  <c r="AZ553" i="4" s="1"/>
  <c r="AW553" i="4"/>
  <c r="BK553" i="4" s="1"/>
  <c r="AR553" i="4"/>
  <c r="AN553" i="4"/>
  <c r="AK553" i="4"/>
  <c r="BH553" i="4" s="1"/>
  <c r="K553" i="4"/>
  <c r="J553" i="4"/>
  <c r="I553" i="4"/>
  <c r="H553" i="4"/>
  <c r="G553" i="4"/>
  <c r="AX552" i="4"/>
  <c r="AW552" i="4"/>
  <c r="BI552" i="4" s="1"/>
  <c r="AR552" i="4"/>
  <c r="BG552" i="4" s="1"/>
  <c r="AN552" i="4"/>
  <c r="AK552" i="4"/>
  <c r="BH552" i="4" s="1"/>
  <c r="K552" i="4"/>
  <c r="J552" i="4"/>
  <c r="I552" i="4"/>
  <c r="H552" i="4"/>
  <c r="G552" i="4"/>
  <c r="BG551" i="4"/>
  <c r="BA551" i="4"/>
  <c r="BC551" i="4" s="1"/>
  <c r="AY551" i="4"/>
  <c r="AX551" i="4"/>
  <c r="AZ551" i="4" s="1"/>
  <c r="AW551" i="4"/>
  <c r="BK551" i="4" s="1"/>
  <c r="AR551" i="4"/>
  <c r="AN551" i="4"/>
  <c r="AK551" i="4"/>
  <c r="BH551" i="4" s="1"/>
  <c r="K551" i="4"/>
  <c r="J551" i="4"/>
  <c r="I551" i="4"/>
  <c r="H551" i="4"/>
  <c r="G551" i="4"/>
  <c r="AX550" i="4"/>
  <c r="AW550" i="4"/>
  <c r="BI550" i="4" s="1"/>
  <c r="AR550" i="4"/>
  <c r="BG550" i="4" s="1"/>
  <c r="AN550" i="4"/>
  <c r="AK550" i="4"/>
  <c r="BH550" i="4" s="1"/>
  <c r="K550" i="4"/>
  <c r="J550" i="4"/>
  <c r="I550" i="4"/>
  <c r="H550" i="4"/>
  <c r="G550" i="4"/>
  <c r="BG549" i="4"/>
  <c r="BA549" i="4"/>
  <c r="BC549" i="4" s="1"/>
  <c r="AY549" i="4"/>
  <c r="AX549" i="4"/>
  <c r="AZ549" i="4" s="1"/>
  <c r="AW549" i="4"/>
  <c r="BK549" i="4" s="1"/>
  <c r="AR549" i="4"/>
  <c r="AN549" i="4"/>
  <c r="AK549" i="4"/>
  <c r="BH549" i="4" s="1"/>
  <c r="K549" i="4"/>
  <c r="J549" i="4"/>
  <c r="I549" i="4"/>
  <c r="H549" i="4"/>
  <c r="G549" i="4"/>
  <c r="AX548" i="4"/>
  <c r="AW548" i="4"/>
  <c r="BI548" i="4" s="1"/>
  <c r="AR548" i="4"/>
  <c r="BG548" i="4" s="1"/>
  <c r="AN548" i="4"/>
  <c r="AK548" i="4"/>
  <c r="BH548" i="4" s="1"/>
  <c r="K548" i="4"/>
  <c r="J548" i="4"/>
  <c r="I548" i="4"/>
  <c r="H548" i="4"/>
  <c r="G548" i="4"/>
  <c r="BG547" i="4"/>
  <c r="BA547" i="4"/>
  <c r="BC547" i="4" s="1"/>
  <c r="AY547" i="4"/>
  <c r="AX547" i="4"/>
  <c r="AZ547" i="4" s="1"/>
  <c r="AW547" i="4"/>
  <c r="BK547" i="4" s="1"/>
  <c r="AR547" i="4"/>
  <c r="AN547" i="4"/>
  <c r="AK547" i="4"/>
  <c r="BH547" i="4" s="1"/>
  <c r="K547" i="4"/>
  <c r="J547" i="4"/>
  <c r="I547" i="4"/>
  <c r="H547" i="4"/>
  <c r="G547" i="4"/>
  <c r="AX546" i="4"/>
  <c r="AW546" i="4"/>
  <c r="BI546" i="4" s="1"/>
  <c r="AR546" i="4"/>
  <c r="BG546" i="4" s="1"/>
  <c r="AN546" i="4"/>
  <c r="AK546" i="4"/>
  <c r="BH546" i="4" s="1"/>
  <c r="K546" i="4"/>
  <c r="J546" i="4"/>
  <c r="I546" i="4"/>
  <c r="H546" i="4"/>
  <c r="G546" i="4"/>
  <c r="BG545" i="4"/>
  <c r="BA545" i="4"/>
  <c r="BC545" i="4" s="1"/>
  <c r="AY545" i="4"/>
  <c r="AX545" i="4"/>
  <c r="AZ545" i="4" s="1"/>
  <c r="AW545" i="4"/>
  <c r="BK545" i="4" s="1"/>
  <c r="AR545" i="4"/>
  <c r="AN545" i="4"/>
  <c r="AK545" i="4"/>
  <c r="BH545" i="4" s="1"/>
  <c r="K545" i="4"/>
  <c r="J545" i="4"/>
  <c r="I545" i="4"/>
  <c r="H545" i="4"/>
  <c r="G545" i="4"/>
  <c r="AX544" i="4"/>
  <c r="AW544" i="4"/>
  <c r="BI544" i="4" s="1"/>
  <c r="AR544" i="4"/>
  <c r="BG544" i="4" s="1"/>
  <c r="AN544" i="4"/>
  <c r="AK544" i="4"/>
  <c r="BH544" i="4" s="1"/>
  <c r="K544" i="4"/>
  <c r="J544" i="4"/>
  <c r="I544" i="4"/>
  <c r="H544" i="4"/>
  <c r="G544" i="4"/>
  <c r="BG543" i="4"/>
  <c r="BA543" i="4"/>
  <c r="BC543" i="4" s="1"/>
  <c r="AY543" i="4"/>
  <c r="AX543" i="4"/>
  <c r="AZ543" i="4" s="1"/>
  <c r="AW543" i="4"/>
  <c r="BK543" i="4" s="1"/>
  <c r="AR543" i="4"/>
  <c r="AN543" i="4"/>
  <c r="AK543" i="4"/>
  <c r="BH543" i="4" s="1"/>
  <c r="K543" i="4"/>
  <c r="J543" i="4"/>
  <c r="I543" i="4"/>
  <c r="H543" i="4"/>
  <c r="G543" i="4"/>
  <c r="AX542" i="4"/>
  <c r="AW542" i="4"/>
  <c r="BI542" i="4" s="1"/>
  <c r="AR542" i="4"/>
  <c r="BG542" i="4" s="1"/>
  <c r="AN542" i="4"/>
  <c r="AK542" i="4"/>
  <c r="BH542" i="4" s="1"/>
  <c r="K542" i="4"/>
  <c r="J542" i="4"/>
  <c r="I542" i="4"/>
  <c r="H542" i="4"/>
  <c r="G542" i="4"/>
  <c r="BG541" i="4"/>
  <c r="BA541" i="4"/>
  <c r="BC541" i="4" s="1"/>
  <c r="AY541" i="4"/>
  <c r="AX541" i="4"/>
  <c r="AZ541" i="4" s="1"/>
  <c r="AW541" i="4"/>
  <c r="BK541" i="4" s="1"/>
  <c r="AR541" i="4"/>
  <c r="AN541" i="4"/>
  <c r="AK541" i="4"/>
  <c r="BH541" i="4" s="1"/>
  <c r="K541" i="4"/>
  <c r="J541" i="4"/>
  <c r="I541" i="4"/>
  <c r="H541" i="4"/>
  <c r="G541" i="4"/>
  <c r="AX540" i="4"/>
  <c r="AW540" i="4"/>
  <c r="BI540" i="4" s="1"/>
  <c r="AR540" i="4"/>
  <c r="BG540" i="4" s="1"/>
  <c r="AN540" i="4"/>
  <c r="AK540" i="4"/>
  <c r="BH540" i="4" s="1"/>
  <c r="K540" i="4"/>
  <c r="J540" i="4"/>
  <c r="I540" i="4"/>
  <c r="H540" i="4"/>
  <c r="G540" i="4"/>
  <c r="BG539" i="4"/>
  <c r="BA539" i="4"/>
  <c r="BC539" i="4" s="1"/>
  <c r="AY539" i="4"/>
  <c r="AX539" i="4"/>
  <c r="AZ539" i="4" s="1"/>
  <c r="AW539" i="4"/>
  <c r="BK539" i="4" s="1"/>
  <c r="AR539" i="4"/>
  <c r="AN539" i="4"/>
  <c r="AK539" i="4"/>
  <c r="BH539" i="4" s="1"/>
  <c r="K539" i="4"/>
  <c r="J539" i="4"/>
  <c r="I539" i="4"/>
  <c r="H539" i="4"/>
  <c r="G539" i="4"/>
  <c r="AX538" i="4"/>
  <c r="AW538" i="4"/>
  <c r="BI538" i="4" s="1"/>
  <c r="AR538" i="4"/>
  <c r="BG538" i="4" s="1"/>
  <c r="AN538" i="4"/>
  <c r="AK538" i="4"/>
  <c r="BH538" i="4" s="1"/>
  <c r="K538" i="4"/>
  <c r="J538" i="4"/>
  <c r="I538" i="4"/>
  <c r="H538" i="4"/>
  <c r="G538" i="4"/>
  <c r="BG537" i="4"/>
  <c r="BA537" i="4"/>
  <c r="BC537" i="4" s="1"/>
  <c r="AY537" i="4"/>
  <c r="AX537" i="4"/>
  <c r="AZ537" i="4" s="1"/>
  <c r="AW537" i="4"/>
  <c r="BK537" i="4" s="1"/>
  <c r="AR537" i="4"/>
  <c r="AN537" i="4"/>
  <c r="AK537" i="4"/>
  <c r="BH537" i="4" s="1"/>
  <c r="K537" i="4"/>
  <c r="J537" i="4"/>
  <c r="I537" i="4"/>
  <c r="H537" i="4"/>
  <c r="G537" i="4"/>
  <c r="AX536" i="4"/>
  <c r="AW536" i="4"/>
  <c r="BI536" i="4" s="1"/>
  <c r="AR536" i="4"/>
  <c r="BG536" i="4" s="1"/>
  <c r="AN536" i="4"/>
  <c r="AK536" i="4"/>
  <c r="BH536" i="4" s="1"/>
  <c r="K536" i="4"/>
  <c r="J536" i="4"/>
  <c r="I536" i="4"/>
  <c r="H536" i="4"/>
  <c r="G536" i="4"/>
  <c r="BG535" i="4"/>
  <c r="BA535" i="4"/>
  <c r="BC535" i="4" s="1"/>
  <c r="AY535" i="4"/>
  <c r="AX535" i="4"/>
  <c r="AZ535" i="4" s="1"/>
  <c r="AW535" i="4"/>
  <c r="BK535" i="4" s="1"/>
  <c r="AR535" i="4"/>
  <c r="AN535" i="4"/>
  <c r="AK535" i="4"/>
  <c r="BH535" i="4" s="1"/>
  <c r="K535" i="4"/>
  <c r="J535" i="4"/>
  <c r="I535" i="4"/>
  <c r="H535" i="4"/>
  <c r="G535" i="4"/>
  <c r="AX534" i="4"/>
  <c r="AW534" i="4"/>
  <c r="BI534" i="4" s="1"/>
  <c r="AR534" i="4"/>
  <c r="BG534" i="4" s="1"/>
  <c r="AN534" i="4"/>
  <c r="AK534" i="4"/>
  <c r="BH534" i="4" s="1"/>
  <c r="K534" i="4"/>
  <c r="J534" i="4"/>
  <c r="I534" i="4"/>
  <c r="H534" i="4"/>
  <c r="G534" i="4"/>
  <c r="BG533" i="4"/>
  <c r="BA533" i="4"/>
  <c r="BC533" i="4" s="1"/>
  <c r="AY533" i="4"/>
  <c r="AX533" i="4"/>
  <c r="AZ533" i="4" s="1"/>
  <c r="AW533" i="4"/>
  <c r="BK533" i="4" s="1"/>
  <c r="AR533" i="4"/>
  <c r="AN533" i="4"/>
  <c r="AK533" i="4"/>
  <c r="BH533" i="4" s="1"/>
  <c r="K533" i="4"/>
  <c r="J533" i="4"/>
  <c r="I533" i="4"/>
  <c r="H533" i="4"/>
  <c r="G533" i="4"/>
  <c r="AX532" i="4"/>
  <c r="AW532" i="4"/>
  <c r="BI532" i="4" s="1"/>
  <c r="AR532" i="4"/>
  <c r="BG532" i="4" s="1"/>
  <c r="AN532" i="4"/>
  <c r="AK532" i="4"/>
  <c r="BH532" i="4" s="1"/>
  <c r="K532" i="4"/>
  <c r="J532" i="4"/>
  <c r="I532" i="4"/>
  <c r="H532" i="4"/>
  <c r="G532" i="4"/>
  <c r="BG531" i="4"/>
  <c r="BA531" i="4"/>
  <c r="BC531" i="4" s="1"/>
  <c r="AY531" i="4"/>
  <c r="AX531" i="4"/>
  <c r="AZ531" i="4" s="1"/>
  <c r="AW531" i="4"/>
  <c r="BK531" i="4" s="1"/>
  <c r="AR531" i="4"/>
  <c r="AN531" i="4"/>
  <c r="AK531" i="4"/>
  <c r="BH531" i="4" s="1"/>
  <c r="K531" i="4"/>
  <c r="J531" i="4"/>
  <c r="I531" i="4"/>
  <c r="H531" i="4"/>
  <c r="G531" i="4"/>
  <c r="AX530" i="4"/>
  <c r="AW530" i="4"/>
  <c r="BI530" i="4" s="1"/>
  <c r="AR530" i="4"/>
  <c r="BG530" i="4" s="1"/>
  <c r="AN530" i="4"/>
  <c r="AK530" i="4"/>
  <c r="BH530" i="4" s="1"/>
  <c r="K530" i="4"/>
  <c r="J530" i="4"/>
  <c r="I530" i="4"/>
  <c r="H530" i="4"/>
  <c r="G530" i="4"/>
  <c r="BG529" i="4"/>
  <c r="BA529" i="4"/>
  <c r="BC529" i="4" s="1"/>
  <c r="AY529" i="4"/>
  <c r="AX529" i="4"/>
  <c r="AZ529" i="4" s="1"/>
  <c r="AW529" i="4"/>
  <c r="BK529" i="4" s="1"/>
  <c r="AR529" i="4"/>
  <c r="AN529" i="4"/>
  <c r="AK529" i="4"/>
  <c r="BH529" i="4" s="1"/>
  <c r="K529" i="4"/>
  <c r="J529" i="4"/>
  <c r="I529" i="4"/>
  <c r="H529" i="4"/>
  <c r="G529" i="4"/>
  <c r="AX528" i="4"/>
  <c r="AW528" i="4"/>
  <c r="BI528" i="4" s="1"/>
  <c r="AR528" i="4"/>
  <c r="BG528" i="4" s="1"/>
  <c r="AN528" i="4"/>
  <c r="AK528" i="4"/>
  <c r="BH528" i="4" s="1"/>
  <c r="K528" i="4"/>
  <c r="J528" i="4"/>
  <c r="I528" i="4"/>
  <c r="H528" i="4"/>
  <c r="G528" i="4"/>
  <c r="BG527" i="4"/>
  <c r="BA527" i="4"/>
  <c r="BC527" i="4" s="1"/>
  <c r="AY527" i="4"/>
  <c r="AX527" i="4"/>
  <c r="AZ527" i="4" s="1"/>
  <c r="AW527" i="4"/>
  <c r="BK527" i="4" s="1"/>
  <c r="AR527" i="4"/>
  <c r="AN527" i="4"/>
  <c r="AK527" i="4"/>
  <c r="BH527" i="4" s="1"/>
  <c r="K527" i="4"/>
  <c r="J527" i="4"/>
  <c r="I527" i="4"/>
  <c r="H527" i="4"/>
  <c r="G527" i="4"/>
  <c r="AX526" i="4"/>
  <c r="AW526" i="4"/>
  <c r="BI526" i="4" s="1"/>
  <c r="AR526" i="4"/>
  <c r="BG526" i="4" s="1"/>
  <c r="AN526" i="4"/>
  <c r="AK526" i="4"/>
  <c r="BH526" i="4" s="1"/>
  <c r="K526" i="4"/>
  <c r="J526" i="4"/>
  <c r="I526" i="4"/>
  <c r="H526" i="4"/>
  <c r="G526" i="4"/>
  <c r="BG525" i="4"/>
  <c r="BA525" i="4"/>
  <c r="BC525" i="4" s="1"/>
  <c r="AY525" i="4"/>
  <c r="AX525" i="4"/>
  <c r="AZ525" i="4" s="1"/>
  <c r="AW525" i="4"/>
  <c r="BK525" i="4" s="1"/>
  <c r="AR525" i="4"/>
  <c r="AN525" i="4"/>
  <c r="AK525" i="4"/>
  <c r="BH525" i="4" s="1"/>
  <c r="K525" i="4"/>
  <c r="J525" i="4"/>
  <c r="I525" i="4"/>
  <c r="H525" i="4"/>
  <c r="G525" i="4"/>
  <c r="AX524" i="4"/>
  <c r="AW524" i="4"/>
  <c r="BI524" i="4" s="1"/>
  <c r="AR524" i="4"/>
  <c r="BG524" i="4" s="1"/>
  <c r="AN524" i="4"/>
  <c r="AK524" i="4"/>
  <c r="BH524" i="4" s="1"/>
  <c r="K524" i="4"/>
  <c r="J524" i="4"/>
  <c r="I524" i="4"/>
  <c r="H524" i="4"/>
  <c r="G524" i="4"/>
  <c r="BG523" i="4"/>
  <c r="BA523" i="4"/>
  <c r="BC523" i="4" s="1"/>
  <c r="AY523" i="4"/>
  <c r="AX523" i="4"/>
  <c r="AZ523" i="4" s="1"/>
  <c r="AW523" i="4"/>
  <c r="BK523" i="4" s="1"/>
  <c r="AR523" i="4"/>
  <c r="AN523" i="4"/>
  <c r="AK523" i="4"/>
  <c r="BH523" i="4" s="1"/>
  <c r="K523" i="4"/>
  <c r="J523" i="4"/>
  <c r="I523" i="4"/>
  <c r="H523" i="4"/>
  <c r="G523" i="4"/>
  <c r="AX522" i="4"/>
  <c r="AW522" i="4"/>
  <c r="BI522" i="4" s="1"/>
  <c r="AR522" i="4"/>
  <c r="BG522" i="4" s="1"/>
  <c r="AN522" i="4"/>
  <c r="AK522" i="4"/>
  <c r="BH522" i="4" s="1"/>
  <c r="K522" i="4"/>
  <c r="J522" i="4"/>
  <c r="I522" i="4"/>
  <c r="H522" i="4"/>
  <c r="G522" i="4"/>
  <c r="BG521" i="4"/>
  <c r="BA521" i="4"/>
  <c r="BC521" i="4" s="1"/>
  <c r="AY521" i="4"/>
  <c r="AX521" i="4"/>
  <c r="AZ521" i="4" s="1"/>
  <c r="AW521" i="4"/>
  <c r="BK521" i="4" s="1"/>
  <c r="AR521" i="4"/>
  <c r="AN521" i="4"/>
  <c r="AK521" i="4"/>
  <c r="BH521" i="4" s="1"/>
  <c r="K521" i="4"/>
  <c r="J521" i="4"/>
  <c r="I521" i="4"/>
  <c r="H521" i="4"/>
  <c r="G521" i="4"/>
  <c r="AX520" i="4"/>
  <c r="AW520" i="4"/>
  <c r="BI520" i="4" s="1"/>
  <c r="AR520" i="4"/>
  <c r="BG520" i="4" s="1"/>
  <c r="AN520" i="4"/>
  <c r="AK520" i="4"/>
  <c r="BH520" i="4" s="1"/>
  <c r="K520" i="4"/>
  <c r="J520" i="4"/>
  <c r="I520" i="4"/>
  <c r="H520" i="4"/>
  <c r="G520" i="4"/>
  <c r="BG519" i="4"/>
  <c r="BA519" i="4"/>
  <c r="BC519" i="4" s="1"/>
  <c r="AY519" i="4"/>
  <c r="AX519" i="4"/>
  <c r="AZ519" i="4" s="1"/>
  <c r="AW519" i="4"/>
  <c r="BK519" i="4" s="1"/>
  <c r="AR519" i="4"/>
  <c r="AN519" i="4"/>
  <c r="AK519" i="4"/>
  <c r="BH519" i="4" s="1"/>
  <c r="K519" i="4"/>
  <c r="J519" i="4"/>
  <c r="I519" i="4"/>
  <c r="H519" i="4"/>
  <c r="G519" i="4"/>
  <c r="AX518" i="4"/>
  <c r="AW518" i="4"/>
  <c r="BI518" i="4" s="1"/>
  <c r="AR518" i="4"/>
  <c r="BG518" i="4" s="1"/>
  <c r="AN518" i="4"/>
  <c r="AK518" i="4"/>
  <c r="BH518" i="4" s="1"/>
  <c r="K518" i="4"/>
  <c r="J518" i="4"/>
  <c r="I518" i="4"/>
  <c r="H518" i="4"/>
  <c r="G518" i="4"/>
  <c r="BG517" i="4"/>
  <c r="BA517" i="4"/>
  <c r="BC517" i="4" s="1"/>
  <c r="AY517" i="4"/>
  <c r="AX517" i="4"/>
  <c r="AZ517" i="4" s="1"/>
  <c r="AW517" i="4"/>
  <c r="BK517" i="4" s="1"/>
  <c r="AR517" i="4"/>
  <c r="AN517" i="4"/>
  <c r="AK517" i="4"/>
  <c r="BH517" i="4" s="1"/>
  <c r="K517" i="4"/>
  <c r="J517" i="4"/>
  <c r="I517" i="4"/>
  <c r="H517" i="4"/>
  <c r="G517" i="4"/>
  <c r="AX516" i="4"/>
  <c r="AW516" i="4"/>
  <c r="BI516" i="4" s="1"/>
  <c r="AR516" i="4"/>
  <c r="BG516" i="4" s="1"/>
  <c r="AN516" i="4"/>
  <c r="AK516" i="4"/>
  <c r="BH516" i="4" s="1"/>
  <c r="K516" i="4"/>
  <c r="J516" i="4"/>
  <c r="I516" i="4"/>
  <c r="H516" i="4"/>
  <c r="G516" i="4"/>
  <c r="BG515" i="4"/>
  <c r="BA515" i="4"/>
  <c r="BC515" i="4" s="1"/>
  <c r="AY515" i="4"/>
  <c r="AX515" i="4"/>
  <c r="AZ515" i="4" s="1"/>
  <c r="AW515" i="4"/>
  <c r="BK515" i="4" s="1"/>
  <c r="AR515" i="4"/>
  <c r="AN515" i="4"/>
  <c r="AK515" i="4"/>
  <c r="BH515" i="4" s="1"/>
  <c r="K515" i="4"/>
  <c r="J515" i="4"/>
  <c r="I515" i="4"/>
  <c r="H515" i="4"/>
  <c r="G515" i="4"/>
  <c r="AX514" i="4"/>
  <c r="AW514" i="4"/>
  <c r="BI514" i="4" s="1"/>
  <c r="AR514" i="4"/>
  <c r="BG514" i="4" s="1"/>
  <c r="AN514" i="4"/>
  <c r="AK514" i="4"/>
  <c r="BH514" i="4" s="1"/>
  <c r="K514" i="4"/>
  <c r="J514" i="4"/>
  <c r="I514" i="4"/>
  <c r="H514" i="4"/>
  <c r="G514" i="4"/>
  <c r="BG513" i="4"/>
  <c r="BA513" i="4"/>
  <c r="BC513" i="4" s="1"/>
  <c r="AY513" i="4"/>
  <c r="AX513" i="4"/>
  <c r="AZ513" i="4" s="1"/>
  <c r="AW513" i="4"/>
  <c r="BK513" i="4" s="1"/>
  <c r="AR513" i="4"/>
  <c r="AN513" i="4"/>
  <c r="AK513" i="4"/>
  <c r="BH513" i="4" s="1"/>
  <c r="K513" i="4"/>
  <c r="J513" i="4"/>
  <c r="I513" i="4"/>
  <c r="H513" i="4"/>
  <c r="G513" i="4"/>
  <c r="AX512" i="4"/>
  <c r="AW512" i="4"/>
  <c r="BI512" i="4" s="1"/>
  <c r="AR512" i="4"/>
  <c r="BG512" i="4" s="1"/>
  <c r="AN512" i="4"/>
  <c r="AK512" i="4"/>
  <c r="BH512" i="4" s="1"/>
  <c r="K512" i="4"/>
  <c r="J512" i="4"/>
  <c r="I512" i="4"/>
  <c r="H512" i="4"/>
  <c r="G512" i="4"/>
  <c r="BG511" i="4"/>
  <c r="BA511" i="4"/>
  <c r="BC511" i="4" s="1"/>
  <c r="AY511" i="4"/>
  <c r="AX511" i="4"/>
  <c r="AZ511" i="4" s="1"/>
  <c r="AW511" i="4"/>
  <c r="BK511" i="4" s="1"/>
  <c r="AR511" i="4"/>
  <c r="AN511" i="4"/>
  <c r="AK511" i="4"/>
  <c r="BH511" i="4" s="1"/>
  <c r="K511" i="4"/>
  <c r="J511" i="4"/>
  <c r="I511" i="4"/>
  <c r="H511" i="4"/>
  <c r="G511" i="4"/>
  <c r="AX510" i="4"/>
  <c r="AW510" i="4"/>
  <c r="BI510" i="4" s="1"/>
  <c r="AR510" i="4"/>
  <c r="BG510" i="4" s="1"/>
  <c r="AN510" i="4"/>
  <c r="AK510" i="4"/>
  <c r="BH510" i="4" s="1"/>
  <c r="K510" i="4"/>
  <c r="J510" i="4"/>
  <c r="I510" i="4"/>
  <c r="H510" i="4"/>
  <c r="G510" i="4"/>
  <c r="BG509" i="4"/>
  <c r="BA509" i="4"/>
  <c r="BC509" i="4" s="1"/>
  <c r="AY509" i="4"/>
  <c r="AX509" i="4"/>
  <c r="AZ509" i="4" s="1"/>
  <c r="AW509" i="4"/>
  <c r="BK509" i="4" s="1"/>
  <c r="AR509" i="4"/>
  <c r="AN509" i="4"/>
  <c r="AK509" i="4"/>
  <c r="BH509" i="4" s="1"/>
  <c r="K509" i="4"/>
  <c r="J509" i="4"/>
  <c r="I509" i="4"/>
  <c r="H509" i="4"/>
  <c r="G509" i="4"/>
  <c r="AX508" i="4"/>
  <c r="AW508" i="4"/>
  <c r="BI508" i="4" s="1"/>
  <c r="AR508" i="4"/>
  <c r="BG508" i="4" s="1"/>
  <c r="AN508" i="4"/>
  <c r="AK508" i="4"/>
  <c r="BH508" i="4" s="1"/>
  <c r="K508" i="4"/>
  <c r="J508" i="4"/>
  <c r="I508" i="4"/>
  <c r="H508" i="4"/>
  <c r="G508" i="4"/>
  <c r="BG507" i="4"/>
  <c r="BA507" i="4"/>
  <c r="BC507" i="4" s="1"/>
  <c r="AY507" i="4"/>
  <c r="AX507" i="4"/>
  <c r="AZ507" i="4" s="1"/>
  <c r="AW507" i="4"/>
  <c r="BK507" i="4" s="1"/>
  <c r="AR507" i="4"/>
  <c r="AN507" i="4"/>
  <c r="AK507" i="4"/>
  <c r="BH507" i="4" s="1"/>
  <c r="K507" i="4"/>
  <c r="J507" i="4"/>
  <c r="I507" i="4"/>
  <c r="H507" i="4"/>
  <c r="G507" i="4"/>
  <c r="AX506" i="4"/>
  <c r="AW506" i="4"/>
  <c r="BI506" i="4" s="1"/>
  <c r="AR506" i="4"/>
  <c r="BG506" i="4" s="1"/>
  <c r="AN506" i="4"/>
  <c r="AK506" i="4"/>
  <c r="BH506" i="4" s="1"/>
  <c r="K506" i="4"/>
  <c r="J506" i="4"/>
  <c r="I506" i="4"/>
  <c r="H506" i="4"/>
  <c r="G506" i="4"/>
  <c r="BG505" i="4"/>
  <c r="BA505" i="4"/>
  <c r="BC505" i="4" s="1"/>
  <c r="AY505" i="4"/>
  <c r="AX505" i="4"/>
  <c r="AZ505" i="4" s="1"/>
  <c r="AW505" i="4"/>
  <c r="BK505" i="4" s="1"/>
  <c r="AR505" i="4"/>
  <c r="AN505" i="4"/>
  <c r="AK505" i="4"/>
  <c r="BH505" i="4" s="1"/>
  <c r="K505" i="4"/>
  <c r="J505" i="4"/>
  <c r="I505" i="4"/>
  <c r="H505" i="4"/>
  <c r="G505" i="4"/>
  <c r="AX504" i="4"/>
  <c r="AW504" i="4"/>
  <c r="BI504" i="4" s="1"/>
  <c r="AR504" i="4"/>
  <c r="BG504" i="4" s="1"/>
  <c r="AN504" i="4"/>
  <c r="AK504" i="4"/>
  <c r="BH504" i="4" s="1"/>
  <c r="K504" i="4"/>
  <c r="J504" i="4"/>
  <c r="I504" i="4"/>
  <c r="H504" i="4"/>
  <c r="G504" i="4"/>
  <c r="BG503" i="4"/>
  <c r="BA503" i="4"/>
  <c r="BC503" i="4" s="1"/>
  <c r="AY503" i="4"/>
  <c r="AX503" i="4"/>
  <c r="AZ503" i="4" s="1"/>
  <c r="AW503" i="4"/>
  <c r="BK503" i="4" s="1"/>
  <c r="AR503" i="4"/>
  <c r="AN503" i="4"/>
  <c r="AK503" i="4"/>
  <c r="BH503" i="4" s="1"/>
  <c r="K503" i="4"/>
  <c r="J503" i="4"/>
  <c r="I503" i="4"/>
  <c r="H503" i="4"/>
  <c r="G503" i="4"/>
  <c r="AX502" i="4"/>
  <c r="AW502" i="4"/>
  <c r="BI502" i="4" s="1"/>
  <c r="AR502" i="4"/>
  <c r="BG502" i="4" s="1"/>
  <c r="AN502" i="4"/>
  <c r="AK502" i="4"/>
  <c r="BH502" i="4" s="1"/>
  <c r="K502" i="4"/>
  <c r="J502" i="4"/>
  <c r="I502" i="4"/>
  <c r="H502" i="4"/>
  <c r="G502" i="4"/>
  <c r="BG501" i="4"/>
  <c r="BA501" i="4"/>
  <c r="BC501" i="4" s="1"/>
  <c r="AY501" i="4"/>
  <c r="AX501" i="4"/>
  <c r="AZ501" i="4" s="1"/>
  <c r="AW501" i="4"/>
  <c r="BK501" i="4" s="1"/>
  <c r="AR501" i="4"/>
  <c r="AN501" i="4"/>
  <c r="AK501" i="4"/>
  <c r="BH501" i="4" s="1"/>
  <c r="K501" i="4"/>
  <c r="J501" i="4"/>
  <c r="I501" i="4"/>
  <c r="H501" i="4"/>
  <c r="G501" i="4"/>
  <c r="AX500" i="4"/>
  <c r="AW500" i="4"/>
  <c r="BI500" i="4" s="1"/>
  <c r="AR500" i="4"/>
  <c r="BG500" i="4" s="1"/>
  <c r="AN500" i="4"/>
  <c r="AK500" i="4"/>
  <c r="BH500" i="4" s="1"/>
  <c r="K500" i="4"/>
  <c r="J500" i="4"/>
  <c r="I500" i="4"/>
  <c r="H500" i="4"/>
  <c r="G500" i="4"/>
  <c r="BG499" i="4"/>
  <c r="BA499" i="4"/>
  <c r="BC499" i="4" s="1"/>
  <c r="AY499" i="4"/>
  <c r="AX499" i="4"/>
  <c r="AZ499" i="4" s="1"/>
  <c r="AW499" i="4"/>
  <c r="BK499" i="4" s="1"/>
  <c r="AR499" i="4"/>
  <c r="AN499" i="4"/>
  <c r="AK499" i="4"/>
  <c r="BH499" i="4" s="1"/>
  <c r="K499" i="4"/>
  <c r="J499" i="4"/>
  <c r="I499" i="4"/>
  <c r="H499" i="4"/>
  <c r="G499" i="4"/>
  <c r="AX498" i="4"/>
  <c r="AW498" i="4"/>
  <c r="BI498" i="4" s="1"/>
  <c r="AR498" i="4"/>
  <c r="BG498" i="4" s="1"/>
  <c r="AN498" i="4"/>
  <c r="AK498" i="4"/>
  <c r="BH498" i="4" s="1"/>
  <c r="K498" i="4"/>
  <c r="J498" i="4"/>
  <c r="I498" i="4"/>
  <c r="H498" i="4"/>
  <c r="G498" i="4"/>
  <c r="BG497" i="4"/>
  <c r="BA497" i="4"/>
  <c r="BC497" i="4" s="1"/>
  <c r="AY497" i="4"/>
  <c r="AX497" i="4"/>
  <c r="AZ497" i="4" s="1"/>
  <c r="AW497" i="4"/>
  <c r="BK497" i="4" s="1"/>
  <c r="AR497" i="4"/>
  <c r="AN497" i="4"/>
  <c r="AK497" i="4"/>
  <c r="BH497" i="4" s="1"/>
  <c r="K497" i="4"/>
  <c r="J497" i="4"/>
  <c r="I497" i="4"/>
  <c r="H497" i="4"/>
  <c r="G497" i="4"/>
  <c r="AX496" i="4"/>
  <c r="AW496" i="4"/>
  <c r="BI496" i="4" s="1"/>
  <c r="AR496" i="4"/>
  <c r="BG496" i="4" s="1"/>
  <c r="AN496" i="4"/>
  <c r="AK496" i="4"/>
  <c r="BH496" i="4" s="1"/>
  <c r="K496" i="4"/>
  <c r="J496" i="4"/>
  <c r="I496" i="4"/>
  <c r="H496" i="4"/>
  <c r="G496" i="4"/>
  <c r="BG495" i="4"/>
  <c r="BA495" i="4"/>
  <c r="BC495" i="4" s="1"/>
  <c r="AY495" i="4"/>
  <c r="AX495" i="4"/>
  <c r="AZ495" i="4" s="1"/>
  <c r="AW495" i="4"/>
  <c r="BK495" i="4" s="1"/>
  <c r="AR495" i="4"/>
  <c r="AN495" i="4"/>
  <c r="AK495" i="4"/>
  <c r="BH495" i="4" s="1"/>
  <c r="K495" i="4"/>
  <c r="J495" i="4"/>
  <c r="I495" i="4"/>
  <c r="H495" i="4"/>
  <c r="G495" i="4"/>
  <c r="AX494" i="4"/>
  <c r="AW494" i="4"/>
  <c r="BI494" i="4" s="1"/>
  <c r="AR494" i="4"/>
  <c r="BG494" i="4" s="1"/>
  <c r="AN494" i="4"/>
  <c r="AK494" i="4"/>
  <c r="BH494" i="4" s="1"/>
  <c r="K494" i="4"/>
  <c r="J494" i="4"/>
  <c r="I494" i="4"/>
  <c r="H494" i="4"/>
  <c r="G494" i="4"/>
  <c r="BG493" i="4"/>
  <c r="BA493" i="4"/>
  <c r="BC493" i="4" s="1"/>
  <c r="AY493" i="4"/>
  <c r="AX493" i="4"/>
  <c r="AZ493" i="4" s="1"/>
  <c r="AW493" i="4"/>
  <c r="BK493" i="4" s="1"/>
  <c r="AR493" i="4"/>
  <c r="AN493" i="4"/>
  <c r="AK493" i="4"/>
  <c r="BH493" i="4" s="1"/>
  <c r="K493" i="4"/>
  <c r="J493" i="4"/>
  <c r="I493" i="4"/>
  <c r="H493" i="4"/>
  <c r="G493" i="4"/>
  <c r="AX492" i="4"/>
  <c r="AW492" i="4"/>
  <c r="BI492" i="4" s="1"/>
  <c r="AR492" i="4"/>
  <c r="BG492" i="4" s="1"/>
  <c r="AN492" i="4"/>
  <c r="AK492" i="4"/>
  <c r="BH492" i="4" s="1"/>
  <c r="K492" i="4"/>
  <c r="J492" i="4"/>
  <c r="I492" i="4"/>
  <c r="H492" i="4"/>
  <c r="G492" i="4"/>
  <c r="BG491" i="4"/>
  <c r="BA491" i="4"/>
  <c r="BC491" i="4" s="1"/>
  <c r="AY491" i="4"/>
  <c r="AX491" i="4"/>
  <c r="AZ491" i="4" s="1"/>
  <c r="AW491" i="4"/>
  <c r="BK491" i="4" s="1"/>
  <c r="AR491" i="4"/>
  <c r="AN491" i="4"/>
  <c r="AK491" i="4"/>
  <c r="BH491" i="4" s="1"/>
  <c r="K491" i="4"/>
  <c r="J491" i="4"/>
  <c r="I491" i="4"/>
  <c r="H491" i="4"/>
  <c r="G491" i="4"/>
  <c r="AX490" i="4"/>
  <c r="AW490" i="4"/>
  <c r="BI490" i="4" s="1"/>
  <c r="AR490" i="4"/>
  <c r="BG490" i="4" s="1"/>
  <c r="AN490" i="4"/>
  <c r="AK490" i="4"/>
  <c r="BH490" i="4" s="1"/>
  <c r="K490" i="4"/>
  <c r="J490" i="4"/>
  <c r="I490" i="4"/>
  <c r="H490" i="4"/>
  <c r="G490" i="4"/>
  <c r="BG489" i="4"/>
  <c r="BA489" i="4"/>
  <c r="BC489" i="4" s="1"/>
  <c r="AY489" i="4"/>
  <c r="AX489" i="4"/>
  <c r="AZ489" i="4" s="1"/>
  <c r="AW489" i="4"/>
  <c r="BK489" i="4" s="1"/>
  <c r="AR489" i="4"/>
  <c r="AN489" i="4"/>
  <c r="AK489" i="4"/>
  <c r="BH489" i="4" s="1"/>
  <c r="K489" i="4"/>
  <c r="J489" i="4"/>
  <c r="I489" i="4"/>
  <c r="H489" i="4"/>
  <c r="G489" i="4"/>
  <c r="AX488" i="4"/>
  <c r="AW488" i="4"/>
  <c r="BI488" i="4" s="1"/>
  <c r="AR488" i="4"/>
  <c r="BG488" i="4" s="1"/>
  <c r="AN488" i="4"/>
  <c r="AK488" i="4"/>
  <c r="BH488" i="4" s="1"/>
  <c r="K488" i="4"/>
  <c r="J488" i="4"/>
  <c r="I488" i="4"/>
  <c r="H488" i="4"/>
  <c r="G488" i="4"/>
  <c r="BG487" i="4"/>
  <c r="BA487" i="4"/>
  <c r="BC487" i="4" s="1"/>
  <c r="AY487" i="4"/>
  <c r="AX487" i="4"/>
  <c r="AZ487" i="4" s="1"/>
  <c r="AW487" i="4"/>
  <c r="BK487" i="4" s="1"/>
  <c r="AR487" i="4"/>
  <c r="AN487" i="4"/>
  <c r="AK487" i="4"/>
  <c r="BH487" i="4" s="1"/>
  <c r="K487" i="4"/>
  <c r="J487" i="4"/>
  <c r="I487" i="4"/>
  <c r="H487" i="4"/>
  <c r="G487" i="4"/>
  <c r="AX486" i="4"/>
  <c r="AW486" i="4"/>
  <c r="BI486" i="4" s="1"/>
  <c r="AR486" i="4"/>
  <c r="BG486" i="4" s="1"/>
  <c r="AN486" i="4"/>
  <c r="AK486" i="4"/>
  <c r="BH486" i="4" s="1"/>
  <c r="K486" i="4"/>
  <c r="J486" i="4"/>
  <c r="I486" i="4"/>
  <c r="H486" i="4"/>
  <c r="G486" i="4"/>
  <c r="BG485" i="4"/>
  <c r="BA485" i="4"/>
  <c r="BC485" i="4" s="1"/>
  <c r="AY485" i="4"/>
  <c r="AX485" i="4"/>
  <c r="AZ485" i="4" s="1"/>
  <c r="AW485" i="4"/>
  <c r="BK485" i="4" s="1"/>
  <c r="AR485" i="4"/>
  <c r="AN485" i="4"/>
  <c r="AK485" i="4"/>
  <c r="BH485" i="4" s="1"/>
  <c r="K485" i="4"/>
  <c r="J485" i="4"/>
  <c r="I485" i="4"/>
  <c r="H485" i="4"/>
  <c r="G485" i="4"/>
  <c r="AX484" i="4"/>
  <c r="AW484" i="4"/>
  <c r="BI484" i="4" s="1"/>
  <c r="AR484" i="4"/>
  <c r="BG484" i="4" s="1"/>
  <c r="AN484" i="4"/>
  <c r="AK484" i="4"/>
  <c r="BH484" i="4" s="1"/>
  <c r="K484" i="4"/>
  <c r="J484" i="4"/>
  <c r="I484" i="4"/>
  <c r="H484" i="4"/>
  <c r="G484" i="4"/>
  <c r="BG483" i="4"/>
  <c r="BA483" i="4"/>
  <c r="BC483" i="4" s="1"/>
  <c r="AY483" i="4"/>
  <c r="AX483" i="4"/>
  <c r="AZ483" i="4" s="1"/>
  <c r="AW483" i="4"/>
  <c r="BK483" i="4" s="1"/>
  <c r="AR483" i="4"/>
  <c r="AN483" i="4"/>
  <c r="AK483" i="4"/>
  <c r="BH483" i="4" s="1"/>
  <c r="K483" i="4"/>
  <c r="J483" i="4"/>
  <c r="I483" i="4"/>
  <c r="H483" i="4"/>
  <c r="G483" i="4"/>
  <c r="AX482" i="4"/>
  <c r="AW482" i="4"/>
  <c r="BI482" i="4" s="1"/>
  <c r="AR482" i="4"/>
  <c r="BG482" i="4" s="1"/>
  <c r="AN482" i="4"/>
  <c r="AK482" i="4"/>
  <c r="BH482" i="4" s="1"/>
  <c r="K482" i="4"/>
  <c r="J482" i="4"/>
  <c r="I482" i="4"/>
  <c r="H482" i="4"/>
  <c r="G482" i="4"/>
  <c r="BG481" i="4"/>
  <c r="BA481" i="4"/>
  <c r="BC481" i="4" s="1"/>
  <c r="AY481" i="4"/>
  <c r="AX481" i="4"/>
  <c r="AZ481" i="4" s="1"/>
  <c r="AW481" i="4"/>
  <c r="BK481" i="4" s="1"/>
  <c r="AR481" i="4"/>
  <c r="AN481" i="4"/>
  <c r="AK481" i="4"/>
  <c r="BH481" i="4" s="1"/>
  <c r="K481" i="4"/>
  <c r="J481" i="4"/>
  <c r="I481" i="4"/>
  <c r="H481" i="4"/>
  <c r="G481" i="4"/>
  <c r="AX480" i="4"/>
  <c r="AW480" i="4"/>
  <c r="BI480" i="4" s="1"/>
  <c r="AR480" i="4"/>
  <c r="BG480" i="4" s="1"/>
  <c r="AN480" i="4"/>
  <c r="AK480" i="4"/>
  <c r="BH480" i="4" s="1"/>
  <c r="K480" i="4"/>
  <c r="J480" i="4"/>
  <c r="I480" i="4"/>
  <c r="H480" i="4"/>
  <c r="G480" i="4"/>
  <c r="BG479" i="4"/>
  <c r="BA479" i="4"/>
  <c r="BC479" i="4" s="1"/>
  <c r="AY479" i="4"/>
  <c r="AX479" i="4"/>
  <c r="AZ479" i="4" s="1"/>
  <c r="AW479" i="4"/>
  <c r="BK479" i="4" s="1"/>
  <c r="AR479" i="4"/>
  <c r="AN479" i="4"/>
  <c r="AK479" i="4"/>
  <c r="BH479" i="4" s="1"/>
  <c r="K479" i="4"/>
  <c r="J479" i="4"/>
  <c r="I479" i="4"/>
  <c r="H479" i="4"/>
  <c r="G479" i="4"/>
  <c r="AX478" i="4"/>
  <c r="AW478" i="4"/>
  <c r="BI478" i="4" s="1"/>
  <c r="AR478" i="4"/>
  <c r="BG478" i="4" s="1"/>
  <c r="AN478" i="4"/>
  <c r="AK478" i="4"/>
  <c r="BH478" i="4" s="1"/>
  <c r="K478" i="4"/>
  <c r="J478" i="4"/>
  <c r="I478" i="4"/>
  <c r="H478" i="4"/>
  <c r="G478" i="4"/>
  <c r="BG477" i="4"/>
  <c r="BA477" i="4"/>
  <c r="BC477" i="4" s="1"/>
  <c r="AY477" i="4"/>
  <c r="AX477" i="4"/>
  <c r="AZ477" i="4" s="1"/>
  <c r="AW477" i="4"/>
  <c r="BK477" i="4" s="1"/>
  <c r="AR477" i="4"/>
  <c r="AN477" i="4"/>
  <c r="AK477" i="4"/>
  <c r="BH477" i="4" s="1"/>
  <c r="K477" i="4"/>
  <c r="J477" i="4"/>
  <c r="I477" i="4"/>
  <c r="H477" i="4"/>
  <c r="G477" i="4"/>
  <c r="AX476" i="4"/>
  <c r="AW476" i="4"/>
  <c r="BI476" i="4" s="1"/>
  <c r="AR476" i="4"/>
  <c r="BG476" i="4" s="1"/>
  <c r="AN476" i="4"/>
  <c r="AK476" i="4"/>
  <c r="BH476" i="4" s="1"/>
  <c r="K476" i="4"/>
  <c r="J476" i="4"/>
  <c r="I476" i="4"/>
  <c r="H476" i="4"/>
  <c r="G476" i="4"/>
  <c r="BG475" i="4"/>
  <c r="BA475" i="4"/>
  <c r="BC475" i="4" s="1"/>
  <c r="AY475" i="4"/>
  <c r="AX475" i="4"/>
  <c r="AZ475" i="4" s="1"/>
  <c r="AW475" i="4"/>
  <c r="BK475" i="4" s="1"/>
  <c r="AR475" i="4"/>
  <c r="AN475" i="4"/>
  <c r="AK475" i="4"/>
  <c r="BH475" i="4" s="1"/>
  <c r="K475" i="4"/>
  <c r="J475" i="4"/>
  <c r="I475" i="4"/>
  <c r="H475" i="4"/>
  <c r="G475" i="4"/>
  <c r="AX474" i="4"/>
  <c r="AW474" i="4"/>
  <c r="BI474" i="4" s="1"/>
  <c r="AR474" i="4"/>
  <c r="BG474" i="4" s="1"/>
  <c r="AN474" i="4"/>
  <c r="AK474" i="4"/>
  <c r="BH474" i="4" s="1"/>
  <c r="K474" i="4"/>
  <c r="J474" i="4"/>
  <c r="I474" i="4"/>
  <c r="H474" i="4"/>
  <c r="G474" i="4"/>
  <c r="BG473" i="4"/>
  <c r="BA473" i="4"/>
  <c r="BC473" i="4" s="1"/>
  <c r="AY473" i="4"/>
  <c r="AX473" i="4"/>
  <c r="AZ473" i="4" s="1"/>
  <c r="AW473" i="4"/>
  <c r="BK473" i="4" s="1"/>
  <c r="AR473" i="4"/>
  <c r="AN473" i="4"/>
  <c r="AK473" i="4"/>
  <c r="BH473" i="4" s="1"/>
  <c r="K473" i="4"/>
  <c r="J473" i="4"/>
  <c r="I473" i="4"/>
  <c r="H473" i="4"/>
  <c r="G473" i="4"/>
  <c r="AX472" i="4"/>
  <c r="AW472" i="4"/>
  <c r="BI472" i="4" s="1"/>
  <c r="AR472" i="4"/>
  <c r="BG472" i="4" s="1"/>
  <c r="AN472" i="4"/>
  <c r="AK472" i="4"/>
  <c r="BH472" i="4" s="1"/>
  <c r="K472" i="4"/>
  <c r="J472" i="4"/>
  <c r="I472" i="4"/>
  <c r="H472" i="4"/>
  <c r="G472" i="4"/>
  <c r="BG471" i="4"/>
  <c r="BA471" i="4"/>
  <c r="BC471" i="4" s="1"/>
  <c r="AY471" i="4"/>
  <c r="AX471" i="4"/>
  <c r="AZ471" i="4" s="1"/>
  <c r="AW471" i="4"/>
  <c r="BK471" i="4" s="1"/>
  <c r="AR471" i="4"/>
  <c r="AN471" i="4"/>
  <c r="AK471" i="4"/>
  <c r="BH471" i="4" s="1"/>
  <c r="K471" i="4"/>
  <c r="J471" i="4"/>
  <c r="I471" i="4"/>
  <c r="H471" i="4"/>
  <c r="G471" i="4"/>
  <c r="AX470" i="4"/>
  <c r="AW470" i="4"/>
  <c r="BI470" i="4" s="1"/>
  <c r="AR470" i="4"/>
  <c r="BG470" i="4" s="1"/>
  <c r="AN470" i="4"/>
  <c r="AK470" i="4"/>
  <c r="BH470" i="4" s="1"/>
  <c r="K470" i="4"/>
  <c r="J470" i="4"/>
  <c r="I470" i="4"/>
  <c r="H470" i="4"/>
  <c r="G470" i="4"/>
  <c r="BG469" i="4"/>
  <c r="BA469" i="4"/>
  <c r="BC469" i="4" s="1"/>
  <c r="AY469" i="4"/>
  <c r="AX469" i="4"/>
  <c r="AZ469" i="4" s="1"/>
  <c r="AW469" i="4"/>
  <c r="BK469" i="4" s="1"/>
  <c r="AR469" i="4"/>
  <c r="AN469" i="4"/>
  <c r="AK469" i="4"/>
  <c r="BH469" i="4" s="1"/>
  <c r="K469" i="4"/>
  <c r="J469" i="4"/>
  <c r="I469" i="4"/>
  <c r="H469" i="4"/>
  <c r="G469" i="4"/>
  <c r="AX468" i="4"/>
  <c r="AW468" i="4"/>
  <c r="BI468" i="4" s="1"/>
  <c r="AR468" i="4"/>
  <c r="BG468" i="4" s="1"/>
  <c r="AN468" i="4"/>
  <c r="AK468" i="4"/>
  <c r="BH468" i="4" s="1"/>
  <c r="K468" i="4"/>
  <c r="J468" i="4"/>
  <c r="I468" i="4"/>
  <c r="H468" i="4"/>
  <c r="G468" i="4"/>
  <c r="BG467" i="4"/>
  <c r="BA467" i="4"/>
  <c r="BC467" i="4" s="1"/>
  <c r="AY467" i="4"/>
  <c r="AX467" i="4"/>
  <c r="AZ467" i="4" s="1"/>
  <c r="AW467" i="4"/>
  <c r="BK467" i="4" s="1"/>
  <c r="AR467" i="4"/>
  <c r="AN467" i="4"/>
  <c r="AK467" i="4"/>
  <c r="BH467" i="4" s="1"/>
  <c r="K467" i="4"/>
  <c r="J467" i="4"/>
  <c r="I467" i="4"/>
  <c r="H467" i="4"/>
  <c r="G467" i="4"/>
  <c r="BH466" i="4"/>
  <c r="BD466" i="4"/>
  <c r="BE466" i="4" s="1"/>
  <c r="AX466" i="4"/>
  <c r="AW466" i="4"/>
  <c r="BI466" i="4" s="1"/>
  <c r="AR466" i="4"/>
  <c r="AN466" i="4"/>
  <c r="AK466" i="4"/>
  <c r="K466" i="4"/>
  <c r="J466" i="4"/>
  <c r="I466" i="4"/>
  <c r="H466" i="4"/>
  <c r="G466" i="4"/>
  <c r="BI465" i="4"/>
  <c r="BG465" i="4"/>
  <c r="BA465" i="4"/>
  <c r="BB465" i="4" s="1"/>
  <c r="AY465" i="4"/>
  <c r="AX465" i="4"/>
  <c r="AZ465" i="4" s="1"/>
  <c r="AW465" i="4"/>
  <c r="BK465" i="4" s="1"/>
  <c r="AR465" i="4"/>
  <c r="AN465" i="4"/>
  <c r="AK465" i="4"/>
  <c r="BH465" i="4" s="1"/>
  <c r="K465" i="4"/>
  <c r="J465" i="4"/>
  <c r="I465" i="4"/>
  <c r="H465" i="4"/>
  <c r="G465" i="4"/>
  <c r="AX464" i="4"/>
  <c r="AW464" i="4"/>
  <c r="BI464" i="4" s="1"/>
  <c r="AR464" i="4"/>
  <c r="AN464" i="4"/>
  <c r="AK464" i="4"/>
  <c r="BH464" i="4" s="1"/>
  <c r="K464" i="4"/>
  <c r="J464" i="4"/>
  <c r="I464" i="4"/>
  <c r="H464" i="4"/>
  <c r="G464" i="4"/>
  <c r="BG463" i="4"/>
  <c r="BC463" i="4"/>
  <c r="BA463" i="4"/>
  <c r="BB463" i="4" s="1"/>
  <c r="AY463" i="4"/>
  <c r="AX463" i="4"/>
  <c r="AW463" i="4"/>
  <c r="BK463" i="4" s="1"/>
  <c r="AR463" i="4"/>
  <c r="AN463" i="4"/>
  <c r="AK463" i="4"/>
  <c r="BH463" i="4" s="1"/>
  <c r="K463" i="4"/>
  <c r="J463" i="4"/>
  <c r="I463" i="4"/>
  <c r="H463" i="4"/>
  <c r="G463" i="4"/>
  <c r="BH462" i="4"/>
  <c r="BD462" i="4"/>
  <c r="BE462" i="4" s="1"/>
  <c r="AX462" i="4"/>
  <c r="AW462" i="4"/>
  <c r="BI462" i="4" s="1"/>
  <c r="AR462" i="4"/>
  <c r="AN462" i="4"/>
  <c r="AK462" i="4"/>
  <c r="K462" i="4"/>
  <c r="J462" i="4"/>
  <c r="I462" i="4"/>
  <c r="H462" i="4"/>
  <c r="G462" i="4"/>
  <c r="BI461" i="4"/>
  <c r="BG461" i="4"/>
  <c r="BA461" i="4"/>
  <c r="BB461" i="4" s="1"/>
  <c r="AY461" i="4"/>
  <c r="AX461" i="4"/>
  <c r="AZ461" i="4" s="1"/>
  <c r="AW461" i="4"/>
  <c r="BK461" i="4" s="1"/>
  <c r="AR461" i="4"/>
  <c r="AN461" i="4"/>
  <c r="AK461" i="4"/>
  <c r="BH461" i="4" s="1"/>
  <c r="K461" i="4"/>
  <c r="J461" i="4"/>
  <c r="I461" i="4"/>
  <c r="H461" i="4"/>
  <c r="G461" i="4"/>
  <c r="AX460" i="4"/>
  <c r="AW460" i="4"/>
  <c r="BI460" i="4" s="1"/>
  <c r="AR460" i="4"/>
  <c r="AN460" i="4"/>
  <c r="AK460" i="4"/>
  <c r="BH460" i="4" s="1"/>
  <c r="K460" i="4"/>
  <c r="J460" i="4"/>
  <c r="I460" i="4"/>
  <c r="H460" i="4"/>
  <c r="G460" i="4"/>
  <c r="BG459" i="4"/>
  <c r="BC459" i="4"/>
  <c r="BA459" i="4"/>
  <c r="BB459" i="4" s="1"/>
  <c r="AY459" i="4"/>
  <c r="AX459" i="4"/>
  <c r="AW459" i="4"/>
  <c r="BK459" i="4" s="1"/>
  <c r="AR459" i="4"/>
  <c r="AN459" i="4"/>
  <c r="AK459" i="4"/>
  <c r="BH459" i="4" s="1"/>
  <c r="K459" i="4"/>
  <c r="J459" i="4"/>
  <c r="I459" i="4"/>
  <c r="H459" i="4"/>
  <c r="G459" i="4"/>
  <c r="BH458" i="4"/>
  <c r="BD458" i="4"/>
  <c r="BE458" i="4" s="1"/>
  <c r="AX458" i="4"/>
  <c r="AW458" i="4"/>
  <c r="BI458" i="4" s="1"/>
  <c r="AR458" i="4"/>
  <c r="AN458" i="4"/>
  <c r="AK458" i="4"/>
  <c r="K458" i="4"/>
  <c r="J458" i="4"/>
  <c r="I458" i="4"/>
  <c r="H458" i="4"/>
  <c r="G458" i="4"/>
  <c r="BI457" i="4"/>
  <c r="BG457" i="4"/>
  <c r="BA457" i="4"/>
  <c r="BB457" i="4" s="1"/>
  <c r="AY457" i="4"/>
  <c r="AX457" i="4"/>
  <c r="AZ457" i="4" s="1"/>
  <c r="AW457" i="4"/>
  <c r="BK457" i="4" s="1"/>
  <c r="AR457" i="4"/>
  <c r="AN457" i="4"/>
  <c r="AK457" i="4"/>
  <c r="BH457" i="4" s="1"/>
  <c r="K457" i="4"/>
  <c r="J457" i="4"/>
  <c r="I457" i="4"/>
  <c r="H457" i="4"/>
  <c r="G457" i="4"/>
  <c r="AX456" i="4"/>
  <c r="AW456" i="4"/>
  <c r="BI456" i="4" s="1"/>
  <c r="AR456" i="4"/>
  <c r="AN456" i="4"/>
  <c r="AK456" i="4"/>
  <c r="BH456" i="4" s="1"/>
  <c r="K456" i="4"/>
  <c r="J456" i="4"/>
  <c r="I456" i="4"/>
  <c r="H456" i="4"/>
  <c r="G456" i="4"/>
  <c r="BG455" i="4"/>
  <c r="BC455" i="4"/>
  <c r="BA455" i="4"/>
  <c r="BB455" i="4" s="1"/>
  <c r="AY455" i="4"/>
  <c r="AX455" i="4"/>
  <c r="AW455" i="4"/>
  <c r="BK455" i="4" s="1"/>
  <c r="AR455" i="4"/>
  <c r="AN455" i="4"/>
  <c r="AK455" i="4"/>
  <c r="BH455" i="4" s="1"/>
  <c r="K455" i="4"/>
  <c r="J455" i="4"/>
  <c r="I455" i="4"/>
  <c r="H455" i="4"/>
  <c r="G455" i="4"/>
  <c r="BH454" i="4"/>
  <c r="BD454" i="4"/>
  <c r="BE454" i="4" s="1"/>
  <c r="AX454" i="4"/>
  <c r="AW454" i="4"/>
  <c r="BI454" i="4" s="1"/>
  <c r="AR454" i="4"/>
  <c r="AN454" i="4"/>
  <c r="AK454" i="4"/>
  <c r="K454" i="4"/>
  <c r="J454" i="4"/>
  <c r="I454" i="4"/>
  <c r="H454" i="4"/>
  <c r="G454" i="4"/>
  <c r="BI453" i="4"/>
  <c r="BG453" i="4"/>
  <c r="BA453" i="4"/>
  <c r="BB453" i="4" s="1"/>
  <c r="AY453" i="4"/>
  <c r="AX453" i="4"/>
  <c r="AZ453" i="4" s="1"/>
  <c r="AW453" i="4"/>
  <c r="BK453" i="4" s="1"/>
  <c r="AR453" i="4"/>
  <c r="AN453" i="4"/>
  <c r="AK453" i="4"/>
  <c r="BH453" i="4" s="1"/>
  <c r="K453" i="4"/>
  <c r="J453" i="4"/>
  <c r="I453" i="4"/>
  <c r="H453" i="4"/>
  <c r="G453" i="4"/>
  <c r="AX452" i="4"/>
  <c r="AW452" i="4"/>
  <c r="BI452" i="4" s="1"/>
  <c r="AR452" i="4"/>
  <c r="AN452" i="4"/>
  <c r="AK452" i="4"/>
  <c r="BH452" i="4" s="1"/>
  <c r="K452" i="4"/>
  <c r="J452" i="4"/>
  <c r="I452" i="4"/>
  <c r="H452" i="4"/>
  <c r="G452" i="4"/>
  <c r="BG451" i="4"/>
  <c r="BC451" i="4"/>
  <c r="BA451" i="4"/>
  <c r="BB451" i="4" s="1"/>
  <c r="AY451" i="4"/>
  <c r="AX451" i="4"/>
  <c r="AW451" i="4"/>
  <c r="BK451" i="4" s="1"/>
  <c r="AR451" i="4"/>
  <c r="AN451" i="4"/>
  <c r="AK451" i="4"/>
  <c r="BH451" i="4" s="1"/>
  <c r="K451" i="4"/>
  <c r="J451" i="4"/>
  <c r="I451" i="4"/>
  <c r="H451" i="4"/>
  <c r="G451" i="4"/>
  <c r="BH450" i="4"/>
  <c r="BD450" i="4"/>
  <c r="BE450" i="4" s="1"/>
  <c r="AX450" i="4"/>
  <c r="AW450" i="4"/>
  <c r="BI450" i="4" s="1"/>
  <c r="AR450" i="4"/>
  <c r="AN450" i="4"/>
  <c r="AK450" i="4"/>
  <c r="K450" i="4"/>
  <c r="J450" i="4"/>
  <c r="I450" i="4"/>
  <c r="H450" i="4"/>
  <c r="G450" i="4"/>
  <c r="BI449" i="4"/>
  <c r="BG449" i="4"/>
  <c r="BA449" i="4"/>
  <c r="BB449" i="4" s="1"/>
  <c r="AY449" i="4"/>
  <c r="AX449" i="4"/>
  <c r="AZ449" i="4" s="1"/>
  <c r="AW449" i="4"/>
  <c r="BK449" i="4" s="1"/>
  <c r="AR449" i="4"/>
  <c r="AN449" i="4"/>
  <c r="AK449" i="4"/>
  <c r="BH449" i="4" s="1"/>
  <c r="K449" i="4"/>
  <c r="J449" i="4"/>
  <c r="I449" i="4"/>
  <c r="H449" i="4"/>
  <c r="G449" i="4"/>
  <c r="AX448" i="4"/>
  <c r="AW448" i="4"/>
  <c r="BI448" i="4" s="1"/>
  <c r="AR448" i="4"/>
  <c r="AN448" i="4"/>
  <c r="AK448" i="4"/>
  <c r="BH448" i="4" s="1"/>
  <c r="K448" i="4"/>
  <c r="J448" i="4"/>
  <c r="I448" i="4"/>
  <c r="H448" i="4"/>
  <c r="G448" i="4"/>
  <c r="BG447" i="4"/>
  <c r="BC447" i="4"/>
  <c r="BA447" i="4"/>
  <c r="BB447" i="4" s="1"/>
  <c r="AY447" i="4"/>
  <c r="AX447" i="4"/>
  <c r="AW447" i="4"/>
  <c r="BK447" i="4" s="1"/>
  <c r="AR447" i="4"/>
  <c r="AN447" i="4"/>
  <c r="AK447" i="4"/>
  <c r="BH447" i="4" s="1"/>
  <c r="K447" i="4"/>
  <c r="J447" i="4"/>
  <c r="I447" i="4"/>
  <c r="H447" i="4"/>
  <c r="G447" i="4"/>
  <c r="BH446" i="4"/>
  <c r="BD446" i="4"/>
  <c r="BE446" i="4" s="1"/>
  <c r="AX446" i="4"/>
  <c r="AW446" i="4"/>
  <c r="BI446" i="4" s="1"/>
  <c r="AR446" i="4"/>
  <c r="AN446" i="4"/>
  <c r="AK446" i="4"/>
  <c r="K446" i="4"/>
  <c r="J446" i="4"/>
  <c r="I446" i="4"/>
  <c r="H446" i="4"/>
  <c r="G446" i="4"/>
  <c r="BG445" i="4"/>
  <c r="BA445" i="4"/>
  <c r="BC445" i="4" s="1"/>
  <c r="AY445" i="4"/>
  <c r="AX445" i="4"/>
  <c r="AZ445" i="4" s="1"/>
  <c r="AW445" i="4"/>
  <c r="BI445" i="4" s="1"/>
  <c r="AR445" i="4"/>
  <c r="AN445" i="4"/>
  <c r="AK445" i="4"/>
  <c r="BK445" i="4" s="1"/>
  <c r="K445" i="4"/>
  <c r="J445" i="4"/>
  <c r="I445" i="4"/>
  <c r="H445" i="4"/>
  <c r="G445" i="4"/>
  <c r="AX444" i="4"/>
  <c r="AW444" i="4"/>
  <c r="BI444" i="4" s="1"/>
  <c r="AR444" i="4"/>
  <c r="BG444" i="4" s="1"/>
  <c r="AN444" i="4"/>
  <c r="AK444" i="4"/>
  <c r="BH444" i="4" s="1"/>
  <c r="K444" i="4"/>
  <c r="J444" i="4"/>
  <c r="I444" i="4"/>
  <c r="H444" i="4"/>
  <c r="G444" i="4"/>
  <c r="BG443" i="4"/>
  <c r="BA443" i="4"/>
  <c r="BC443" i="4" s="1"/>
  <c r="AY443" i="4"/>
  <c r="AX443" i="4"/>
  <c r="AZ443" i="4" s="1"/>
  <c r="AW443" i="4"/>
  <c r="BK443" i="4" s="1"/>
  <c r="AR443" i="4"/>
  <c r="AN443" i="4"/>
  <c r="AK443" i="4"/>
  <c r="BH443" i="4" s="1"/>
  <c r="K443" i="4"/>
  <c r="J443" i="4"/>
  <c r="I443" i="4"/>
  <c r="H443" i="4"/>
  <c r="G443" i="4"/>
  <c r="AX442" i="4"/>
  <c r="AW442" i="4"/>
  <c r="BI442" i="4" s="1"/>
  <c r="AR442" i="4"/>
  <c r="BG442" i="4" s="1"/>
  <c r="AN442" i="4"/>
  <c r="AK442" i="4"/>
  <c r="BH442" i="4" s="1"/>
  <c r="K442" i="4"/>
  <c r="J442" i="4"/>
  <c r="I442" i="4"/>
  <c r="H442" i="4"/>
  <c r="G442" i="4"/>
  <c r="BG441" i="4"/>
  <c r="BA441" i="4"/>
  <c r="BC441" i="4" s="1"/>
  <c r="AY441" i="4"/>
  <c r="AX441" i="4"/>
  <c r="AZ441" i="4" s="1"/>
  <c r="AW441" i="4"/>
  <c r="BK441" i="4" s="1"/>
  <c r="AR441" i="4"/>
  <c r="AN441" i="4"/>
  <c r="AK441" i="4"/>
  <c r="BH441" i="4" s="1"/>
  <c r="K441" i="4"/>
  <c r="J441" i="4"/>
  <c r="I441" i="4"/>
  <c r="H441" i="4"/>
  <c r="G441" i="4"/>
  <c r="AX440" i="4"/>
  <c r="AW440" i="4"/>
  <c r="BI440" i="4" s="1"/>
  <c r="AR440" i="4"/>
  <c r="BG440" i="4" s="1"/>
  <c r="AN440" i="4"/>
  <c r="AK440" i="4"/>
  <c r="BH440" i="4" s="1"/>
  <c r="K440" i="4"/>
  <c r="J440" i="4"/>
  <c r="I440" i="4"/>
  <c r="H440" i="4"/>
  <c r="G440" i="4"/>
  <c r="BG439" i="4"/>
  <c r="BA439" i="4"/>
  <c r="BC439" i="4" s="1"/>
  <c r="AY439" i="4"/>
  <c r="AX439" i="4"/>
  <c r="AZ439" i="4" s="1"/>
  <c r="AW439" i="4"/>
  <c r="BK439" i="4" s="1"/>
  <c r="AR439" i="4"/>
  <c r="AN439" i="4"/>
  <c r="AK439" i="4"/>
  <c r="BH439" i="4" s="1"/>
  <c r="K439" i="4"/>
  <c r="J439" i="4"/>
  <c r="I439" i="4"/>
  <c r="H439" i="4"/>
  <c r="G439" i="4"/>
  <c r="AX438" i="4"/>
  <c r="AW438" i="4"/>
  <c r="BI438" i="4" s="1"/>
  <c r="AR438" i="4"/>
  <c r="BG438" i="4" s="1"/>
  <c r="AN438" i="4"/>
  <c r="AK438" i="4"/>
  <c r="BH438" i="4" s="1"/>
  <c r="K438" i="4"/>
  <c r="J438" i="4"/>
  <c r="I438" i="4"/>
  <c r="H438" i="4"/>
  <c r="G438" i="4"/>
  <c r="BG437" i="4"/>
  <c r="BA437" i="4"/>
  <c r="BC437" i="4" s="1"/>
  <c r="AY437" i="4"/>
  <c r="AX437" i="4"/>
  <c r="AZ437" i="4" s="1"/>
  <c r="AW437" i="4"/>
  <c r="BK437" i="4" s="1"/>
  <c r="AR437" i="4"/>
  <c r="AN437" i="4"/>
  <c r="AK437" i="4"/>
  <c r="BH437" i="4" s="1"/>
  <c r="K437" i="4"/>
  <c r="J437" i="4"/>
  <c r="I437" i="4"/>
  <c r="H437" i="4"/>
  <c r="G437" i="4"/>
  <c r="AX436" i="4"/>
  <c r="AW436" i="4"/>
  <c r="BI436" i="4" s="1"/>
  <c r="AR436" i="4"/>
  <c r="BG436" i="4" s="1"/>
  <c r="AN436" i="4"/>
  <c r="AK436" i="4"/>
  <c r="BH436" i="4" s="1"/>
  <c r="K436" i="4"/>
  <c r="J436" i="4"/>
  <c r="I436" i="4"/>
  <c r="H436" i="4"/>
  <c r="G436" i="4"/>
  <c r="BG435" i="4"/>
  <c r="BA435" i="4"/>
  <c r="BC435" i="4" s="1"/>
  <c r="AY435" i="4"/>
  <c r="AX435" i="4"/>
  <c r="AZ435" i="4" s="1"/>
  <c r="AW435" i="4"/>
  <c r="BK435" i="4" s="1"/>
  <c r="AR435" i="4"/>
  <c r="AN435" i="4"/>
  <c r="AK435" i="4"/>
  <c r="BH435" i="4" s="1"/>
  <c r="K435" i="4"/>
  <c r="J435" i="4"/>
  <c r="I435" i="4"/>
  <c r="H435" i="4"/>
  <c r="G435" i="4"/>
  <c r="AX434" i="4"/>
  <c r="AW434" i="4"/>
  <c r="BI434" i="4" s="1"/>
  <c r="AR434" i="4"/>
  <c r="BG434" i="4" s="1"/>
  <c r="AN434" i="4"/>
  <c r="AK434" i="4"/>
  <c r="BH434" i="4" s="1"/>
  <c r="K434" i="4"/>
  <c r="J434" i="4"/>
  <c r="I434" i="4"/>
  <c r="H434" i="4"/>
  <c r="G434" i="4"/>
  <c r="BG433" i="4"/>
  <c r="BA433" i="4"/>
  <c r="BC433" i="4" s="1"/>
  <c r="AY433" i="4"/>
  <c r="AX433" i="4"/>
  <c r="AZ433" i="4" s="1"/>
  <c r="AW433" i="4"/>
  <c r="BK433" i="4" s="1"/>
  <c r="AR433" i="4"/>
  <c r="AN433" i="4"/>
  <c r="AK433" i="4"/>
  <c r="BH433" i="4" s="1"/>
  <c r="K433" i="4"/>
  <c r="J433" i="4"/>
  <c r="I433" i="4"/>
  <c r="H433" i="4"/>
  <c r="G433" i="4"/>
  <c r="AX432" i="4"/>
  <c r="AW432" i="4"/>
  <c r="BI432" i="4" s="1"/>
  <c r="AR432" i="4"/>
  <c r="BG432" i="4" s="1"/>
  <c r="AN432" i="4"/>
  <c r="AK432" i="4"/>
  <c r="BH432" i="4" s="1"/>
  <c r="K432" i="4"/>
  <c r="J432" i="4"/>
  <c r="I432" i="4"/>
  <c r="H432" i="4"/>
  <c r="G432" i="4"/>
  <c r="BG431" i="4"/>
  <c r="BA431" i="4"/>
  <c r="BC431" i="4" s="1"/>
  <c r="AY431" i="4"/>
  <c r="AX431" i="4"/>
  <c r="AZ431" i="4" s="1"/>
  <c r="AW431" i="4"/>
  <c r="BK431" i="4" s="1"/>
  <c r="AR431" i="4"/>
  <c r="AN431" i="4"/>
  <c r="AK431" i="4"/>
  <c r="BH431" i="4" s="1"/>
  <c r="K431" i="4"/>
  <c r="J431" i="4"/>
  <c r="I431" i="4"/>
  <c r="H431" i="4"/>
  <c r="G431" i="4"/>
  <c r="AX430" i="4"/>
  <c r="AW430" i="4"/>
  <c r="BI430" i="4" s="1"/>
  <c r="AR430" i="4"/>
  <c r="BG430" i="4" s="1"/>
  <c r="AN430" i="4"/>
  <c r="AK430" i="4"/>
  <c r="BH430" i="4" s="1"/>
  <c r="K430" i="4"/>
  <c r="J430" i="4"/>
  <c r="I430" i="4"/>
  <c r="H430" i="4"/>
  <c r="G430" i="4"/>
  <c r="BG429" i="4"/>
  <c r="BA429" i="4"/>
  <c r="BC429" i="4" s="1"/>
  <c r="AY429" i="4"/>
  <c r="AX429" i="4"/>
  <c r="AZ429" i="4" s="1"/>
  <c r="AW429" i="4"/>
  <c r="BK429" i="4" s="1"/>
  <c r="AR429" i="4"/>
  <c r="AN429" i="4"/>
  <c r="AK429" i="4"/>
  <c r="BH429" i="4" s="1"/>
  <c r="K429" i="4"/>
  <c r="J429" i="4"/>
  <c r="I429" i="4"/>
  <c r="H429" i="4"/>
  <c r="G429" i="4"/>
  <c r="AX428" i="4"/>
  <c r="AW428" i="4"/>
  <c r="BI428" i="4" s="1"/>
  <c r="AR428" i="4"/>
  <c r="BG428" i="4" s="1"/>
  <c r="AN428" i="4"/>
  <c r="AK428" i="4"/>
  <c r="BH428" i="4" s="1"/>
  <c r="K428" i="4"/>
  <c r="J428" i="4"/>
  <c r="I428" i="4"/>
  <c r="H428" i="4"/>
  <c r="G428" i="4"/>
  <c r="BG427" i="4"/>
  <c r="BA427" i="4"/>
  <c r="BC427" i="4" s="1"/>
  <c r="AY427" i="4"/>
  <c r="AX427" i="4"/>
  <c r="AZ427" i="4" s="1"/>
  <c r="AW427" i="4"/>
  <c r="BK427" i="4" s="1"/>
  <c r="AR427" i="4"/>
  <c r="AN427" i="4"/>
  <c r="AK427" i="4"/>
  <c r="BH427" i="4" s="1"/>
  <c r="K427" i="4"/>
  <c r="J427" i="4"/>
  <c r="I427" i="4"/>
  <c r="H427" i="4"/>
  <c r="G427" i="4"/>
  <c r="AX426" i="4"/>
  <c r="AW426" i="4"/>
  <c r="BI426" i="4" s="1"/>
  <c r="AR426" i="4"/>
  <c r="BG426" i="4" s="1"/>
  <c r="AN426" i="4"/>
  <c r="AK426" i="4"/>
  <c r="BH426" i="4" s="1"/>
  <c r="K426" i="4"/>
  <c r="J426" i="4"/>
  <c r="I426" i="4"/>
  <c r="H426" i="4"/>
  <c r="G426" i="4"/>
  <c r="BG425" i="4"/>
  <c r="BA425" i="4"/>
  <c r="BC425" i="4" s="1"/>
  <c r="AY425" i="4"/>
  <c r="AX425" i="4"/>
  <c r="AZ425" i="4" s="1"/>
  <c r="AW425" i="4"/>
  <c r="BK425" i="4" s="1"/>
  <c r="AR425" i="4"/>
  <c r="AN425" i="4"/>
  <c r="AK425" i="4"/>
  <c r="BH425" i="4" s="1"/>
  <c r="K425" i="4"/>
  <c r="J425" i="4"/>
  <c r="I425" i="4"/>
  <c r="H425" i="4"/>
  <c r="G425" i="4"/>
  <c r="AX424" i="4"/>
  <c r="AW424" i="4"/>
  <c r="BI424" i="4" s="1"/>
  <c r="AR424" i="4"/>
  <c r="BG424" i="4" s="1"/>
  <c r="AN424" i="4"/>
  <c r="AK424" i="4"/>
  <c r="BH424" i="4" s="1"/>
  <c r="K424" i="4"/>
  <c r="J424" i="4"/>
  <c r="I424" i="4"/>
  <c r="H424" i="4"/>
  <c r="G424" i="4"/>
  <c r="BG423" i="4"/>
  <c r="BA423" i="4"/>
  <c r="BC423" i="4" s="1"/>
  <c r="AY423" i="4"/>
  <c r="AX423" i="4"/>
  <c r="AZ423" i="4" s="1"/>
  <c r="AW423" i="4"/>
  <c r="BK423" i="4" s="1"/>
  <c r="AR423" i="4"/>
  <c r="AN423" i="4"/>
  <c r="AK423" i="4"/>
  <c r="BH423" i="4" s="1"/>
  <c r="K423" i="4"/>
  <c r="J423" i="4"/>
  <c r="I423" i="4"/>
  <c r="H423" i="4"/>
  <c r="G423" i="4"/>
  <c r="AX422" i="4"/>
  <c r="AW422" i="4"/>
  <c r="BI422" i="4" s="1"/>
  <c r="AR422" i="4"/>
  <c r="BG422" i="4" s="1"/>
  <c r="AN422" i="4"/>
  <c r="AK422" i="4"/>
  <c r="BH422" i="4" s="1"/>
  <c r="K422" i="4"/>
  <c r="J422" i="4"/>
  <c r="I422" i="4"/>
  <c r="H422" i="4"/>
  <c r="G422" i="4"/>
  <c r="BG421" i="4"/>
  <c r="BA421" i="4"/>
  <c r="BC421" i="4" s="1"/>
  <c r="AY421" i="4"/>
  <c r="AX421" i="4"/>
  <c r="AZ421" i="4" s="1"/>
  <c r="AW421" i="4"/>
  <c r="BK421" i="4" s="1"/>
  <c r="AR421" i="4"/>
  <c r="AN421" i="4"/>
  <c r="AK421" i="4"/>
  <c r="BH421" i="4" s="1"/>
  <c r="K421" i="4"/>
  <c r="J421" i="4"/>
  <c r="I421" i="4"/>
  <c r="H421" i="4"/>
  <c r="G421" i="4"/>
  <c r="AX420" i="4"/>
  <c r="AW420" i="4"/>
  <c r="BI420" i="4" s="1"/>
  <c r="AR420" i="4"/>
  <c r="BG420" i="4" s="1"/>
  <c r="AN420" i="4"/>
  <c r="AK420" i="4"/>
  <c r="BH420" i="4" s="1"/>
  <c r="K420" i="4"/>
  <c r="J420" i="4"/>
  <c r="I420" i="4"/>
  <c r="H420" i="4"/>
  <c r="G420" i="4"/>
  <c r="BG419" i="4"/>
  <c r="BA419" i="4"/>
  <c r="BC419" i="4" s="1"/>
  <c r="AY419" i="4"/>
  <c r="AX419" i="4"/>
  <c r="AZ419" i="4" s="1"/>
  <c r="AW419" i="4"/>
  <c r="BK419" i="4" s="1"/>
  <c r="AR419" i="4"/>
  <c r="AN419" i="4"/>
  <c r="AK419" i="4"/>
  <c r="BH419" i="4" s="1"/>
  <c r="K419" i="4"/>
  <c r="J419" i="4"/>
  <c r="I419" i="4"/>
  <c r="H419" i="4"/>
  <c r="G419" i="4"/>
  <c r="AX418" i="4"/>
  <c r="AW418" i="4"/>
  <c r="BI418" i="4" s="1"/>
  <c r="AR418" i="4"/>
  <c r="BG418" i="4" s="1"/>
  <c r="AN418" i="4"/>
  <c r="AK418" i="4"/>
  <c r="BH418" i="4" s="1"/>
  <c r="K418" i="4"/>
  <c r="J418" i="4"/>
  <c r="I418" i="4"/>
  <c r="H418" i="4"/>
  <c r="G418" i="4"/>
  <c r="BG417" i="4"/>
  <c r="BA417" i="4"/>
  <c r="BC417" i="4" s="1"/>
  <c r="AY417" i="4"/>
  <c r="AX417" i="4"/>
  <c r="AZ417" i="4" s="1"/>
  <c r="AW417" i="4"/>
  <c r="BK417" i="4" s="1"/>
  <c r="AR417" i="4"/>
  <c r="AN417" i="4"/>
  <c r="AK417" i="4"/>
  <c r="BH417" i="4" s="1"/>
  <c r="K417" i="4"/>
  <c r="J417" i="4"/>
  <c r="I417" i="4"/>
  <c r="H417" i="4"/>
  <c r="G417" i="4"/>
  <c r="AX416" i="4"/>
  <c r="AW416" i="4"/>
  <c r="BI416" i="4" s="1"/>
  <c r="AR416" i="4"/>
  <c r="BG416" i="4" s="1"/>
  <c r="AN416" i="4"/>
  <c r="AK416" i="4"/>
  <c r="BH416" i="4" s="1"/>
  <c r="K416" i="4"/>
  <c r="J416" i="4"/>
  <c r="I416" i="4"/>
  <c r="H416" i="4"/>
  <c r="G416" i="4"/>
  <c r="BG415" i="4"/>
  <c r="BA415" i="4"/>
  <c r="BC415" i="4" s="1"/>
  <c r="AY415" i="4"/>
  <c r="AX415" i="4"/>
  <c r="AZ415" i="4" s="1"/>
  <c r="AW415" i="4"/>
  <c r="BK415" i="4" s="1"/>
  <c r="AR415" i="4"/>
  <c r="AN415" i="4"/>
  <c r="AK415" i="4"/>
  <c r="BH415" i="4" s="1"/>
  <c r="K415" i="4"/>
  <c r="J415" i="4"/>
  <c r="I415" i="4"/>
  <c r="H415" i="4"/>
  <c r="G415" i="4"/>
  <c r="AX414" i="4"/>
  <c r="AW414" i="4"/>
  <c r="BI414" i="4" s="1"/>
  <c r="AR414" i="4"/>
  <c r="BG414" i="4" s="1"/>
  <c r="AN414" i="4"/>
  <c r="AK414" i="4"/>
  <c r="BH414" i="4" s="1"/>
  <c r="K414" i="4"/>
  <c r="J414" i="4"/>
  <c r="I414" i="4"/>
  <c r="H414" i="4"/>
  <c r="G414" i="4"/>
  <c r="BG413" i="4"/>
  <c r="BA413" i="4"/>
  <c r="BC413" i="4" s="1"/>
  <c r="AY413" i="4"/>
  <c r="AX413" i="4"/>
  <c r="AZ413" i="4" s="1"/>
  <c r="AW413" i="4"/>
  <c r="BK413" i="4" s="1"/>
  <c r="AR413" i="4"/>
  <c r="AN413" i="4"/>
  <c r="AK413" i="4"/>
  <c r="BH413" i="4" s="1"/>
  <c r="K413" i="4"/>
  <c r="J413" i="4"/>
  <c r="I413" i="4"/>
  <c r="H413" i="4"/>
  <c r="G413" i="4"/>
  <c r="AX412" i="4"/>
  <c r="AW412" i="4"/>
  <c r="BI412" i="4" s="1"/>
  <c r="AR412" i="4"/>
  <c r="BG412" i="4" s="1"/>
  <c r="AN412" i="4"/>
  <c r="AK412" i="4"/>
  <c r="BH412" i="4" s="1"/>
  <c r="K412" i="4"/>
  <c r="J412" i="4"/>
  <c r="I412" i="4"/>
  <c r="H412" i="4"/>
  <c r="G412" i="4"/>
  <c r="BG411" i="4"/>
  <c r="BA411" i="4"/>
  <c r="BC411" i="4" s="1"/>
  <c r="AY411" i="4"/>
  <c r="AX411" i="4"/>
  <c r="AZ411" i="4" s="1"/>
  <c r="AW411" i="4"/>
  <c r="BK411" i="4" s="1"/>
  <c r="AR411" i="4"/>
  <c r="AN411" i="4"/>
  <c r="AK411" i="4"/>
  <c r="BH411" i="4" s="1"/>
  <c r="K411" i="4"/>
  <c r="J411" i="4"/>
  <c r="I411" i="4"/>
  <c r="H411" i="4"/>
  <c r="G411" i="4"/>
  <c r="AX410" i="4"/>
  <c r="AW410" i="4"/>
  <c r="BI410" i="4" s="1"/>
  <c r="AR410" i="4"/>
  <c r="BG410" i="4" s="1"/>
  <c r="AN410" i="4"/>
  <c r="AK410" i="4"/>
  <c r="BH410" i="4" s="1"/>
  <c r="K410" i="4"/>
  <c r="J410" i="4"/>
  <c r="I410" i="4"/>
  <c r="H410" i="4"/>
  <c r="G410" i="4"/>
  <c r="BG409" i="4"/>
  <c r="BA409" i="4"/>
  <c r="BC409" i="4" s="1"/>
  <c r="AY409" i="4"/>
  <c r="AX409" i="4"/>
  <c r="AZ409" i="4" s="1"/>
  <c r="AW409" i="4"/>
  <c r="BK409" i="4" s="1"/>
  <c r="AR409" i="4"/>
  <c r="AN409" i="4"/>
  <c r="AK409" i="4"/>
  <c r="BH409" i="4" s="1"/>
  <c r="K409" i="4"/>
  <c r="J409" i="4"/>
  <c r="I409" i="4"/>
  <c r="H409" i="4"/>
  <c r="G409" i="4"/>
  <c r="AX408" i="4"/>
  <c r="AW408" i="4"/>
  <c r="BI408" i="4" s="1"/>
  <c r="AR408" i="4"/>
  <c r="BG408" i="4" s="1"/>
  <c r="AN408" i="4"/>
  <c r="AK408" i="4"/>
  <c r="BH408" i="4" s="1"/>
  <c r="K408" i="4"/>
  <c r="J408" i="4"/>
  <c r="I408" i="4"/>
  <c r="H408" i="4"/>
  <c r="G408" i="4"/>
  <c r="BG407" i="4"/>
  <c r="BA407" i="4"/>
  <c r="BC407" i="4" s="1"/>
  <c r="AY407" i="4"/>
  <c r="AX407" i="4"/>
  <c r="AZ407" i="4" s="1"/>
  <c r="AW407" i="4"/>
  <c r="BK407" i="4" s="1"/>
  <c r="AR407" i="4"/>
  <c r="AN407" i="4"/>
  <c r="AK407" i="4"/>
  <c r="BH407" i="4" s="1"/>
  <c r="K407" i="4"/>
  <c r="J407" i="4"/>
  <c r="I407" i="4"/>
  <c r="H407" i="4"/>
  <c r="G407" i="4"/>
  <c r="AX406" i="4"/>
  <c r="AW406" i="4"/>
  <c r="BI406" i="4" s="1"/>
  <c r="AR406" i="4"/>
  <c r="BG406" i="4" s="1"/>
  <c r="AN406" i="4"/>
  <c r="AK406" i="4"/>
  <c r="BH406" i="4" s="1"/>
  <c r="K406" i="4"/>
  <c r="J406" i="4"/>
  <c r="I406" i="4"/>
  <c r="H406" i="4"/>
  <c r="G406" i="4"/>
  <c r="BG405" i="4"/>
  <c r="BA405" i="4"/>
  <c r="BC405" i="4" s="1"/>
  <c r="AY405" i="4"/>
  <c r="AX405" i="4"/>
  <c r="AZ405" i="4" s="1"/>
  <c r="AW405" i="4"/>
  <c r="BK405" i="4" s="1"/>
  <c r="AR405" i="4"/>
  <c r="AN405" i="4"/>
  <c r="AK405" i="4"/>
  <c r="BH405" i="4" s="1"/>
  <c r="K405" i="4"/>
  <c r="J405" i="4"/>
  <c r="I405" i="4"/>
  <c r="H405" i="4"/>
  <c r="G405" i="4"/>
  <c r="AX404" i="4"/>
  <c r="AW404" i="4"/>
  <c r="BI404" i="4" s="1"/>
  <c r="AR404" i="4"/>
  <c r="BG404" i="4" s="1"/>
  <c r="AN404" i="4"/>
  <c r="AK404" i="4"/>
  <c r="BH404" i="4" s="1"/>
  <c r="K404" i="4"/>
  <c r="J404" i="4"/>
  <c r="I404" i="4"/>
  <c r="H404" i="4"/>
  <c r="G404" i="4"/>
  <c r="BG403" i="4"/>
  <c r="BA403" i="4"/>
  <c r="BC403" i="4" s="1"/>
  <c r="AY403" i="4"/>
  <c r="AX403" i="4"/>
  <c r="AZ403" i="4" s="1"/>
  <c r="AW403" i="4"/>
  <c r="BK403" i="4" s="1"/>
  <c r="AR403" i="4"/>
  <c r="AN403" i="4"/>
  <c r="AK403" i="4"/>
  <c r="BH403" i="4" s="1"/>
  <c r="K403" i="4"/>
  <c r="J403" i="4"/>
  <c r="I403" i="4"/>
  <c r="H403" i="4"/>
  <c r="G403" i="4"/>
  <c r="AX402" i="4"/>
  <c r="AW402" i="4"/>
  <c r="BI402" i="4" s="1"/>
  <c r="AR402" i="4"/>
  <c r="BG402" i="4" s="1"/>
  <c r="AN402" i="4"/>
  <c r="AK402" i="4"/>
  <c r="BH402" i="4" s="1"/>
  <c r="K402" i="4"/>
  <c r="J402" i="4"/>
  <c r="I402" i="4"/>
  <c r="H402" i="4"/>
  <c r="G402" i="4"/>
  <c r="BG401" i="4"/>
  <c r="BA401" i="4"/>
  <c r="BC401" i="4" s="1"/>
  <c r="AY401" i="4"/>
  <c r="AX401" i="4"/>
  <c r="AZ401" i="4" s="1"/>
  <c r="AW401" i="4"/>
  <c r="BK401" i="4" s="1"/>
  <c r="AR401" i="4"/>
  <c r="AN401" i="4"/>
  <c r="AK401" i="4"/>
  <c r="BH401" i="4" s="1"/>
  <c r="K401" i="4"/>
  <c r="J401" i="4"/>
  <c r="I401" i="4"/>
  <c r="H401" i="4"/>
  <c r="G401" i="4"/>
  <c r="AX400" i="4"/>
  <c r="AW400" i="4"/>
  <c r="BI400" i="4" s="1"/>
  <c r="AR400" i="4"/>
  <c r="BG400" i="4" s="1"/>
  <c r="AN400" i="4"/>
  <c r="AK400" i="4"/>
  <c r="BH400" i="4" s="1"/>
  <c r="K400" i="4"/>
  <c r="J400" i="4"/>
  <c r="I400" i="4"/>
  <c r="H400" i="4"/>
  <c r="G400" i="4"/>
  <c r="BG399" i="4"/>
  <c r="BA399" i="4"/>
  <c r="BC399" i="4" s="1"/>
  <c r="AY399" i="4"/>
  <c r="AX399" i="4"/>
  <c r="AZ399" i="4" s="1"/>
  <c r="AW399" i="4"/>
  <c r="BK399" i="4" s="1"/>
  <c r="AR399" i="4"/>
  <c r="AN399" i="4"/>
  <c r="AK399" i="4"/>
  <c r="BH399" i="4" s="1"/>
  <c r="K399" i="4"/>
  <c r="J399" i="4"/>
  <c r="I399" i="4"/>
  <c r="H399" i="4"/>
  <c r="G399" i="4"/>
  <c r="AX398" i="4"/>
  <c r="AW398" i="4"/>
  <c r="BI398" i="4" s="1"/>
  <c r="AR398" i="4"/>
  <c r="BG398" i="4" s="1"/>
  <c r="AN398" i="4"/>
  <c r="AK398" i="4"/>
  <c r="BH398" i="4" s="1"/>
  <c r="K398" i="4"/>
  <c r="J398" i="4"/>
  <c r="I398" i="4"/>
  <c r="H398" i="4"/>
  <c r="G398" i="4"/>
  <c r="BG397" i="4"/>
  <c r="BA397" i="4"/>
  <c r="BC397" i="4" s="1"/>
  <c r="AY397" i="4"/>
  <c r="AX397" i="4"/>
  <c r="AZ397" i="4" s="1"/>
  <c r="AW397" i="4"/>
  <c r="BK397" i="4" s="1"/>
  <c r="AR397" i="4"/>
  <c r="AN397" i="4"/>
  <c r="AK397" i="4"/>
  <c r="BH397" i="4" s="1"/>
  <c r="K397" i="4"/>
  <c r="J397" i="4"/>
  <c r="I397" i="4"/>
  <c r="H397" i="4"/>
  <c r="G397" i="4"/>
  <c r="AX396" i="4"/>
  <c r="AW396" i="4"/>
  <c r="BI396" i="4" s="1"/>
  <c r="AR396" i="4"/>
  <c r="BG396" i="4" s="1"/>
  <c r="AN396" i="4"/>
  <c r="AK396" i="4"/>
  <c r="BH396" i="4" s="1"/>
  <c r="K396" i="4"/>
  <c r="J396" i="4"/>
  <c r="I396" i="4"/>
  <c r="H396" i="4"/>
  <c r="G396" i="4"/>
  <c r="BG395" i="4"/>
  <c r="BA395" i="4"/>
  <c r="BC395" i="4" s="1"/>
  <c r="AY395" i="4"/>
  <c r="AX395" i="4"/>
  <c r="AZ395" i="4" s="1"/>
  <c r="AW395" i="4"/>
  <c r="BK395" i="4" s="1"/>
  <c r="AR395" i="4"/>
  <c r="AN395" i="4"/>
  <c r="AK395" i="4"/>
  <c r="BH395" i="4" s="1"/>
  <c r="K395" i="4"/>
  <c r="J395" i="4"/>
  <c r="I395" i="4"/>
  <c r="H395" i="4"/>
  <c r="G395" i="4"/>
  <c r="AX394" i="4"/>
  <c r="AW394" i="4"/>
  <c r="BI394" i="4" s="1"/>
  <c r="AR394" i="4"/>
  <c r="BG394" i="4" s="1"/>
  <c r="AN394" i="4"/>
  <c r="AK394" i="4"/>
  <c r="BH394" i="4" s="1"/>
  <c r="K394" i="4"/>
  <c r="J394" i="4"/>
  <c r="I394" i="4"/>
  <c r="H394" i="4"/>
  <c r="G394" i="4"/>
  <c r="BG393" i="4"/>
  <c r="BA393" i="4"/>
  <c r="BC393" i="4" s="1"/>
  <c r="AY393" i="4"/>
  <c r="AX393" i="4"/>
  <c r="AZ393" i="4" s="1"/>
  <c r="AW393" i="4"/>
  <c r="BK393" i="4" s="1"/>
  <c r="AR393" i="4"/>
  <c r="AN393" i="4"/>
  <c r="AK393" i="4"/>
  <c r="BH393" i="4" s="1"/>
  <c r="K393" i="4"/>
  <c r="J393" i="4"/>
  <c r="I393" i="4"/>
  <c r="H393" i="4"/>
  <c r="G393" i="4"/>
  <c r="AX392" i="4"/>
  <c r="AW392" i="4"/>
  <c r="BI392" i="4" s="1"/>
  <c r="AR392" i="4"/>
  <c r="BG392" i="4" s="1"/>
  <c r="AN392" i="4"/>
  <c r="AK392" i="4"/>
  <c r="BH392" i="4" s="1"/>
  <c r="K392" i="4"/>
  <c r="J392" i="4"/>
  <c r="I392" i="4"/>
  <c r="H392" i="4"/>
  <c r="G392" i="4"/>
  <c r="BG391" i="4"/>
  <c r="BA391" i="4"/>
  <c r="BC391" i="4" s="1"/>
  <c r="AY391" i="4"/>
  <c r="AX391" i="4"/>
  <c r="AZ391" i="4" s="1"/>
  <c r="AW391" i="4"/>
  <c r="BK391" i="4" s="1"/>
  <c r="AR391" i="4"/>
  <c r="AN391" i="4"/>
  <c r="AK391" i="4"/>
  <c r="BH391" i="4" s="1"/>
  <c r="K391" i="4"/>
  <c r="J391" i="4"/>
  <c r="I391" i="4"/>
  <c r="H391" i="4"/>
  <c r="G391" i="4"/>
  <c r="AX390" i="4"/>
  <c r="AW390" i="4"/>
  <c r="BI390" i="4" s="1"/>
  <c r="AR390" i="4"/>
  <c r="BG390" i="4" s="1"/>
  <c r="AN390" i="4"/>
  <c r="AK390" i="4"/>
  <c r="BH390" i="4" s="1"/>
  <c r="K390" i="4"/>
  <c r="J390" i="4"/>
  <c r="I390" i="4"/>
  <c r="H390" i="4"/>
  <c r="G390" i="4"/>
  <c r="BG389" i="4"/>
  <c r="BA389" i="4"/>
  <c r="BC389" i="4" s="1"/>
  <c r="AY389" i="4"/>
  <c r="AX389" i="4"/>
  <c r="AZ389" i="4" s="1"/>
  <c r="AW389" i="4"/>
  <c r="BK389" i="4" s="1"/>
  <c r="AR389" i="4"/>
  <c r="AN389" i="4"/>
  <c r="AK389" i="4"/>
  <c r="BH389" i="4" s="1"/>
  <c r="K389" i="4"/>
  <c r="J389" i="4"/>
  <c r="I389" i="4"/>
  <c r="H389" i="4"/>
  <c r="G389" i="4"/>
  <c r="AX388" i="4"/>
  <c r="AW388" i="4"/>
  <c r="BI388" i="4" s="1"/>
  <c r="AR388" i="4"/>
  <c r="BG388" i="4" s="1"/>
  <c r="AN388" i="4"/>
  <c r="AK388" i="4"/>
  <c r="BH388" i="4" s="1"/>
  <c r="K388" i="4"/>
  <c r="J388" i="4"/>
  <c r="I388" i="4"/>
  <c r="H388" i="4"/>
  <c r="G388" i="4"/>
  <c r="BG387" i="4"/>
  <c r="BA387" i="4"/>
  <c r="BC387" i="4" s="1"/>
  <c r="AY387" i="4"/>
  <c r="AX387" i="4"/>
  <c r="AZ387" i="4" s="1"/>
  <c r="AW387" i="4"/>
  <c r="BK387" i="4" s="1"/>
  <c r="AR387" i="4"/>
  <c r="AN387" i="4"/>
  <c r="AK387" i="4"/>
  <c r="BH387" i="4" s="1"/>
  <c r="K387" i="4"/>
  <c r="J387" i="4"/>
  <c r="I387" i="4"/>
  <c r="H387" i="4"/>
  <c r="G387" i="4"/>
  <c r="AX386" i="4"/>
  <c r="AW386" i="4"/>
  <c r="BI386" i="4" s="1"/>
  <c r="AR386" i="4"/>
  <c r="BG386" i="4" s="1"/>
  <c r="AN386" i="4"/>
  <c r="AK386" i="4"/>
  <c r="BH386" i="4" s="1"/>
  <c r="K386" i="4"/>
  <c r="J386" i="4"/>
  <c r="I386" i="4"/>
  <c r="H386" i="4"/>
  <c r="G386" i="4"/>
  <c r="BG385" i="4"/>
  <c r="BA385" i="4"/>
  <c r="BC385" i="4" s="1"/>
  <c r="AY385" i="4"/>
  <c r="AX385" i="4"/>
  <c r="AZ385" i="4" s="1"/>
  <c r="AW385" i="4"/>
  <c r="BK385" i="4" s="1"/>
  <c r="AR385" i="4"/>
  <c r="AN385" i="4"/>
  <c r="AK385" i="4"/>
  <c r="BH385" i="4" s="1"/>
  <c r="K385" i="4"/>
  <c r="J385" i="4"/>
  <c r="I385" i="4"/>
  <c r="H385" i="4"/>
  <c r="G385" i="4"/>
  <c r="AX384" i="4"/>
  <c r="AW384" i="4"/>
  <c r="BI384" i="4" s="1"/>
  <c r="AR384" i="4"/>
  <c r="BG384" i="4" s="1"/>
  <c r="AN384" i="4"/>
  <c r="AK384" i="4"/>
  <c r="BH384" i="4" s="1"/>
  <c r="K384" i="4"/>
  <c r="J384" i="4"/>
  <c r="I384" i="4"/>
  <c r="H384" i="4"/>
  <c r="G384" i="4"/>
  <c r="BG383" i="4"/>
  <c r="BA383" i="4"/>
  <c r="BC383" i="4" s="1"/>
  <c r="AY383" i="4"/>
  <c r="AX383" i="4"/>
  <c r="AZ383" i="4" s="1"/>
  <c r="AW383" i="4"/>
  <c r="BK383" i="4" s="1"/>
  <c r="AR383" i="4"/>
  <c r="AN383" i="4"/>
  <c r="AK383" i="4"/>
  <c r="BH383" i="4" s="1"/>
  <c r="K383" i="4"/>
  <c r="J383" i="4"/>
  <c r="I383" i="4"/>
  <c r="H383" i="4"/>
  <c r="G383" i="4"/>
  <c r="AX382" i="4"/>
  <c r="AW382" i="4"/>
  <c r="BI382" i="4" s="1"/>
  <c r="AR382" i="4"/>
  <c r="BG382" i="4" s="1"/>
  <c r="AN382" i="4"/>
  <c r="AK382" i="4"/>
  <c r="BH382" i="4" s="1"/>
  <c r="K382" i="4"/>
  <c r="J382" i="4"/>
  <c r="I382" i="4"/>
  <c r="H382" i="4"/>
  <c r="G382" i="4"/>
  <c r="BG381" i="4"/>
  <c r="BA381" i="4"/>
  <c r="BC381" i="4" s="1"/>
  <c r="AY381" i="4"/>
  <c r="AX381" i="4"/>
  <c r="AZ381" i="4" s="1"/>
  <c r="AW381" i="4"/>
  <c r="BK381" i="4" s="1"/>
  <c r="AR381" i="4"/>
  <c r="AN381" i="4"/>
  <c r="AK381" i="4"/>
  <c r="BH381" i="4" s="1"/>
  <c r="K381" i="4"/>
  <c r="J381" i="4"/>
  <c r="I381" i="4"/>
  <c r="H381" i="4"/>
  <c r="G381" i="4"/>
  <c r="AX380" i="4"/>
  <c r="AW380" i="4"/>
  <c r="BI380" i="4" s="1"/>
  <c r="AR380" i="4"/>
  <c r="BG380" i="4" s="1"/>
  <c r="AN380" i="4"/>
  <c r="AK380" i="4"/>
  <c r="BH380" i="4" s="1"/>
  <c r="K380" i="4"/>
  <c r="J380" i="4"/>
  <c r="I380" i="4"/>
  <c r="H380" i="4"/>
  <c r="G380" i="4"/>
  <c r="BG379" i="4"/>
  <c r="BA379" i="4"/>
  <c r="BC379" i="4" s="1"/>
  <c r="AY379" i="4"/>
  <c r="AX379" i="4"/>
  <c r="AZ379" i="4" s="1"/>
  <c r="AW379" i="4"/>
  <c r="BK379" i="4" s="1"/>
  <c r="AR379" i="4"/>
  <c r="AN379" i="4"/>
  <c r="AK379" i="4"/>
  <c r="BH379" i="4" s="1"/>
  <c r="K379" i="4"/>
  <c r="J379" i="4"/>
  <c r="I379" i="4"/>
  <c r="H379" i="4"/>
  <c r="G379" i="4"/>
  <c r="AX378" i="4"/>
  <c r="AW378" i="4"/>
  <c r="BI378" i="4" s="1"/>
  <c r="AR378" i="4"/>
  <c r="BG378" i="4" s="1"/>
  <c r="AN378" i="4"/>
  <c r="AK378" i="4"/>
  <c r="BH378" i="4" s="1"/>
  <c r="K378" i="4"/>
  <c r="J378" i="4"/>
  <c r="I378" i="4"/>
  <c r="H378" i="4"/>
  <c r="G378" i="4"/>
  <c r="BG377" i="4"/>
  <c r="BA377" i="4"/>
  <c r="BC377" i="4" s="1"/>
  <c r="AY377" i="4"/>
  <c r="AX377" i="4"/>
  <c r="AZ377" i="4" s="1"/>
  <c r="AW377" i="4"/>
  <c r="BK377" i="4" s="1"/>
  <c r="AR377" i="4"/>
  <c r="AN377" i="4"/>
  <c r="AK377" i="4"/>
  <c r="BH377" i="4" s="1"/>
  <c r="K377" i="4"/>
  <c r="J377" i="4"/>
  <c r="I377" i="4"/>
  <c r="H377" i="4"/>
  <c r="G377" i="4"/>
  <c r="AX376" i="4"/>
  <c r="AW376" i="4"/>
  <c r="BI376" i="4" s="1"/>
  <c r="AR376" i="4"/>
  <c r="BG376" i="4" s="1"/>
  <c r="AN376" i="4"/>
  <c r="AK376" i="4"/>
  <c r="BH376" i="4" s="1"/>
  <c r="K376" i="4"/>
  <c r="J376" i="4"/>
  <c r="I376" i="4"/>
  <c r="H376" i="4"/>
  <c r="G376" i="4"/>
  <c r="BG375" i="4"/>
  <c r="BA375" i="4"/>
  <c r="BC375" i="4" s="1"/>
  <c r="AY375" i="4"/>
  <c r="AX375" i="4"/>
  <c r="AZ375" i="4" s="1"/>
  <c r="AW375" i="4"/>
  <c r="BK375" i="4" s="1"/>
  <c r="AR375" i="4"/>
  <c r="AN375" i="4"/>
  <c r="AK375" i="4"/>
  <c r="BH375" i="4" s="1"/>
  <c r="K375" i="4"/>
  <c r="J375" i="4"/>
  <c r="I375" i="4"/>
  <c r="H375" i="4"/>
  <c r="G375" i="4"/>
  <c r="AX374" i="4"/>
  <c r="AW374" i="4"/>
  <c r="BI374" i="4" s="1"/>
  <c r="AR374" i="4"/>
  <c r="BG374" i="4" s="1"/>
  <c r="AN374" i="4"/>
  <c r="AK374" i="4"/>
  <c r="BH374" i="4" s="1"/>
  <c r="K374" i="4"/>
  <c r="J374" i="4"/>
  <c r="I374" i="4"/>
  <c r="H374" i="4"/>
  <c r="G374" i="4"/>
  <c r="BG373" i="4"/>
  <c r="BA373" i="4"/>
  <c r="BC373" i="4" s="1"/>
  <c r="AY373" i="4"/>
  <c r="AX373" i="4"/>
  <c r="AZ373" i="4" s="1"/>
  <c r="AW373" i="4"/>
  <c r="BK373" i="4" s="1"/>
  <c r="AR373" i="4"/>
  <c r="AN373" i="4"/>
  <c r="AK373" i="4"/>
  <c r="BH373" i="4" s="1"/>
  <c r="K373" i="4"/>
  <c r="J373" i="4"/>
  <c r="I373" i="4"/>
  <c r="H373" i="4"/>
  <c r="G373" i="4"/>
  <c r="AX372" i="4"/>
  <c r="AW372" i="4"/>
  <c r="BI372" i="4" s="1"/>
  <c r="AR372" i="4"/>
  <c r="BG372" i="4" s="1"/>
  <c r="AN372" i="4"/>
  <c r="AK372" i="4"/>
  <c r="BH372" i="4" s="1"/>
  <c r="K372" i="4"/>
  <c r="J372" i="4"/>
  <c r="I372" i="4"/>
  <c r="H372" i="4"/>
  <c r="G372" i="4"/>
  <c r="BG371" i="4"/>
  <c r="BA371" i="4"/>
  <c r="BC371" i="4" s="1"/>
  <c r="AY371" i="4"/>
  <c r="AX371" i="4"/>
  <c r="AZ371" i="4" s="1"/>
  <c r="AW371" i="4"/>
  <c r="BK371" i="4" s="1"/>
  <c r="AR371" i="4"/>
  <c r="AN371" i="4"/>
  <c r="AK371" i="4"/>
  <c r="BH371" i="4" s="1"/>
  <c r="K371" i="4"/>
  <c r="J371" i="4"/>
  <c r="I371" i="4"/>
  <c r="H371" i="4"/>
  <c r="G371" i="4"/>
  <c r="AX370" i="4"/>
  <c r="AW370" i="4"/>
  <c r="BI370" i="4" s="1"/>
  <c r="AR370" i="4"/>
  <c r="BG370" i="4" s="1"/>
  <c r="AN370" i="4"/>
  <c r="AK370" i="4"/>
  <c r="BH370" i="4" s="1"/>
  <c r="K370" i="4"/>
  <c r="J370" i="4"/>
  <c r="I370" i="4"/>
  <c r="H370" i="4"/>
  <c r="G370" i="4"/>
  <c r="BG369" i="4"/>
  <c r="BA369" i="4"/>
  <c r="BC369" i="4" s="1"/>
  <c r="AY369" i="4"/>
  <c r="AX369" i="4"/>
  <c r="AZ369" i="4" s="1"/>
  <c r="AW369" i="4"/>
  <c r="BK369" i="4" s="1"/>
  <c r="AR369" i="4"/>
  <c r="AN369" i="4"/>
  <c r="AK369" i="4"/>
  <c r="BH369" i="4" s="1"/>
  <c r="K369" i="4"/>
  <c r="J369" i="4"/>
  <c r="I369" i="4"/>
  <c r="H369" i="4"/>
  <c r="G369" i="4"/>
  <c r="AX368" i="4"/>
  <c r="AW368" i="4"/>
  <c r="BI368" i="4" s="1"/>
  <c r="AR368" i="4"/>
  <c r="BG368" i="4" s="1"/>
  <c r="AN368" i="4"/>
  <c r="AK368" i="4"/>
  <c r="BH368" i="4" s="1"/>
  <c r="K368" i="4"/>
  <c r="J368" i="4"/>
  <c r="I368" i="4"/>
  <c r="H368" i="4"/>
  <c r="G368" i="4"/>
  <c r="BG367" i="4"/>
  <c r="BA367" i="4"/>
  <c r="BC367" i="4" s="1"/>
  <c r="AY367" i="4"/>
  <c r="AX367" i="4"/>
  <c r="AZ367" i="4" s="1"/>
  <c r="AW367" i="4"/>
  <c r="BK367" i="4" s="1"/>
  <c r="AR367" i="4"/>
  <c r="AN367" i="4"/>
  <c r="AK367" i="4"/>
  <c r="BH367" i="4" s="1"/>
  <c r="K367" i="4"/>
  <c r="J367" i="4"/>
  <c r="I367" i="4"/>
  <c r="H367" i="4"/>
  <c r="G367" i="4"/>
  <c r="AX366" i="4"/>
  <c r="AW366" i="4"/>
  <c r="BI366" i="4" s="1"/>
  <c r="AR366" i="4"/>
  <c r="BG366" i="4" s="1"/>
  <c r="AN366" i="4"/>
  <c r="AK366" i="4"/>
  <c r="BH366" i="4" s="1"/>
  <c r="K366" i="4"/>
  <c r="J366" i="4"/>
  <c r="I366" i="4"/>
  <c r="H366" i="4"/>
  <c r="G366" i="4"/>
  <c r="BG365" i="4"/>
  <c r="BA365" i="4"/>
  <c r="BC365" i="4" s="1"/>
  <c r="AY365" i="4"/>
  <c r="AX365" i="4"/>
  <c r="AZ365" i="4" s="1"/>
  <c r="AW365" i="4"/>
  <c r="BK365" i="4" s="1"/>
  <c r="AR365" i="4"/>
  <c r="AN365" i="4"/>
  <c r="AK365" i="4"/>
  <c r="BH365" i="4" s="1"/>
  <c r="K365" i="4"/>
  <c r="J365" i="4"/>
  <c r="I365" i="4"/>
  <c r="H365" i="4"/>
  <c r="G365" i="4"/>
  <c r="AX364" i="4"/>
  <c r="AW364" i="4"/>
  <c r="BI364" i="4" s="1"/>
  <c r="AR364" i="4"/>
  <c r="BG364" i="4" s="1"/>
  <c r="AN364" i="4"/>
  <c r="AK364" i="4"/>
  <c r="BH364" i="4" s="1"/>
  <c r="K364" i="4"/>
  <c r="J364" i="4"/>
  <c r="I364" i="4"/>
  <c r="H364" i="4"/>
  <c r="G364" i="4"/>
  <c r="BG363" i="4"/>
  <c r="BA363" i="4"/>
  <c r="BC363" i="4" s="1"/>
  <c r="AY363" i="4"/>
  <c r="AX363" i="4"/>
  <c r="AZ363" i="4" s="1"/>
  <c r="AW363" i="4"/>
  <c r="BK363" i="4" s="1"/>
  <c r="AR363" i="4"/>
  <c r="AN363" i="4"/>
  <c r="AK363" i="4"/>
  <c r="BH363" i="4" s="1"/>
  <c r="K363" i="4"/>
  <c r="J363" i="4"/>
  <c r="I363" i="4"/>
  <c r="H363" i="4"/>
  <c r="G363" i="4"/>
  <c r="AX362" i="4"/>
  <c r="AW362" i="4"/>
  <c r="BI362" i="4" s="1"/>
  <c r="AR362" i="4"/>
  <c r="BG362" i="4" s="1"/>
  <c r="AN362" i="4"/>
  <c r="AK362" i="4"/>
  <c r="BH362" i="4" s="1"/>
  <c r="K362" i="4"/>
  <c r="J362" i="4"/>
  <c r="I362" i="4"/>
  <c r="H362" i="4"/>
  <c r="G362" i="4"/>
  <c r="BG361" i="4"/>
  <c r="BA361" i="4"/>
  <c r="BC361" i="4" s="1"/>
  <c r="AY361" i="4"/>
  <c r="AX361" i="4"/>
  <c r="AZ361" i="4" s="1"/>
  <c r="AW361" i="4"/>
  <c r="BK361" i="4" s="1"/>
  <c r="AR361" i="4"/>
  <c r="AN361" i="4"/>
  <c r="AK361" i="4"/>
  <c r="BH361" i="4" s="1"/>
  <c r="K361" i="4"/>
  <c r="J361" i="4"/>
  <c r="I361" i="4"/>
  <c r="H361" i="4"/>
  <c r="G361" i="4"/>
  <c r="AX360" i="4"/>
  <c r="AW360" i="4"/>
  <c r="BI360" i="4" s="1"/>
  <c r="AR360" i="4"/>
  <c r="BG360" i="4" s="1"/>
  <c r="AN360" i="4"/>
  <c r="AK360" i="4"/>
  <c r="BH360" i="4" s="1"/>
  <c r="K360" i="4"/>
  <c r="J360" i="4"/>
  <c r="I360" i="4"/>
  <c r="H360" i="4"/>
  <c r="G360" i="4"/>
  <c r="BG359" i="4"/>
  <c r="BA359" i="4"/>
  <c r="BC359" i="4" s="1"/>
  <c r="AY359" i="4"/>
  <c r="AX359" i="4"/>
  <c r="AZ359" i="4" s="1"/>
  <c r="AW359" i="4"/>
  <c r="BK359" i="4" s="1"/>
  <c r="AR359" i="4"/>
  <c r="AN359" i="4"/>
  <c r="AK359" i="4"/>
  <c r="BH359" i="4" s="1"/>
  <c r="K359" i="4"/>
  <c r="J359" i="4"/>
  <c r="I359" i="4"/>
  <c r="H359" i="4"/>
  <c r="G359" i="4"/>
  <c r="AX358" i="4"/>
  <c r="AW358" i="4"/>
  <c r="BI358" i="4" s="1"/>
  <c r="AR358" i="4"/>
  <c r="BG358" i="4" s="1"/>
  <c r="AN358" i="4"/>
  <c r="AK358" i="4"/>
  <c r="BH358" i="4" s="1"/>
  <c r="K358" i="4"/>
  <c r="J358" i="4"/>
  <c r="I358" i="4"/>
  <c r="H358" i="4"/>
  <c r="G358" i="4"/>
  <c r="BG357" i="4"/>
  <c r="BA357" i="4"/>
  <c r="BC357" i="4" s="1"/>
  <c r="AY357" i="4"/>
  <c r="AX357" i="4"/>
  <c r="AZ357" i="4" s="1"/>
  <c r="AW357" i="4"/>
  <c r="BK357" i="4" s="1"/>
  <c r="AR357" i="4"/>
  <c r="AN357" i="4"/>
  <c r="AK357" i="4"/>
  <c r="BH357" i="4" s="1"/>
  <c r="K357" i="4"/>
  <c r="J357" i="4"/>
  <c r="I357" i="4"/>
  <c r="H357" i="4"/>
  <c r="G357" i="4"/>
  <c r="AX356" i="4"/>
  <c r="AW356" i="4"/>
  <c r="BI356" i="4" s="1"/>
  <c r="AR356" i="4"/>
  <c r="BG356" i="4" s="1"/>
  <c r="AN356" i="4"/>
  <c r="AK356" i="4"/>
  <c r="BH356" i="4" s="1"/>
  <c r="K356" i="4"/>
  <c r="J356" i="4"/>
  <c r="I356" i="4"/>
  <c r="H356" i="4"/>
  <c r="G356" i="4"/>
  <c r="BG355" i="4"/>
  <c r="BA355" i="4"/>
  <c r="BC355" i="4" s="1"/>
  <c r="AY355" i="4"/>
  <c r="AX355" i="4"/>
  <c r="AZ355" i="4" s="1"/>
  <c r="AW355" i="4"/>
  <c r="BK355" i="4" s="1"/>
  <c r="AR355" i="4"/>
  <c r="AN355" i="4"/>
  <c r="AK355" i="4"/>
  <c r="BH355" i="4" s="1"/>
  <c r="K355" i="4"/>
  <c r="J355" i="4"/>
  <c r="I355" i="4"/>
  <c r="H355" i="4"/>
  <c r="G355" i="4"/>
  <c r="AX354" i="4"/>
  <c r="AW354" i="4"/>
  <c r="BI354" i="4" s="1"/>
  <c r="AR354" i="4"/>
  <c r="BG354" i="4" s="1"/>
  <c r="AN354" i="4"/>
  <c r="AK354" i="4"/>
  <c r="BH354" i="4" s="1"/>
  <c r="K354" i="4"/>
  <c r="J354" i="4"/>
  <c r="I354" i="4"/>
  <c r="H354" i="4"/>
  <c r="G354" i="4"/>
  <c r="BG353" i="4"/>
  <c r="BA353" i="4"/>
  <c r="BC353" i="4" s="1"/>
  <c r="AY353" i="4"/>
  <c r="AX353" i="4"/>
  <c r="AZ353" i="4" s="1"/>
  <c r="AW353" i="4"/>
  <c r="BK353" i="4" s="1"/>
  <c r="AR353" i="4"/>
  <c r="AN353" i="4"/>
  <c r="AK353" i="4"/>
  <c r="BH353" i="4" s="1"/>
  <c r="K353" i="4"/>
  <c r="J353" i="4"/>
  <c r="I353" i="4"/>
  <c r="H353" i="4"/>
  <c r="G353" i="4"/>
  <c r="AX352" i="4"/>
  <c r="AW352" i="4"/>
  <c r="BI352" i="4" s="1"/>
  <c r="AR352" i="4"/>
  <c r="BG352" i="4" s="1"/>
  <c r="AN352" i="4"/>
  <c r="AK352" i="4"/>
  <c r="BH352" i="4" s="1"/>
  <c r="K352" i="4"/>
  <c r="J352" i="4"/>
  <c r="I352" i="4"/>
  <c r="H352" i="4"/>
  <c r="G352" i="4"/>
  <c r="BG351" i="4"/>
  <c r="BA351" i="4"/>
  <c r="BC351" i="4" s="1"/>
  <c r="AY351" i="4"/>
  <c r="AX351" i="4"/>
  <c r="AZ351" i="4" s="1"/>
  <c r="AW351" i="4"/>
  <c r="BK351" i="4" s="1"/>
  <c r="AR351" i="4"/>
  <c r="AN351" i="4"/>
  <c r="AK351" i="4"/>
  <c r="BH351" i="4" s="1"/>
  <c r="K351" i="4"/>
  <c r="J351" i="4"/>
  <c r="I351" i="4"/>
  <c r="H351" i="4"/>
  <c r="G351" i="4"/>
  <c r="AX350" i="4"/>
  <c r="AW350" i="4"/>
  <c r="BI350" i="4" s="1"/>
  <c r="AR350" i="4"/>
  <c r="BG350" i="4" s="1"/>
  <c r="AN350" i="4"/>
  <c r="AK350" i="4"/>
  <c r="BH350" i="4" s="1"/>
  <c r="K350" i="4"/>
  <c r="J350" i="4"/>
  <c r="I350" i="4"/>
  <c r="H350" i="4"/>
  <c r="G350" i="4"/>
  <c r="BG349" i="4"/>
  <c r="BA349" i="4"/>
  <c r="BC349" i="4" s="1"/>
  <c r="AY349" i="4"/>
  <c r="AX349" i="4"/>
  <c r="AZ349" i="4" s="1"/>
  <c r="AW349" i="4"/>
  <c r="BK349" i="4" s="1"/>
  <c r="AR349" i="4"/>
  <c r="AN349" i="4"/>
  <c r="AK349" i="4"/>
  <c r="BH349" i="4" s="1"/>
  <c r="K349" i="4"/>
  <c r="J349" i="4"/>
  <c r="I349" i="4"/>
  <c r="H349" i="4"/>
  <c r="G349" i="4"/>
  <c r="AX348" i="4"/>
  <c r="AW348" i="4"/>
  <c r="BI348" i="4" s="1"/>
  <c r="AR348" i="4"/>
  <c r="BG348" i="4" s="1"/>
  <c r="AN348" i="4"/>
  <c r="AK348" i="4"/>
  <c r="BH348" i="4" s="1"/>
  <c r="K348" i="4"/>
  <c r="J348" i="4"/>
  <c r="I348" i="4"/>
  <c r="H348" i="4"/>
  <c r="G348" i="4"/>
  <c r="BG347" i="4"/>
  <c r="BA347" i="4"/>
  <c r="BC347" i="4" s="1"/>
  <c r="AY347" i="4"/>
  <c r="AX347" i="4"/>
  <c r="AZ347" i="4" s="1"/>
  <c r="AW347" i="4"/>
  <c r="BK347" i="4" s="1"/>
  <c r="AR347" i="4"/>
  <c r="AN347" i="4"/>
  <c r="AK347" i="4"/>
  <c r="BH347" i="4" s="1"/>
  <c r="K347" i="4"/>
  <c r="J347" i="4"/>
  <c r="I347" i="4"/>
  <c r="H347" i="4"/>
  <c r="G347" i="4"/>
  <c r="AX346" i="4"/>
  <c r="AW346" i="4"/>
  <c r="BI346" i="4" s="1"/>
  <c r="AR346" i="4"/>
  <c r="BG346" i="4" s="1"/>
  <c r="AN346" i="4"/>
  <c r="AK346" i="4"/>
  <c r="BH346" i="4" s="1"/>
  <c r="K346" i="4"/>
  <c r="J346" i="4"/>
  <c r="I346" i="4"/>
  <c r="H346" i="4"/>
  <c r="G346" i="4"/>
  <c r="BG345" i="4"/>
  <c r="BA345" i="4"/>
  <c r="BC345" i="4" s="1"/>
  <c r="AY345" i="4"/>
  <c r="AX345" i="4"/>
  <c r="AZ345" i="4" s="1"/>
  <c r="AW345" i="4"/>
  <c r="BK345" i="4" s="1"/>
  <c r="AR345" i="4"/>
  <c r="AN345" i="4"/>
  <c r="AK345" i="4"/>
  <c r="BH345" i="4" s="1"/>
  <c r="K345" i="4"/>
  <c r="J345" i="4"/>
  <c r="I345" i="4"/>
  <c r="H345" i="4"/>
  <c r="G345" i="4"/>
  <c r="AX344" i="4"/>
  <c r="AW344" i="4"/>
  <c r="BI344" i="4" s="1"/>
  <c r="AR344" i="4"/>
  <c r="BG344" i="4" s="1"/>
  <c r="AN344" i="4"/>
  <c r="AK344" i="4"/>
  <c r="BH344" i="4" s="1"/>
  <c r="K344" i="4"/>
  <c r="J344" i="4"/>
  <c r="I344" i="4"/>
  <c r="H344" i="4"/>
  <c r="G344" i="4"/>
  <c r="BG343" i="4"/>
  <c r="BA343" i="4"/>
  <c r="BC343" i="4" s="1"/>
  <c r="AY343" i="4"/>
  <c r="AX343" i="4"/>
  <c r="AZ343" i="4" s="1"/>
  <c r="AW343" i="4"/>
  <c r="BK343" i="4" s="1"/>
  <c r="AR343" i="4"/>
  <c r="AN343" i="4"/>
  <c r="AK343" i="4"/>
  <c r="BH343" i="4" s="1"/>
  <c r="K343" i="4"/>
  <c r="J343" i="4"/>
  <c r="I343" i="4"/>
  <c r="H343" i="4"/>
  <c r="G343" i="4"/>
  <c r="AX342" i="4"/>
  <c r="AW342" i="4"/>
  <c r="BI342" i="4" s="1"/>
  <c r="AR342" i="4"/>
  <c r="BG342" i="4" s="1"/>
  <c r="AN342" i="4"/>
  <c r="AK342" i="4"/>
  <c r="BH342" i="4" s="1"/>
  <c r="K342" i="4"/>
  <c r="J342" i="4"/>
  <c r="I342" i="4"/>
  <c r="H342" i="4"/>
  <c r="G342" i="4"/>
  <c r="BG341" i="4"/>
  <c r="BA341" i="4"/>
  <c r="BC341" i="4" s="1"/>
  <c r="AY341" i="4"/>
  <c r="AX341" i="4"/>
  <c r="AZ341" i="4" s="1"/>
  <c r="AW341" i="4"/>
  <c r="BK341" i="4" s="1"/>
  <c r="AR341" i="4"/>
  <c r="AN341" i="4"/>
  <c r="AK341" i="4"/>
  <c r="BH341" i="4" s="1"/>
  <c r="K341" i="4"/>
  <c r="J341" i="4"/>
  <c r="I341" i="4"/>
  <c r="H341" i="4"/>
  <c r="G341" i="4"/>
  <c r="AX340" i="4"/>
  <c r="AW340" i="4"/>
  <c r="BI340" i="4" s="1"/>
  <c r="AR340" i="4"/>
  <c r="BG340" i="4" s="1"/>
  <c r="AN340" i="4"/>
  <c r="AK340" i="4"/>
  <c r="BH340" i="4" s="1"/>
  <c r="K340" i="4"/>
  <c r="J340" i="4"/>
  <c r="I340" i="4"/>
  <c r="H340" i="4"/>
  <c r="G340" i="4"/>
  <c r="BG339" i="4"/>
  <c r="BA339" i="4"/>
  <c r="BC339" i="4" s="1"/>
  <c r="AY339" i="4"/>
  <c r="AX339" i="4"/>
  <c r="AZ339" i="4" s="1"/>
  <c r="AW339" i="4"/>
  <c r="BK339" i="4" s="1"/>
  <c r="AR339" i="4"/>
  <c r="AN339" i="4"/>
  <c r="AK339" i="4"/>
  <c r="BH339" i="4" s="1"/>
  <c r="K339" i="4"/>
  <c r="J339" i="4"/>
  <c r="I339" i="4"/>
  <c r="H339" i="4"/>
  <c r="G339" i="4"/>
  <c r="AX338" i="4"/>
  <c r="AW338" i="4"/>
  <c r="BI338" i="4" s="1"/>
  <c r="AR338" i="4"/>
  <c r="BG338" i="4" s="1"/>
  <c r="AN338" i="4"/>
  <c r="AK338" i="4"/>
  <c r="BH338" i="4" s="1"/>
  <c r="K338" i="4"/>
  <c r="J338" i="4"/>
  <c r="I338" i="4"/>
  <c r="H338" i="4"/>
  <c r="G338" i="4"/>
  <c r="BG337" i="4"/>
  <c r="BA337" i="4"/>
  <c r="BC337" i="4" s="1"/>
  <c r="AY337" i="4"/>
  <c r="AX337" i="4"/>
  <c r="AZ337" i="4" s="1"/>
  <c r="AW337" i="4"/>
  <c r="BK337" i="4" s="1"/>
  <c r="AR337" i="4"/>
  <c r="AN337" i="4"/>
  <c r="AK337" i="4"/>
  <c r="BH337" i="4" s="1"/>
  <c r="K337" i="4"/>
  <c r="J337" i="4"/>
  <c r="I337" i="4"/>
  <c r="H337" i="4"/>
  <c r="G337" i="4"/>
  <c r="AX336" i="4"/>
  <c r="AW336" i="4"/>
  <c r="BI336" i="4" s="1"/>
  <c r="AR336" i="4"/>
  <c r="BG336" i="4" s="1"/>
  <c r="AN336" i="4"/>
  <c r="AK336" i="4"/>
  <c r="BH336" i="4" s="1"/>
  <c r="K336" i="4"/>
  <c r="J336" i="4"/>
  <c r="I336" i="4"/>
  <c r="H336" i="4"/>
  <c r="G336" i="4"/>
  <c r="BG335" i="4"/>
  <c r="BA335" i="4"/>
  <c r="BC335" i="4" s="1"/>
  <c r="AY335" i="4"/>
  <c r="AX335" i="4"/>
  <c r="AZ335" i="4" s="1"/>
  <c r="AW335" i="4"/>
  <c r="BK335" i="4" s="1"/>
  <c r="AR335" i="4"/>
  <c r="AN335" i="4"/>
  <c r="AK335" i="4"/>
  <c r="BH335" i="4" s="1"/>
  <c r="K335" i="4"/>
  <c r="J335" i="4"/>
  <c r="I335" i="4"/>
  <c r="H335" i="4"/>
  <c r="G335" i="4"/>
  <c r="AX334" i="4"/>
  <c r="AW334" i="4"/>
  <c r="BI334" i="4" s="1"/>
  <c r="AR334" i="4"/>
  <c r="BG334" i="4" s="1"/>
  <c r="AN334" i="4"/>
  <c r="AK334" i="4"/>
  <c r="BH334" i="4" s="1"/>
  <c r="K334" i="4"/>
  <c r="J334" i="4"/>
  <c r="I334" i="4"/>
  <c r="H334" i="4"/>
  <c r="G334" i="4"/>
  <c r="BG333" i="4"/>
  <c r="BA333" i="4"/>
  <c r="BC333" i="4" s="1"/>
  <c r="AY333" i="4"/>
  <c r="AX333" i="4"/>
  <c r="AZ333" i="4" s="1"/>
  <c r="AW333" i="4"/>
  <c r="BK333" i="4" s="1"/>
  <c r="AR333" i="4"/>
  <c r="AN333" i="4"/>
  <c r="AK333" i="4"/>
  <c r="BH333" i="4" s="1"/>
  <c r="K333" i="4"/>
  <c r="J333" i="4"/>
  <c r="I333" i="4"/>
  <c r="H333" i="4"/>
  <c r="G333" i="4"/>
  <c r="AX332" i="4"/>
  <c r="AW332" i="4"/>
  <c r="BI332" i="4" s="1"/>
  <c r="AR332" i="4"/>
  <c r="BG332" i="4" s="1"/>
  <c r="AN332" i="4"/>
  <c r="AK332" i="4"/>
  <c r="BH332" i="4" s="1"/>
  <c r="K332" i="4"/>
  <c r="J332" i="4"/>
  <c r="I332" i="4"/>
  <c r="H332" i="4"/>
  <c r="G332" i="4"/>
  <c r="BG331" i="4"/>
  <c r="BA331" i="4"/>
  <c r="BC331" i="4" s="1"/>
  <c r="AY331" i="4"/>
  <c r="AX331" i="4"/>
  <c r="AZ331" i="4" s="1"/>
  <c r="AW331" i="4"/>
  <c r="BK331" i="4" s="1"/>
  <c r="AR331" i="4"/>
  <c r="AN331" i="4"/>
  <c r="AK331" i="4"/>
  <c r="BH331" i="4" s="1"/>
  <c r="K331" i="4"/>
  <c r="J331" i="4"/>
  <c r="I331" i="4"/>
  <c r="H331" i="4"/>
  <c r="G331" i="4"/>
  <c r="AX330" i="4"/>
  <c r="AW330" i="4"/>
  <c r="BI330" i="4" s="1"/>
  <c r="AR330" i="4"/>
  <c r="BG330" i="4" s="1"/>
  <c r="AN330" i="4"/>
  <c r="AK330" i="4"/>
  <c r="BH330" i="4" s="1"/>
  <c r="K330" i="4"/>
  <c r="J330" i="4"/>
  <c r="I330" i="4"/>
  <c r="H330" i="4"/>
  <c r="G330" i="4"/>
  <c r="BG329" i="4"/>
  <c r="BA329" i="4"/>
  <c r="BC329" i="4" s="1"/>
  <c r="AY329" i="4"/>
  <c r="AX329" i="4"/>
  <c r="AZ329" i="4" s="1"/>
  <c r="AW329" i="4"/>
  <c r="BK329" i="4" s="1"/>
  <c r="AR329" i="4"/>
  <c r="AN329" i="4"/>
  <c r="AK329" i="4"/>
  <c r="BH329" i="4" s="1"/>
  <c r="K329" i="4"/>
  <c r="J329" i="4"/>
  <c r="I329" i="4"/>
  <c r="H329" i="4"/>
  <c r="G329" i="4"/>
  <c r="AX328" i="4"/>
  <c r="AW328" i="4"/>
  <c r="BI328" i="4" s="1"/>
  <c r="AR328" i="4"/>
  <c r="BG328" i="4" s="1"/>
  <c r="AN328" i="4"/>
  <c r="AK328" i="4"/>
  <c r="BH328" i="4" s="1"/>
  <c r="K328" i="4"/>
  <c r="J328" i="4"/>
  <c r="I328" i="4"/>
  <c r="H328" i="4"/>
  <c r="G328" i="4"/>
  <c r="BG327" i="4"/>
  <c r="BA327" i="4"/>
  <c r="BC327" i="4" s="1"/>
  <c r="AY327" i="4"/>
  <c r="AX327" i="4"/>
  <c r="AZ327" i="4" s="1"/>
  <c r="AW327" i="4"/>
  <c r="BK327" i="4" s="1"/>
  <c r="AR327" i="4"/>
  <c r="AN327" i="4"/>
  <c r="AK327" i="4"/>
  <c r="BH327" i="4" s="1"/>
  <c r="K327" i="4"/>
  <c r="J327" i="4"/>
  <c r="I327" i="4"/>
  <c r="H327" i="4"/>
  <c r="G327" i="4"/>
  <c r="AX326" i="4"/>
  <c r="AW326" i="4"/>
  <c r="BI326" i="4" s="1"/>
  <c r="AR326" i="4"/>
  <c r="BG326" i="4" s="1"/>
  <c r="AN326" i="4"/>
  <c r="AK326" i="4"/>
  <c r="BH326" i="4" s="1"/>
  <c r="K326" i="4"/>
  <c r="J326" i="4"/>
  <c r="I326" i="4"/>
  <c r="H326" i="4"/>
  <c r="G326" i="4"/>
  <c r="BG325" i="4"/>
  <c r="BA325" i="4"/>
  <c r="BC325" i="4" s="1"/>
  <c r="AY325" i="4"/>
  <c r="AX325" i="4"/>
  <c r="AZ325" i="4" s="1"/>
  <c r="AW325" i="4"/>
  <c r="BK325" i="4" s="1"/>
  <c r="AR325" i="4"/>
  <c r="AN325" i="4"/>
  <c r="AK325" i="4"/>
  <c r="BH325" i="4" s="1"/>
  <c r="K325" i="4"/>
  <c r="J325" i="4"/>
  <c r="I325" i="4"/>
  <c r="H325" i="4"/>
  <c r="G325" i="4"/>
  <c r="AX324" i="4"/>
  <c r="AW324" i="4"/>
  <c r="BI324" i="4" s="1"/>
  <c r="AR324" i="4"/>
  <c r="BG324" i="4" s="1"/>
  <c r="AN324" i="4"/>
  <c r="AK324" i="4"/>
  <c r="BH324" i="4" s="1"/>
  <c r="K324" i="4"/>
  <c r="J324" i="4"/>
  <c r="I324" i="4"/>
  <c r="H324" i="4"/>
  <c r="G324" i="4"/>
  <c r="BG323" i="4"/>
  <c r="BA323" i="4"/>
  <c r="BC323" i="4" s="1"/>
  <c r="AY323" i="4"/>
  <c r="AX323" i="4"/>
  <c r="AZ323" i="4" s="1"/>
  <c r="AW323" i="4"/>
  <c r="BK323" i="4" s="1"/>
  <c r="AR323" i="4"/>
  <c r="AN323" i="4"/>
  <c r="AK323" i="4"/>
  <c r="BH323" i="4" s="1"/>
  <c r="K323" i="4"/>
  <c r="J323" i="4"/>
  <c r="I323" i="4"/>
  <c r="H323" i="4"/>
  <c r="G323" i="4"/>
  <c r="AX322" i="4"/>
  <c r="AW322" i="4"/>
  <c r="BI322" i="4" s="1"/>
  <c r="AR322" i="4"/>
  <c r="BG322" i="4" s="1"/>
  <c r="AN322" i="4"/>
  <c r="AK322" i="4"/>
  <c r="BH322" i="4" s="1"/>
  <c r="K322" i="4"/>
  <c r="J322" i="4"/>
  <c r="I322" i="4"/>
  <c r="H322" i="4"/>
  <c r="G322" i="4"/>
  <c r="BG321" i="4"/>
  <c r="BA321" i="4"/>
  <c r="BC321" i="4" s="1"/>
  <c r="AY321" i="4"/>
  <c r="AX321" i="4"/>
  <c r="AZ321" i="4" s="1"/>
  <c r="AW321" i="4"/>
  <c r="BK321" i="4" s="1"/>
  <c r="AR321" i="4"/>
  <c r="AN321" i="4"/>
  <c r="AK321" i="4"/>
  <c r="BH321" i="4" s="1"/>
  <c r="K321" i="4"/>
  <c r="J321" i="4"/>
  <c r="I321" i="4"/>
  <c r="H321" i="4"/>
  <c r="G321" i="4"/>
  <c r="AX320" i="4"/>
  <c r="AW320" i="4"/>
  <c r="BI320" i="4" s="1"/>
  <c r="AR320" i="4"/>
  <c r="BG320" i="4" s="1"/>
  <c r="AN320" i="4"/>
  <c r="AK320" i="4"/>
  <c r="BH320" i="4" s="1"/>
  <c r="K320" i="4"/>
  <c r="J320" i="4"/>
  <c r="I320" i="4"/>
  <c r="H320" i="4"/>
  <c r="G320" i="4"/>
  <c r="BG319" i="4"/>
  <c r="BA319" i="4"/>
  <c r="BC319" i="4" s="1"/>
  <c r="AY319" i="4"/>
  <c r="AX319" i="4"/>
  <c r="AZ319" i="4" s="1"/>
  <c r="AW319" i="4"/>
  <c r="BK319" i="4" s="1"/>
  <c r="AR319" i="4"/>
  <c r="AN319" i="4"/>
  <c r="AK319" i="4"/>
  <c r="BH319" i="4" s="1"/>
  <c r="K319" i="4"/>
  <c r="J319" i="4"/>
  <c r="I319" i="4"/>
  <c r="H319" i="4"/>
  <c r="G319" i="4"/>
  <c r="AX318" i="4"/>
  <c r="AW318" i="4"/>
  <c r="BI318" i="4" s="1"/>
  <c r="AR318" i="4"/>
  <c r="BG318" i="4" s="1"/>
  <c r="AN318" i="4"/>
  <c r="AK318" i="4"/>
  <c r="BH318" i="4" s="1"/>
  <c r="K318" i="4"/>
  <c r="J318" i="4"/>
  <c r="I318" i="4"/>
  <c r="H318" i="4"/>
  <c r="G318" i="4"/>
  <c r="BG317" i="4"/>
  <c r="BA317" i="4"/>
  <c r="BC317" i="4" s="1"/>
  <c r="AY317" i="4"/>
  <c r="AX317" i="4"/>
  <c r="AZ317" i="4" s="1"/>
  <c r="AW317" i="4"/>
  <c r="BK317" i="4" s="1"/>
  <c r="AR317" i="4"/>
  <c r="AN317" i="4"/>
  <c r="AK317" i="4"/>
  <c r="BH317" i="4" s="1"/>
  <c r="K317" i="4"/>
  <c r="J317" i="4"/>
  <c r="I317" i="4"/>
  <c r="H317" i="4"/>
  <c r="G317" i="4"/>
  <c r="AX316" i="4"/>
  <c r="AW316" i="4"/>
  <c r="BI316" i="4" s="1"/>
  <c r="AR316" i="4"/>
  <c r="BG316" i="4" s="1"/>
  <c r="AN316" i="4"/>
  <c r="AK316" i="4"/>
  <c r="BH316" i="4" s="1"/>
  <c r="K316" i="4"/>
  <c r="J316" i="4"/>
  <c r="I316" i="4"/>
  <c r="H316" i="4"/>
  <c r="G316" i="4"/>
  <c r="BG315" i="4"/>
  <c r="BA315" i="4"/>
  <c r="BC315" i="4" s="1"/>
  <c r="AY315" i="4"/>
  <c r="AX315" i="4"/>
  <c r="AZ315" i="4" s="1"/>
  <c r="AW315" i="4"/>
  <c r="BK315" i="4" s="1"/>
  <c r="AR315" i="4"/>
  <c r="AN315" i="4"/>
  <c r="AK315" i="4"/>
  <c r="BH315" i="4" s="1"/>
  <c r="K315" i="4"/>
  <c r="J315" i="4"/>
  <c r="I315" i="4"/>
  <c r="H315" i="4"/>
  <c r="G315" i="4"/>
  <c r="AX314" i="4"/>
  <c r="AW314" i="4"/>
  <c r="BI314" i="4" s="1"/>
  <c r="AR314" i="4"/>
  <c r="BG314" i="4" s="1"/>
  <c r="AN314" i="4"/>
  <c r="AK314" i="4"/>
  <c r="BH314" i="4" s="1"/>
  <c r="K314" i="4"/>
  <c r="J314" i="4"/>
  <c r="I314" i="4"/>
  <c r="H314" i="4"/>
  <c r="G314" i="4"/>
  <c r="BG313" i="4"/>
  <c r="BA313" i="4"/>
  <c r="BC313" i="4" s="1"/>
  <c r="AY313" i="4"/>
  <c r="AX313" i="4"/>
  <c r="AZ313" i="4" s="1"/>
  <c r="AW313" i="4"/>
  <c r="BK313" i="4" s="1"/>
  <c r="AR313" i="4"/>
  <c r="AN313" i="4"/>
  <c r="AK313" i="4"/>
  <c r="BH313" i="4" s="1"/>
  <c r="K313" i="4"/>
  <c r="J313" i="4"/>
  <c r="I313" i="4"/>
  <c r="H313" i="4"/>
  <c r="G313" i="4"/>
  <c r="AX312" i="4"/>
  <c r="AW312" i="4"/>
  <c r="BI312" i="4" s="1"/>
  <c r="AR312" i="4"/>
  <c r="BG312" i="4" s="1"/>
  <c r="AN312" i="4"/>
  <c r="AK312" i="4"/>
  <c r="BH312" i="4" s="1"/>
  <c r="K312" i="4"/>
  <c r="J312" i="4"/>
  <c r="I312" i="4"/>
  <c r="H312" i="4"/>
  <c r="G312" i="4"/>
  <c r="BG311" i="4"/>
  <c r="BA311" i="4"/>
  <c r="BC311" i="4" s="1"/>
  <c r="AY311" i="4"/>
  <c r="AX311" i="4"/>
  <c r="AZ311" i="4" s="1"/>
  <c r="AW311" i="4"/>
  <c r="BK311" i="4" s="1"/>
  <c r="AR311" i="4"/>
  <c r="AN311" i="4"/>
  <c r="AK311" i="4"/>
  <c r="BH311" i="4" s="1"/>
  <c r="K311" i="4"/>
  <c r="J311" i="4"/>
  <c r="I311" i="4"/>
  <c r="H311" i="4"/>
  <c r="G311" i="4"/>
  <c r="AX310" i="4"/>
  <c r="AW310" i="4"/>
  <c r="BI310" i="4" s="1"/>
  <c r="AR310" i="4"/>
  <c r="BG310" i="4" s="1"/>
  <c r="AN310" i="4"/>
  <c r="AK310" i="4"/>
  <c r="BH310" i="4" s="1"/>
  <c r="K310" i="4"/>
  <c r="J310" i="4"/>
  <c r="I310" i="4"/>
  <c r="H310" i="4"/>
  <c r="G310" i="4"/>
  <c r="BG309" i="4"/>
  <c r="BA309" i="4"/>
  <c r="BC309" i="4" s="1"/>
  <c r="AY309" i="4"/>
  <c r="AX309" i="4"/>
  <c r="AZ309" i="4" s="1"/>
  <c r="AW309" i="4"/>
  <c r="BK309" i="4" s="1"/>
  <c r="AR309" i="4"/>
  <c r="AN309" i="4"/>
  <c r="AK309" i="4"/>
  <c r="BH309" i="4" s="1"/>
  <c r="K309" i="4"/>
  <c r="J309" i="4"/>
  <c r="I309" i="4"/>
  <c r="H309" i="4"/>
  <c r="G309" i="4"/>
  <c r="AX308" i="4"/>
  <c r="AW308" i="4"/>
  <c r="BI308" i="4" s="1"/>
  <c r="AR308" i="4"/>
  <c r="BG308" i="4" s="1"/>
  <c r="AN308" i="4"/>
  <c r="AK308" i="4"/>
  <c r="BH308" i="4" s="1"/>
  <c r="K308" i="4"/>
  <c r="J308" i="4"/>
  <c r="I308" i="4"/>
  <c r="H308" i="4"/>
  <c r="G308" i="4"/>
  <c r="BG307" i="4"/>
  <c r="BA307" i="4"/>
  <c r="BC307" i="4" s="1"/>
  <c r="AY307" i="4"/>
  <c r="AX307" i="4"/>
  <c r="AZ307" i="4" s="1"/>
  <c r="AW307" i="4"/>
  <c r="BK307" i="4" s="1"/>
  <c r="AR307" i="4"/>
  <c r="AN307" i="4"/>
  <c r="AK307" i="4"/>
  <c r="BH307" i="4" s="1"/>
  <c r="K307" i="4"/>
  <c r="J307" i="4"/>
  <c r="I307" i="4"/>
  <c r="H307" i="4"/>
  <c r="G307" i="4"/>
  <c r="AX306" i="4"/>
  <c r="AW306" i="4"/>
  <c r="BI306" i="4" s="1"/>
  <c r="AR306" i="4"/>
  <c r="BG306" i="4" s="1"/>
  <c r="AN306" i="4"/>
  <c r="AK306" i="4"/>
  <c r="BH306" i="4" s="1"/>
  <c r="K306" i="4"/>
  <c r="J306" i="4"/>
  <c r="I306" i="4"/>
  <c r="H306" i="4"/>
  <c r="G306" i="4"/>
  <c r="BG305" i="4"/>
  <c r="BA305" i="4"/>
  <c r="BC305" i="4" s="1"/>
  <c r="AY305" i="4"/>
  <c r="AX305" i="4"/>
  <c r="AZ305" i="4" s="1"/>
  <c r="AW305" i="4"/>
  <c r="BK305" i="4" s="1"/>
  <c r="AR305" i="4"/>
  <c r="AN305" i="4"/>
  <c r="AK305" i="4"/>
  <c r="BH305" i="4" s="1"/>
  <c r="K305" i="4"/>
  <c r="J305" i="4"/>
  <c r="I305" i="4"/>
  <c r="H305" i="4"/>
  <c r="G305" i="4"/>
  <c r="AX304" i="4"/>
  <c r="AW304" i="4"/>
  <c r="BI304" i="4" s="1"/>
  <c r="AR304" i="4"/>
  <c r="BG304" i="4" s="1"/>
  <c r="AN304" i="4"/>
  <c r="AK304" i="4"/>
  <c r="BH304" i="4" s="1"/>
  <c r="K304" i="4"/>
  <c r="J304" i="4"/>
  <c r="I304" i="4"/>
  <c r="H304" i="4"/>
  <c r="G304" i="4"/>
  <c r="BG303" i="4"/>
  <c r="BA303" i="4"/>
  <c r="BC303" i="4" s="1"/>
  <c r="AY303" i="4"/>
  <c r="AX303" i="4"/>
  <c r="AZ303" i="4" s="1"/>
  <c r="AW303" i="4"/>
  <c r="BK303" i="4" s="1"/>
  <c r="AR303" i="4"/>
  <c r="AN303" i="4"/>
  <c r="AK303" i="4"/>
  <c r="BH303" i="4" s="1"/>
  <c r="K303" i="4"/>
  <c r="J303" i="4"/>
  <c r="I303" i="4"/>
  <c r="H303" i="4"/>
  <c r="G303" i="4"/>
  <c r="AX302" i="4"/>
  <c r="AW302" i="4"/>
  <c r="BI302" i="4" s="1"/>
  <c r="AR302" i="4"/>
  <c r="BG302" i="4" s="1"/>
  <c r="AN302" i="4"/>
  <c r="AK302" i="4"/>
  <c r="BH302" i="4" s="1"/>
  <c r="K302" i="4"/>
  <c r="J302" i="4"/>
  <c r="I302" i="4"/>
  <c r="H302" i="4"/>
  <c r="G302" i="4"/>
  <c r="BG301" i="4"/>
  <c r="BA301" i="4"/>
  <c r="BC301" i="4" s="1"/>
  <c r="AY301" i="4"/>
  <c r="AX301" i="4"/>
  <c r="AZ301" i="4" s="1"/>
  <c r="AW301" i="4"/>
  <c r="BK301" i="4" s="1"/>
  <c r="AR301" i="4"/>
  <c r="AN301" i="4"/>
  <c r="AK301" i="4"/>
  <c r="BH301" i="4" s="1"/>
  <c r="K301" i="4"/>
  <c r="J301" i="4"/>
  <c r="I301" i="4"/>
  <c r="H301" i="4"/>
  <c r="G301" i="4"/>
  <c r="AX300" i="4"/>
  <c r="AW300" i="4"/>
  <c r="BI300" i="4" s="1"/>
  <c r="AR300" i="4"/>
  <c r="BG300" i="4" s="1"/>
  <c r="AN300" i="4"/>
  <c r="AK300" i="4"/>
  <c r="BH300" i="4" s="1"/>
  <c r="K300" i="4"/>
  <c r="J300" i="4"/>
  <c r="I300" i="4"/>
  <c r="H300" i="4"/>
  <c r="G300" i="4"/>
  <c r="BG299" i="4"/>
  <c r="BA299" i="4"/>
  <c r="BC299" i="4" s="1"/>
  <c r="AY299" i="4"/>
  <c r="AX299" i="4"/>
  <c r="AZ299" i="4" s="1"/>
  <c r="AW299" i="4"/>
  <c r="BK299" i="4" s="1"/>
  <c r="AR299" i="4"/>
  <c r="AN299" i="4"/>
  <c r="AK299" i="4"/>
  <c r="BH299" i="4" s="1"/>
  <c r="K299" i="4"/>
  <c r="J299" i="4"/>
  <c r="I299" i="4"/>
  <c r="H299" i="4"/>
  <c r="G299" i="4"/>
  <c r="AX298" i="4"/>
  <c r="AW298" i="4"/>
  <c r="BI298" i="4" s="1"/>
  <c r="AR298" i="4"/>
  <c r="BG298" i="4" s="1"/>
  <c r="AN298" i="4"/>
  <c r="AK298" i="4"/>
  <c r="BH298" i="4" s="1"/>
  <c r="K298" i="4"/>
  <c r="J298" i="4"/>
  <c r="I298" i="4"/>
  <c r="H298" i="4"/>
  <c r="G298" i="4"/>
  <c r="BG297" i="4"/>
  <c r="BA297" i="4"/>
  <c r="BC297" i="4" s="1"/>
  <c r="AY297" i="4"/>
  <c r="AX297" i="4"/>
  <c r="AZ297" i="4" s="1"/>
  <c r="AW297" i="4"/>
  <c r="BK297" i="4" s="1"/>
  <c r="AR297" i="4"/>
  <c r="AN297" i="4"/>
  <c r="AK297" i="4"/>
  <c r="BH297" i="4" s="1"/>
  <c r="K297" i="4"/>
  <c r="J297" i="4"/>
  <c r="I297" i="4"/>
  <c r="H297" i="4"/>
  <c r="G297" i="4"/>
  <c r="AX296" i="4"/>
  <c r="AW296" i="4"/>
  <c r="BI296" i="4" s="1"/>
  <c r="AR296" i="4"/>
  <c r="BG296" i="4" s="1"/>
  <c r="AN296" i="4"/>
  <c r="AK296" i="4"/>
  <c r="BH296" i="4" s="1"/>
  <c r="K296" i="4"/>
  <c r="J296" i="4"/>
  <c r="I296" i="4"/>
  <c r="H296" i="4"/>
  <c r="G296" i="4"/>
  <c r="BG295" i="4"/>
  <c r="BA295" i="4"/>
  <c r="BC295" i="4" s="1"/>
  <c r="AY295" i="4"/>
  <c r="AX295" i="4"/>
  <c r="AZ295" i="4" s="1"/>
  <c r="AW295" i="4"/>
  <c r="BK295" i="4" s="1"/>
  <c r="AR295" i="4"/>
  <c r="AN295" i="4"/>
  <c r="AK295" i="4"/>
  <c r="BH295" i="4" s="1"/>
  <c r="K295" i="4"/>
  <c r="J295" i="4"/>
  <c r="I295" i="4"/>
  <c r="H295" i="4"/>
  <c r="G295" i="4"/>
  <c r="AX294" i="4"/>
  <c r="AW294" i="4"/>
  <c r="BI294" i="4" s="1"/>
  <c r="AR294" i="4"/>
  <c r="BG294" i="4" s="1"/>
  <c r="AN294" i="4"/>
  <c r="AK294" i="4"/>
  <c r="BH294" i="4" s="1"/>
  <c r="K294" i="4"/>
  <c r="J294" i="4"/>
  <c r="I294" i="4"/>
  <c r="H294" i="4"/>
  <c r="G294" i="4"/>
  <c r="BG293" i="4"/>
  <c r="BA293" i="4"/>
  <c r="BC293" i="4" s="1"/>
  <c r="AY293" i="4"/>
  <c r="AX293" i="4"/>
  <c r="AZ293" i="4" s="1"/>
  <c r="AW293" i="4"/>
  <c r="BK293" i="4" s="1"/>
  <c r="AR293" i="4"/>
  <c r="AN293" i="4"/>
  <c r="AK293" i="4"/>
  <c r="BH293" i="4" s="1"/>
  <c r="K293" i="4"/>
  <c r="J293" i="4"/>
  <c r="I293" i="4"/>
  <c r="H293" i="4"/>
  <c r="G293" i="4"/>
  <c r="AX292" i="4"/>
  <c r="AW292" i="4"/>
  <c r="BI292" i="4" s="1"/>
  <c r="AR292" i="4"/>
  <c r="BG292" i="4" s="1"/>
  <c r="AN292" i="4"/>
  <c r="AK292" i="4"/>
  <c r="BH292" i="4" s="1"/>
  <c r="K292" i="4"/>
  <c r="J292" i="4"/>
  <c r="I292" i="4"/>
  <c r="H292" i="4"/>
  <c r="G292" i="4"/>
  <c r="BG291" i="4"/>
  <c r="BA291" i="4"/>
  <c r="BC291" i="4" s="1"/>
  <c r="AY291" i="4"/>
  <c r="AX291" i="4"/>
  <c r="AZ291" i="4" s="1"/>
  <c r="AW291" i="4"/>
  <c r="BK291" i="4" s="1"/>
  <c r="AR291" i="4"/>
  <c r="AN291" i="4"/>
  <c r="AK291" i="4"/>
  <c r="BH291" i="4" s="1"/>
  <c r="K291" i="4"/>
  <c r="J291" i="4"/>
  <c r="I291" i="4"/>
  <c r="H291" i="4"/>
  <c r="G291" i="4"/>
  <c r="AX290" i="4"/>
  <c r="AW290" i="4"/>
  <c r="BI290" i="4" s="1"/>
  <c r="AR290" i="4"/>
  <c r="BG290" i="4" s="1"/>
  <c r="AN290" i="4"/>
  <c r="AK290" i="4"/>
  <c r="BH290" i="4" s="1"/>
  <c r="K290" i="4"/>
  <c r="J290" i="4"/>
  <c r="I290" i="4"/>
  <c r="H290" i="4"/>
  <c r="G290" i="4"/>
  <c r="BG289" i="4"/>
  <c r="BA289" i="4"/>
  <c r="BC289" i="4" s="1"/>
  <c r="AY289" i="4"/>
  <c r="AX289" i="4"/>
  <c r="AZ289" i="4" s="1"/>
  <c r="AW289" i="4"/>
  <c r="BK289" i="4" s="1"/>
  <c r="AR289" i="4"/>
  <c r="AN289" i="4"/>
  <c r="AK289" i="4"/>
  <c r="BH289" i="4" s="1"/>
  <c r="K289" i="4"/>
  <c r="J289" i="4"/>
  <c r="I289" i="4"/>
  <c r="H289" i="4"/>
  <c r="G289" i="4"/>
  <c r="AX288" i="4"/>
  <c r="AW288" i="4"/>
  <c r="BI288" i="4" s="1"/>
  <c r="AR288" i="4"/>
  <c r="BG288" i="4" s="1"/>
  <c r="AN288" i="4"/>
  <c r="AK288" i="4"/>
  <c r="BH288" i="4" s="1"/>
  <c r="K288" i="4"/>
  <c r="J288" i="4"/>
  <c r="I288" i="4"/>
  <c r="H288" i="4"/>
  <c r="G288" i="4"/>
  <c r="BG287" i="4"/>
  <c r="BA287" i="4"/>
  <c r="BC287" i="4" s="1"/>
  <c r="AY287" i="4"/>
  <c r="AX287" i="4"/>
  <c r="AZ287" i="4" s="1"/>
  <c r="AW287" i="4"/>
  <c r="BK287" i="4" s="1"/>
  <c r="AR287" i="4"/>
  <c r="AN287" i="4"/>
  <c r="AK287" i="4"/>
  <c r="BH287" i="4" s="1"/>
  <c r="K287" i="4"/>
  <c r="J287" i="4"/>
  <c r="I287" i="4"/>
  <c r="H287" i="4"/>
  <c r="G287" i="4"/>
  <c r="AX286" i="4"/>
  <c r="AW286" i="4"/>
  <c r="BI286" i="4" s="1"/>
  <c r="AR286" i="4"/>
  <c r="BG286" i="4" s="1"/>
  <c r="AN286" i="4"/>
  <c r="AK286" i="4"/>
  <c r="BH286" i="4" s="1"/>
  <c r="K286" i="4"/>
  <c r="J286" i="4"/>
  <c r="I286" i="4"/>
  <c r="H286" i="4"/>
  <c r="G286" i="4"/>
  <c r="BG285" i="4"/>
  <c r="BA285" i="4"/>
  <c r="BC285" i="4" s="1"/>
  <c r="AY285" i="4"/>
  <c r="AX285" i="4"/>
  <c r="AZ285" i="4" s="1"/>
  <c r="AW285" i="4"/>
  <c r="BK285" i="4" s="1"/>
  <c r="AR285" i="4"/>
  <c r="AN285" i="4"/>
  <c r="AK285" i="4"/>
  <c r="BH285" i="4" s="1"/>
  <c r="K285" i="4"/>
  <c r="J285" i="4"/>
  <c r="I285" i="4"/>
  <c r="H285" i="4"/>
  <c r="G285" i="4"/>
  <c r="AX284" i="4"/>
  <c r="AW284" i="4"/>
  <c r="BI284" i="4" s="1"/>
  <c r="AR284" i="4"/>
  <c r="BG284" i="4" s="1"/>
  <c r="AN284" i="4"/>
  <c r="AK284" i="4"/>
  <c r="BH284" i="4" s="1"/>
  <c r="K284" i="4"/>
  <c r="J284" i="4"/>
  <c r="I284" i="4"/>
  <c r="H284" i="4"/>
  <c r="G284" i="4"/>
  <c r="BG283" i="4"/>
  <c r="BA283" i="4"/>
  <c r="BC283" i="4" s="1"/>
  <c r="AY283" i="4"/>
  <c r="AX283" i="4"/>
  <c r="AZ283" i="4" s="1"/>
  <c r="AW283" i="4"/>
  <c r="BK283" i="4" s="1"/>
  <c r="AR283" i="4"/>
  <c r="AN283" i="4"/>
  <c r="AK283" i="4"/>
  <c r="BH283" i="4" s="1"/>
  <c r="K283" i="4"/>
  <c r="J283" i="4"/>
  <c r="I283" i="4"/>
  <c r="H283" i="4"/>
  <c r="G283" i="4"/>
  <c r="AX282" i="4"/>
  <c r="AW282" i="4"/>
  <c r="BI282" i="4" s="1"/>
  <c r="AR282" i="4"/>
  <c r="BG282" i="4" s="1"/>
  <c r="AN282" i="4"/>
  <c r="AK282" i="4"/>
  <c r="BH282" i="4" s="1"/>
  <c r="K282" i="4"/>
  <c r="J282" i="4"/>
  <c r="I282" i="4"/>
  <c r="H282" i="4"/>
  <c r="G282" i="4"/>
  <c r="BG281" i="4"/>
  <c r="BA281" i="4"/>
  <c r="BC281" i="4" s="1"/>
  <c r="AY281" i="4"/>
  <c r="AX281" i="4"/>
  <c r="AZ281" i="4" s="1"/>
  <c r="AW281" i="4"/>
  <c r="BK281" i="4" s="1"/>
  <c r="AR281" i="4"/>
  <c r="AN281" i="4"/>
  <c r="AK281" i="4"/>
  <c r="BH281" i="4" s="1"/>
  <c r="K281" i="4"/>
  <c r="J281" i="4"/>
  <c r="I281" i="4"/>
  <c r="H281" i="4"/>
  <c r="G281" i="4"/>
  <c r="AX280" i="4"/>
  <c r="AW280" i="4"/>
  <c r="BI280" i="4" s="1"/>
  <c r="AR280" i="4"/>
  <c r="BG280" i="4" s="1"/>
  <c r="AN280" i="4"/>
  <c r="AK280" i="4"/>
  <c r="BH280" i="4" s="1"/>
  <c r="K280" i="4"/>
  <c r="J280" i="4"/>
  <c r="I280" i="4"/>
  <c r="H280" i="4"/>
  <c r="G280" i="4"/>
  <c r="BG279" i="4"/>
  <c r="BA279" i="4"/>
  <c r="BC279" i="4" s="1"/>
  <c r="AY279" i="4"/>
  <c r="AX279" i="4"/>
  <c r="AZ279" i="4" s="1"/>
  <c r="AW279" i="4"/>
  <c r="BK279" i="4" s="1"/>
  <c r="AR279" i="4"/>
  <c r="AN279" i="4"/>
  <c r="AK279" i="4"/>
  <c r="BH279" i="4" s="1"/>
  <c r="K279" i="4"/>
  <c r="J279" i="4"/>
  <c r="I279" i="4"/>
  <c r="H279" i="4"/>
  <c r="G279" i="4"/>
  <c r="AX278" i="4"/>
  <c r="AW278" i="4"/>
  <c r="BI278" i="4" s="1"/>
  <c r="AR278" i="4"/>
  <c r="BG278" i="4" s="1"/>
  <c r="AN278" i="4"/>
  <c r="AK278" i="4"/>
  <c r="BH278" i="4" s="1"/>
  <c r="K278" i="4"/>
  <c r="J278" i="4"/>
  <c r="I278" i="4"/>
  <c r="H278" i="4"/>
  <c r="G278" i="4"/>
  <c r="BG277" i="4"/>
  <c r="BA277" i="4"/>
  <c r="BC277" i="4" s="1"/>
  <c r="AY277" i="4"/>
  <c r="AX277" i="4"/>
  <c r="AZ277" i="4" s="1"/>
  <c r="AW277" i="4"/>
  <c r="BK277" i="4" s="1"/>
  <c r="AR277" i="4"/>
  <c r="AN277" i="4"/>
  <c r="AK277" i="4"/>
  <c r="BH277" i="4" s="1"/>
  <c r="K277" i="4"/>
  <c r="J277" i="4"/>
  <c r="I277" i="4"/>
  <c r="H277" i="4"/>
  <c r="G277" i="4"/>
  <c r="AX276" i="4"/>
  <c r="AW276" i="4"/>
  <c r="BI276" i="4" s="1"/>
  <c r="AR276" i="4"/>
  <c r="BG276" i="4" s="1"/>
  <c r="AN276" i="4"/>
  <c r="AK276" i="4"/>
  <c r="BH276" i="4" s="1"/>
  <c r="K276" i="4"/>
  <c r="J276" i="4"/>
  <c r="I276" i="4"/>
  <c r="H276" i="4"/>
  <c r="G276" i="4"/>
  <c r="BG275" i="4"/>
  <c r="BA275" i="4"/>
  <c r="BC275" i="4" s="1"/>
  <c r="AY275" i="4"/>
  <c r="AX275" i="4"/>
  <c r="AZ275" i="4" s="1"/>
  <c r="AW275" i="4"/>
  <c r="BK275" i="4" s="1"/>
  <c r="AR275" i="4"/>
  <c r="AN275" i="4"/>
  <c r="AK275" i="4"/>
  <c r="BH275" i="4" s="1"/>
  <c r="K275" i="4"/>
  <c r="J275" i="4"/>
  <c r="I275" i="4"/>
  <c r="H275" i="4"/>
  <c r="G275" i="4"/>
  <c r="AX274" i="4"/>
  <c r="AW274" i="4"/>
  <c r="BI274" i="4" s="1"/>
  <c r="AR274" i="4"/>
  <c r="BG274" i="4" s="1"/>
  <c r="AN274" i="4"/>
  <c r="AK274" i="4"/>
  <c r="BH274" i="4" s="1"/>
  <c r="K274" i="4"/>
  <c r="J274" i="4"/>
  <c r="I274" i="4"/>
  <c r="H274" i="4"/>
  <c r="G274" i="4"/>
  <c r="BG273" i="4"/>
  <c r="BA273" i="4"/>
  <c r="BC273" i="4" s="1"/>
  <c r="AY273" i="4"/>
  <c r="AX273" i="4"/>
  <c r="AZ273" i="4" s="1"/>
  <c r="AW273" i="4"/>
  <c r="BK273" i="4" s="1"/>
  <c r="AR273" i="4"/>
  <c r="AN273" i="4"/>
  <c r="AK273" i="4"/>
  <c r="BH273" i="4" s="1"/>
  <c r="K273" i="4"/>
  <c r="J273" i="4"/>
  <c r="I273" i="4"/>
  <c r="H273" i="4"/>
  <c r="G273" i="4"/>
  <c r="AX272" i="4"/>
  <c r="AW272" i="4"/>
  <c r="BI272" i="4" s="1"/>
  <c r="AR272" i="4"/>
  <c r="BG272" i="4" s="1"/>
  <c r="AN272" i="4"/>
  <c r="AK272" i="4"/>
  <c r="BH272" i="4" s="1"/>
  <c r="K272" i="4"/>
  <c r="J272" i="4"/>
  <c r="I272" i="4"/>
  <c r="H272" i="4"/>
  <c r="G272" i="4"/>
  <c r="BG271" i="4"/>
  <c r="BA271" i="4"/>
  <c r="BC271" i="4" s="1"/>
  <c r="AY271" i="4"/>
  <c r="AX271" i="4"/>
  <c r="AZ271" i="4" s="1"/>
  <c r="AW271" i="4"/>
  <c r="BK271" i="4" s="1"/>
  <c r="AR271" i="4"/>
  <c r="AN271" i="4"/>
  <c r="AK271" i="4"/>
  <c r="BH271" i="4" s="1"/>
  <c r="K271" i="4"/>
  <c r="J271" i="4"/>
  <c r="I271" i="4"/>
  <c r="H271" i="4"/>
  <c r="G271" i="4"/>
  <c r="AX270" i="4"/>
  <c r="AW270" i="4"/>
  <c r="BI270" i="4" s="1"/>
  <c r="AR270" i="4"/>
  <c r="BG270" i="4" s="1"/>
  <c r="AN270" i="4"/>
  <c r="AK270" i="4"/>
  <c r="BH270" i="4" s="1"/>
  <c r="K270" i="4"/>
  <c r="J270" i="4"/>
  <c r="I270" i="4"/>
  <c r="H270" i="4"/>
  <c r="G270" i="4"/>
  <c r="BG269" i="4"/>
  <c r="BA269" i="4"/>
  <c r="BC269" i="4" s="1"/>
  <c r="AY269" i="4"/>
  <c r="AX269" i="4"/>
  <c r="AZ269" i="4" s="1"/>
  <c r="AW269" i="4"/>
  <c r="BK269" i="4" s="1"/>
  <c r="AR269" i="4"/>
  <c r="AN269" i="4"/>
  <c r="AK269" i="4"/>
  <c r="BH269" i="4" s="1"/>
  <c r="K269" i="4"/>
  <c r="J269" i="4"/>
  <c r="I269" i="4"/>
  <c r="H269" i="4"/>
  <c r="G269" i="4"/>
  <c r="AX268" i="4"/>
  <c r="AW268" i="4"/>
  <c r="BI268" i="4" s="1"/>
  <c r="AR268" i="4"/>
  <c r="BG268" i="4" s="1"/>
  <c r="AN268" i="4"/>
  <c r="AK268" i="4"/>
  <c r="BH268" i="4" s="1"/>
  <c r="K268" i="4"/>
  <c r="J268" i="4"/>
  <c r="I268" i="4"/>
  <c r="H268" i="4"/>
  <c r="G268" i="4"/>
  <c r="BG267" i="4"/>
  <c r="BA267" i="4"/>
  <c r="BC267" i="4" s="1"/>
  <c r="AY267" i="4"/>
  <c r="AX267" i="4"/>
  <c r="AZ267" i="4" s="1"/>
  <c r="AW267" i="4"/>
  <c r="BK267" i="4" s="1"/>
  <c r="AR267" i="4"/>
  <c r="AN267" i="4"/>
  <c r="AK267" i="4"/>
  <c r="BH267" i="4" s="1"/>
  <c r="K267" i="4"/>
  <c r="J267" i="4"/>
  <c r="I267" i="4"/>
  <c r="H267" i="4"/>
  <c r="G267" i="4"/>
  <c r="AX266" i="4"/>
  <c r="AW266" i="4"/>
  <c r="BI266" i="4" s="1"/>
  <c r="AR266" i="4"/>
  <c r="BG266" i="4" s="1"/>
  <c r="AN266" i="4"/>
  <c r="AK266" i="4"/>
  <c r="BH266" i="4" s="1"/>
  <c r="K266" i="4"/>
  <c r="J266" i="4"/>
  <c r="I266" i="4"/>
  <c r="H266" i="4"/>
  <c r="G266" i="4"/>
  <c r="BG265" i="4"/>
  <c r="BA265" i="4"/>
  <c r="BC265" i="4" s="1"/>
  <c r="AY265" i="4"/>
  <c r="AX265" i="4"/>
  <c r="AZ265" i="4" s="1"/>
  <c r="AW265" i="4"/>
  <c r="BK265" i="4" s="1"/>
  <c r="AR265" i="4"/>
  <c r="AN265" i="4"/>
  <c r="AK265" i="4"/>
  <c r="BH265" i="4" s="1"/>
  <c r="K265" i="4"/>
  <c r="J265" i="4"/>
  <c r="I265" i="4"/>
  <c r="H265" i="4"/>
  <c r="G265" i="4"/>
  <c r="AX264" i="4"/>
  <c r="AW264" i="4"/>
  <c r="BI264" i="4" s="1"/>
  <c r="AR264" i="4"/>
  <c r="BG264" i="4" s="1"/>
  <c r="AN264" i="4"/>
  <c r="AK264" i="4"/>
  <c r="BH264" i="4" s="1"/>
  <c r="K264" i="4"/>
  <c r="J264" i="4"/>
  <c r="I264" i="4"/>
  <c r="H264" i="4"/>
  <c r="G264" i="4"/>
  <c r="BG263" i="4"/>
  <c r="BA263" i="4"/>
  <c r="BC263" i="4" s="1"/>
  <c r="AY263" i="4"/>
  <c r="AX263" i="4"/>
  <c r="AZ263" i="4" s="1"/>
  <c r="AW263" i="4"/>
  <c r="BK263" i="4" s="1"/>
  <c r="AR263" i="4"/>
  <c r="AN263" i="4"/>
  <c r="AK263" i="4"/>
  <c r="BH263" i="4" s="1"/>
  <c r="K263" i="4"/>
  <c r="J263" i="4"/>
  <c r="I263" i="4"/>
  <c r="H263" i="4"/>
  <c r="G263" i="4"/>
  <c r="AX262" i="4"/>
  <c r="AW262" i="4"/>
  <c r="BI262" i="4" s="1"/>
  <c r="AR262" i="4"/>
  <c r="BG262" i="4" s="1"/>
  <c r="AN262" i="4"/>
  <c r="AK262" i="4"/>
  <c r="BH262" i="4" s="1"/>
  <c r="K262" i="4"/>
  <c r="J262" i="4"/>
  <c r="I262" i="4"/>
  <c r="H262" i="4"/>
  <c r="G262" i="4"/>
  <c r="BG261" i="4"/>
  <c r="BA261" i="4"/>
  <c r="BC261" i="4" s="1"/>
  <c r="AY261" i="4"/>
  <c r="AX261" i="4"/>
  <c r="AZ261" i="4" s="1"/>
  <c r="AW261" i="4"/>
  <c r="BK261" i="4" s="1"/>
  <c r="AR261" i="4"/>
  <c r="AN261" i="4"/>
  <c r="AK261" i="4"/>
  <c r="BH261" i="4" s="1"/>
  <c r="K261" i="4"/>
  <c r="J261" i="4"/>
  <c r="I261" i="4"/>
  <c r="H261" i="4"/>
  <c r="G261" i="4"/>
  <c r="AX260" i="4"/>
  <c r="AW260" i="4"/>
  <c r="BI260" i="4" s="1"/>
  <c r="AR260" i="4"/>
  <c r="BG260" i="4" s="1"/>
  <c r="AN260" i="4"/>
  <c r="AK260" i="4"/>
  <c r="BH260" i="4" s="1"/>
  <c r="K260" i="4"/>
  <c r="J260" i="4"/>
  <c r="I260" i="4"/>
  <c r="H260" i="4"/>
  <c r="G260" i="4"/>
  <c r="BG259" i="4"/>
  <c r="BA259" i="4"/>
  <c r="BC259" i="4" s="1"/>
  <c r="AY259" i="4"/>
  <c r="AX259" i="4"/>
  <c r="AZ259" i="4" s="1"/>
  <c r="AW259" i="4"/>
  <c r="BK259" i="4" s="1"/>
  <c r="AR259" i="4"/>
  <c r="AN259" i="4"/>
  <c r="AK259" i="4"/>
  <c r="BH259" i="4" s="1"/>
  <c r="K259" i="4"/>
  <c r="J259" i="4"/>
  <c r="I259" i="4"/>
  <c r="H259" i="4"/>
  <c r="G259" i="4"/>
  <c r="AX258" i="4"/>
  <c r="AW258" i="4"/>
  <c r="BI258" i="4" s="1"/>
  <c r="AR258" i="4"/>
  <c r="BG258" i="4" s="1"/>
  <c r="AN258" i="4"/>
  <c r="AK258" i="4"/>
  <c r="BH258" i="4" s="1"/>
  <c r="K258" i="4"/>
  <c r="J258" i="4"/>
  <c r="I258" i="4"/>
  <c r="H258" i="4"/>
  <c r="G258" i="4"/>
  <c r="BG257" i="4"/>
  <c r="BA257" i="4"/>
  <c r="BC257" i="4" s="1"/>
  <c r="AY257" i="4"/>
  <c r="AX257" i="4"/>
  <c r="AZ257" i="4" s="1"/>
  <c r="AW257" i="4"/>
  <c r="BK257" i="4" s="1"/>
  <c r="AR257" i="4"/>
  <c r="AN257" i="4"/>
  <c r="AK257" i="4"/>
  <c r="BH257" i="4" s="1"/>
  <c r="K257" i="4"/>
  <c r="J257" i="4"/>
  <c r="I257" i="4"/>
  <c r="H257" i="4"/>
  <c r="G257" i="4"/>
  <c r="AX256" i="4"/>
  <c r="AW256" i="4"/>
  <c r="BI256" i="4" s="1"/>
  <c r="AR256" i="4"/>
  <c r="BG256" i="4" s="1"/>
  <c r="AN256" i="4"/>
  <c r="AK256" i="4"/>
  <c r="BH256" i="4" s="1"/>
  <c r="K256" i="4"/>
  <c r="J256" i="4"/>
  <c r="I256" i="4"/>
  <c r="H256" i="4"/>
  <c r="G256" i="4"/>
  <c r="BG255" i="4"/>
  <c r="BA255" i="4"/>
  <c r="BC255" i="4" s="1"/>
  <c r="AY255" i="4"/>
  <c r="AX255" i="4"/>
  <c r="AZ255" i="4" s="1"/>
  <c r="AW255" i="4"/>
  <c r="BK255" i="4" s="1"/>
  <c r="AR255" i="4"/>
  <c r="AN255" i="4"/>
  <c r="AK255" i="4"/>
  <c r="BH255" i="4" s="1"/>
  <c r="K255" i="4"/>
  <c r="J255" i="4"/>
  <c r="I255" i="4"/>
  <c r="H255" i="4"/>
  <c r="G255" i="4"/>
  <c r="AX254" i="4"/>
  <c r="AW254" i="4"/>
  <c r="BI254" i="4" s="1"/>
  <c r="AR254" i="4"/>
  <c r="BG254" i="4" s="1"/>
  <c r="AN254" i="4"/>
  <c r="AK254" i="4"/>
  <c r="BH254" i="4" s="1"/>
  <c r="K254" i="4"/>
  <c r="J254" i="4"/>
  <c r="I254" i="4"/>
  <c r="H254" i="4"/>
  <c r="G254" i="4"/>
  <c r="BG253" i="4"/>
  <c r="BA253" i="4"/>
  <c r="BC253" i="4" s="1"/>
  <c r="AY253" i="4"/>
  <c r="AX253" i="4"/>
  <c r="AZ253" i="4" s="1"/>
  <c r="AW253" i="4"/>
  <c r="BK253" i="4" s="1"/>
  <c r="AR253" i="4"/>
  <c r="AN253" i="4"/>
  <c r="AK253" i="4"/>
  <c r="BH253" i="4" s="1"/>
  <c r="K253" i="4"/>
  <c r="J253" i="4"/>
  <c r="I253" i="4"/>
  <c r="H253" i="4"/>
  <c r="G253" i="4"/>
  <c r="AX252" i="4"/>
  <c r="AW252" i="4"/>
  <c r="BI252" i="4" s="1"/>
  <c r="AR252" i="4"/>
  <c r="BG252" i="4" s="1"/>
  <c r="AN252" i="4"/>
  <c r="AK252" i="4"/>
  <c r="BH252" i="4" s="1"/>
  <c r="K252" i="4"/>
  <c r="J252" i="4"/>
  <c r="I252" i="4"/>
  <c r="H252" i="4"/>
  <c r="G252" i="4"/>
  <c r="BG251" i="4"/>
  <c r="BA251" i="4"/>
  <c r="BC251" i="4" s="1"/>
  <c r="AY251" i="4"/>
  <c r="AX251" i="4"/>
  <c r="AZ251" i="4" s="1"/>
  <c r="AW251" i="4"/>
  <c r="BK251" i="4" s="1"/>
  <c r="AR251" i="4"/>
  <c r="AN251" i="4"/>
  <c r="AK251" i="4"/>
  <c r="BH251" i="4" s="1"/>
  <c r="K251" i="4"/>
  <c r="J251" i="4"/>
  <c r="I251" i="4"/>
  <c r="H251" i="4"/>
  <c r="G251" i="4"/>
  <c r="AX250" i="4"/>
  <c r="AW250" i="4"/>
  <c r="BI250" i="4" s="1"/>
  <c r="AR250" i="4"/>
  <c r="BG250" i="4" s="1"/>
  <c r="AN250" i="4"/>
  <c r="AK250" i="4"/>
  <c r="BH250" i="4" s="1"/>
  <c r="K250" i="4"/>
  <c r="J250" i="4"/>
  <c r="I250" i="4"/>
  <c r="H250" i="4"/>
  <c r="G250" i="4"/>
  <c r="BG249" i="4"/>
  <c r="BA249" i="4"/>
  <c r="BC249" i="4" s="1"/>
  <c r="AY249" i="4"/>
  <c r="AX249" i="4"/>
  <c r="AZ249" i="4" s="1"/>
  <c r="AW249" i="4"/>
  <c r="BK249" i="4" s="1"/>
  <c r="AR249" i="4"/>
  <c r="AN249" i="4"/>
  <c r="AK249" i="4"/>
  <c r="BH249" i="4" s="1"/>
  <c r="K249" i="4"/>
  <c r="J249" i="4"/>
  <c r="I249" i="4"/>
  <c r="H249" i="4"/>
  <c r="G249" i="4"/>
  <c r="AX248" i="4"/>
  <c r="AW248" i="4"/>
  <c r="BI248" i="4" s="1"/>
  <c r="AR248" i="4"/>
  <c r="BG248" i="4" s="1"/>
  <c r="AN248" i="4"/>
  <c r="AK248" i="4"/>
  <c r="BH248" i="4" s="1"/>
  <c r="K248" i="4"/>
  <c r="J248" i="4"/>
  <c r="I248" i="4"/>
  <c r="H248" i="4"/>
  <c r="G248" i="4"/>
  <c r="BG247" i="4"/>
  <c r="BA247" i="4"/>
  <c r="BC247" i="4" s="1"/>
  <c r="AY247" i="4"/>
  <c r="AX247" i="4"/>
  <c r="AZ247" i="4" s="1"/>
  <c r="AW247" i="4"/>
  <c r="BK247" i="4" s="1"/>
  <c r="AR247" i="4"/>
  <c r="AN247" i="4"/>
  <c r="AK247" i="4"/>
  <c r="BH247" i="4" s="1"/>
  <c r="K247" i="4"/>
  <c r="J247" i="4"/>
  <c r="I247" i="4"/>
  <c r="H247" i="4"/>
  <c r="G247" i="4"/>
  <c r="AX246" i="4"/>
  <c r="AW246" i="4"/>
  <c r="BI246" i="4" s="1"/>
  <c r="AR246" i="4"/>
  <c r="BG246" i="4" s="1"/>
  <c r="AN246" i="4"/>
  <c r="AK246" i="4"/>
  <c r="BH246" i="4" s="1"/>
  <c r="K246" i="4"/>
  <c r="J246" i="4"/>
  <c r="I246" i="4"/>
  <c r="H246" i="4"/>
  <c r="G246" i="4"/>
  <c r="BG245" i="4"/>
  <c r="BA245" i="4"/>
  <c r="BC245" i="4" s="1"/>
  <c r="AY245" i="4"/>
  <c r="AX245" i="4"/>
  <c r="AZ245" i="4" s="1"/>
  <c r="AW245" i="4"/>
  <c r="BK245" i="4" s="1"/>
  <c r="AR245" i="4"/>
  <c r="AN245" i="4"/>
  <c r="AK245" i="4"/>
  <c r="BH245" i="4" s="1"/>
  <c r="K245" i="4"/>
  <c r="J245" i="4"/>
  <c r="I245" i="4"/>
  <c r="H245" i="4"/>
  <c r="G245" i="4"/>
  <c r="AX244" i="4"/>
  <c r="AW244" i="4"/>
  <c r="BI244" i="4" s="1"/>
  <c r="AR244" i="4"/>
  <c r="BG244" i="4" s="1"/>
  <c r="AN244" i="4"/>
  <c r="AK244" i="4"/>
  <c r="BH244" i="4" s="1"/>
  <c r="K244" i="4"/>
  <c r="J244" i="4"/>
  <c r="I244" i="4"/>
  <c r="H244" i="4"/>
  <c r="G244" i="4"/>
  <c r="BG243" i="4"/>
  <c r="BA243" i="4"/>
  <c r="BC243" i="4" s="1"/>
  <c r="AY243" i="4"/>
  <c r="AX243" i="4"/>
  <c r="AZ243" i="4" s="1"/>
  <c r="AW243" i="4"/>
  <c r="BK243" i="4" s="1"/>
  <c r="AR243" i="4"/>
  <c r="AN243" i="4"/>
  <c r="AK243" i="4"/>
  <c r="BH243" i="4" s="1"/>
  <c r="K243" i="4"/>
  <c r="J243" i="4"/>
  <c r="I243" i="4"/>
  <c r="H243" i="4"/>
  <c r="G243" i="4"/>
  <c r="AX242" i="4"/>
  <c r="AW242" i="4"/>
  <c r="BI242" i="4" s="1"/>
  <c r="AR242" i="4"/>
  <c r="BG242" i="4" s="1"/>
  <c r="AN242" i="4"/>
  <c r="AK242" i="4"/>
  <c r="BH242" i="4" s="1"/>
  <c r="K242" i="4"/>
  <c r="J242" i="4"/>
  <c r="I242" i="4"/>
  <c r="H242" i="4"/>
  <c r="G242" i="4"/>
  <c r="BG241" i="4"/>
  <c r="BA241" i="4"/>
  <c r="BC241" i="4" s="1"/>
  <c r="AY241" i="4"/>
  <c r="AX241" i="4"/>
  <c r="AZ241" i="4" s="1"/>
  <c r="AW241" i="4"/>
  <c r="BK241" i="4" s="1"/>
  <c r="AR241" i="4"/>
  <c r="AN241" i="4"/>
  <c r="AK241" i="4"/>
  <c r="BH241" i="4" s="1"/>
  <c r="K241" i="4"/>
  <c r="J241" i="4"/>
  <c r="I241" i="4"/>
  <c r="H241" i="4"/>
  <c r="G241" i="4"/>
  <c r="AX240" i="4"/>
  <c r="AW240" i="4"/>
  <c r="BI240" i="4" s="1"/>
  <c r="AR240" i="4"/>
  <c r="BG240" i="4" s="1"/>
  <c r="AN240" i="4"/>
  <c r="AK240" i="4"/>
  <c r="BH240" i="4" s="1"/>
  <c r="K240" i="4"/>
  <c r="J240" i="4"/>
  <c r="I240" i="4"/>
  <c r="H240" i="4"/>
  <c r="G240" i="4"/>
  <c r="BG239" i="4"/>
  <c r="BA239" i="4"/>
  <c r="BC239" i="4" s="1"/>
  <c r="AY239" i="4"/>
  <c r="AX239" i="4"/>
  <c r="AZ239" i="4" s="1"/>
  <c r="AW239" i="4"/>
  <c r="BK239" i="4" s="1"/>
  <c r="AR239" i="4"/>
  <c r="AN239" i="4"/>
  <c r="AK239" i="4"/>
  <c r="BH239" i="4" s="1"/>
  <c r="K239" i="4"/>
  <c r="J239" i="4"/>
  <c r="I239" i="4"/>
  <c r="H239" i="4"/>
  <c r="G239" i="4"/>
  <c r="AX238" i="4"/>
  <c r="AW238" i="4"/>
  <c r="BI238" i="4" s="1"/>
  <c r="AR238" i="4"/>
  <c r="BG238" i="4" s="1"/>
  <c r="AN238" i="4"/>
  <c r="AK238" i="4"/>
  <c r="BH238" i="4" s="1"/>
  <c r="K238" i="4"/>
  <c r="J238" i="4"/>
  <c r="I238" i="4"/>
  <c r="H238" i="4"/>
  <c r="G238" i="4"/>
  <c r="BG237" i="4"/>
  <c r="BA237" i="4"/>
  <c r="BC237" i="4" s="1"/>
  <c r="AY237" i="4"/>
  <c r="AX237" i="4"/>
  <c r="AZ237" i="4" s="1"/>
  <c r="AW237" i="4"/>
  <c r="BK237" i="4" s="1"/>
  <c r="AR237" i="4"/>
  <c r="AN237" i="4"/>
  <c r="AK237" i="4"/>
  <c r="BH237" i="4" s="1"/>
  <c r="K237" i="4"/>
  <c r="J237" i="4"/>
  <c r="I237" i="4"/>
  <c r="H237" i="4"/>
  <c r="G237" i="4"/>
  <c r="AX236" i="4"/>
  <c r="AW236" i="4"/>
  <c r="BI236" i="4" s="1"/>
  <c r="AR236" i="4"/>
  <c r="BG236" i="4" s="1"/>
  <c r="AN236" i="4"/>
  <c r="AK236" i="4"/>
  <c r="BH236" i="4" s="1"/>
  <c r="K236" i="4"/>
  <c r="J236" i="4"/>
  <c r="I236" i="4"/>
  <c r="H236" i="4"/>
  <c r="G236" i="4"/>
  <c r="BG235" i="4"/>
  <c r="BA235" i="4"/>
  <c r="BC235" i="4" s="1"/>
  <c r="AY235" i="4"/>
  <c r="AX235" i="4"/>
  <c r="AZ235" i="4" s="1"/>
  <c r="AW235" i="4"/>
  <c r="BK235" i="4" s="1"/>
  <c r="AR235" i="4"/>
  <c r="AN235" i="4"/>
  <c r="AK235" i="4"/>
  <c r="BH235" i="4" s="1"/>
  <c r="K235" i="4"/>
  <c r="J235" i="4"/>
  <c r="I235" i="4"/>
  <c r="H235" i="4"/>
  <c r="G235" i="4"/>
  <c r="AX234" i="4"/>
  <c r="AW234" i="4"/>
  <c r="BI234" i="4" s="1"/>
  <c r="AR234" i="4"/>
  <c r="BG234" i="4" s="1"/>
  <c r="AN234" i="4"/>
  <c r="AK234" i="4"/>
  <c r="BH234" i="4" s="1"/>
  <c r="K234" i="4"/>
  <c r="J234" i="4"/>
  <c r="I234" i="4"/>
  <c r="H234" i="4"/>
  <c r="G234" i="4"/>
  <c r="BG233" i="4"/>
  <c r="BA233" i="4"/>
  <c r="BC233" i="4" s="1"/>
  <c r="AY233" i="4"/>
  <c r="AX233" i="4"/>
  <c r="AZ233" i="4" s="1"/>
  <c r="AW233" i="4"/>
  <c r="BK233" i="4" s="1"/>
  <c r="AR233" i="4"/>
  <c r="AN233" i="4"/>
  <c r="AK233" i="4"/>
  <c r="BH233" i="4" s="1"/>
  <c r="K233" i="4"/>
  <c r="J233" i="4"/>
  <c r="I233" i="4"/>
  <c r="H233" i="4"/>
  <c r="G233" i="4"/>
  <c r="AX232" i="4"/>
  <c r="AW232" i="4"/>
  <c r="BI232" i="4" s="1"/>
  <c r="AR232" i="4"/>
  <c r="BG232" i="4" s="1"/>
  <c r="AN232" i="4"/>
  <c r="AK232" i="4"/>
  <c r="BH232" i="4" s="1"/>
  <c r="K232" i="4"/>
  <c r="J232" i="4"/>
  <c r="I232" i="4"/>
  <c r="H232" i="4"/>
  <c r="G232" i="4"/>
  <c r="BG231" i="4"/>
  <c r="BA231" i="4"/>
  <c r="BC231" i="4" s="1"/>
  <c r="AY231" i="4"/>
  <c r="AX231" i="4"/>
  <c r="AZ231" i="4" s="1"/>
  <c r="AW231" i="4"/>
  <c r="BK231" i="4" s="1"/>
  <c r="AR231" i="4"/>
  <c r="AN231" i="4"/>
  <c r="AK231" i="4"/>
  <c r="BH231" i="4" s="1"/>
  <c r="K231" i="4"/>
  <c r="J231" i="4"/>
  <c r="I231" i="4"/>
  <c r="H231" i="4"/>
  <c r="G231" i="4"/>
  <c r="AX230" i="4"/>
  <c r="AW230" i="4"/>
  <c r="BI230" i="4" s="1"/>
  <c r="AR230" i="4"/>
  <c r="BG230" i="4" s="1"/>
  <c r="AN230" i="4"/>
  <c r="AK230" i="4"/>
  <c r="BH230" i="4" s="1"/>
  <c r="K230" i="4"/>
  <c r="J230" i="4"/>
  <c r="I230" i="4"/>
  <c r="H230" i="4"/>
  <c r="G230" i="4"/>
  <c r="BG229" i="4"/>
  <c r="BA229" i="4"/>
  <c r="BC229" i="4" s="1"/>
  <c r="AY229" i="4"/>
  <c r="AX229" i="4"/>
  <c r="AZ229" i="4" s="1"/>
  <c r="AW229" i="4"/>
  <c r="BK229" i="4" s="1"/>
  <c r="AR229" i="4"/>
  <c r="AN229" i="4"/>
  <c r="AK229" i="4"/>
  <c r="BH229" i="4" s="1"/>
  <c r="K229" i="4"/>
  <c r="J229" i="4"/>
  <c r="I229" i="4"/>
  <c r="H229" i="4"/>
  <c r="G229" i="4"/>
  <c r="AX228" i="4"/>
  <c r="AW228" i="4"/>
  <c r="BI228" i="4" s="1"/>
  <c r="AR228" i="4"/>
  <c r="BG228" i="4" s="1"/>
  <c r="AN228" i="4"/>
  <c r="AK228" i="4"/>
  <c r="BH228" i="4" s="1"/>
  <c r="K228" i="4"/>
  <c r="J228" i="4"/>
  <c r="I228" i="4"/>
  <c r="H228" i="4"/>
  <c r="G228" i="4"/>
  <c r="BG227" i="4"/>
  <c r="BA227" i="4"/>
  <c r="BC227" i="4" s="1"/>
  <c r="AY227" i="4"/>
  <c r="AX227" i="4"/>
  <c r="AZ227" i="4" s="1"/>
  <c r="AW227" i="4"/>
  <c r="BK227" i="4" s="1"/>
  <c r="AR227" i="4"/>
  <c r="AN227" i="4"/>
  <c r="AK227" i="4"/>
  <c r="BH227" i="4" s="1"/>
  <c r="K227" i="4"/>
  <c r="J227" i="4"/>
  <c r="I227" i="4"/>
  <c r="H227" i="4"/>
  <c r="G227" i="4"/>
  <c r="AX226" i="4"/>
  <c r="AW226" i="4"/>
  <c r="BI226" i="4" s="1"/>
  <c r="AR226" i="4"/>
  <c r="BG226" i="4" s="1"/>
  <c r="AN226" i="4"/>
  <c r="AK226" i="4"/>
  <c r="BH226" i="4" s="1"/>
  <c r="K226" i="4"/>
  <c r="J226" i="4"/>
  <c r="I226" i="4"/>
  <c r="H226" i="4"/>
  <c r="G226" i="4"/>
  <c r="BG225" i="4"/>
  <c r="BA225" i="4"/>
  <c r="BC225" i="4" s="1"/>
  <c r="AY225" i="4"/>
  <c r="AX225" i="4"/>
  <c r="AZ225" i="4" s="1"/>
  <c r="AW225" i="4"/>
  <c r="BK225" i="4" s="1"/>
  <c r="AR225" i="4"/>
  <c r="AN225" i="4"/>
  <c r="AK225" i="4"/>
  <c r="BH225" i="4" s="1"/>
  <c r="K225" i="4"/>
  <c r="J225" i="4"/>
  <c r="I225" i="4"/>
  <c r="H225" i="4"/>
  <c r="G225" i="4"/>
  <c r="AX224" i="4"/>
  <c r="AW224" i="4"/>
  <c r="BI224" i="4" s="1"/>
  <c r="AR224" i="4"/>
  <c r="BG224" i="4" s="1"/>
  <c r="AN224" i="4"/>
  <c r="AK224" i="4"/>
  <c r="BH224" i="4" s="1"/>
  <c r="K224" i="4"/>
  <c r="J224" i="4"/>
  <c r="I224" i="4"/>
  <c r="H224" i="4"/>
  <c r="G224" i="4"/>
  <c r="BG223" i="4"/>
  <c r="BA223" i="4"/>
  <c r="BC223" i="4" s="1"/>
  <c r="AY223" i="4"/>
  <c r="AX223" i="4"/>
  <c r="AZ223" i="4" s="1"/>
  <c r="AW223" i="4"/>
  <c r="BK223" i="4" s="1"/>
  <c r="AR223" i="4"/>
  <c r="AN223" i="4"/>
  <c r="AK223" i="4"/>
  <c r="BH223" i="4" s="1"/>
  <c r="K223" i="4"/>
  <c r="J223" i="4"/>
  <c r="I223" i="4"/>
  <c r="H223" i="4"/>
  <c r="G223" i="4"/>
  <c r="AX222" i="4"/>
  <c r="AW222" i="4"/>
  <c r="BI222" i="4" s="1"/>
  <c r="AR222" i="4"/>
  <c r="BG222" i="4" s="1"/>
  <c r="AN222" i="4"/>
  <c r="AK222" i="4"/>
  <c r="BH222" i="4" s="1"/>
  <c r="K222" i="4"/>
  <c r="J222" i="4"/>
  <c r="I222" i="4"/>
  <c r="H222" i="4"/>
  <c r="G222" i="4"/>
  <c r="BG221" i="4"/>
  <c r="BA221" i="4"/>
  <c r="BC221" i="4" s="1"/>
  <c r="AY221" i="4"/>
  <c r="AX221" i="4"/>
  <c r="AZ221" i="4" s="1"/>
  <c r="AW221" i="4"/>
  <c r="BK221" i="4" s="1"/>
  <c r="AR221" i="4"/>
  <c r="AN221" i="4"/>
  <c r="AK221" i="4"/>
  <c r="BH221" i="4" s="1"/>
  <c r="K221" i="4"/>
  <c r="J221" i="4"/>
  <c r="I221" i="4"/>
  <c r="H221" i="4"/>
  <c r="G221" i="4"/>
  <c r="AX220" i="4"/>
  <c r="AW220" i="4"/>
  <c r="BI220" i="4" s="1"/>
  <c r="AR220" i="4"/>
  <c r="BG220" i="4" s="1"/>
  <c r="AN220" i="4"/>
  <c r="AK220" i="4"/>
  <c r="BH220" i="4" s="1"/>
  <c r="K220" i="4"/>
  <c r="J220" i="4"/>
  <c r="I220" i="4"/>
  <c r="H220" i="4"/>
  <c r="G220" i="4"/>
  <c r="BG219" i="4"/>
  <c r="BA219" i="4"/>
  <c r="BC219" i="4" s="1"/>
  <c r="AY219" i="4"/>
  <c r="AX219" i="4"/>
  <c r="AZ219" i="4" s="1"/>
  <c r="AW219" i="4"/>
  <c r="BK219" i="4" s="1"/>
  <c r="AR219" i="4"/>
  <c r="AN219" i="4"/>
  <c r="AK219" i="4"/>
  <c r="BH219" i="4" s="1"/>
  <c r="K219" i="4"/>
  <c r="J219" i="4"/>
  <c r="I219" i="4"/>
  <c r="H219" i="4"/>
  <c r="G219" i="4"/>
  <c r="AX218" i="4"/>
  <c r="AW218" i="4"/>
  <c r="BI218" i="4" s="1"/>
  <c r="AR218" i="4"/>
  <c r="BG218" i="4" s="1"/>
  <c r="AN218" i="4"/>
  <c r="AK218" i="4"/>
  <c r="BH218" i="4" s="1"/>
  <c r="K218" i="4"/>
  <c r="J218" i="4"/>
  <c r="I218" i="4"/>
  <c r="H218" i="4"/>
  <c r="G218" i="4"/>
  <c r="BG217" i="4"/>
  <c r="BA217" i="4"/>
  <c r="BC217" i="4" s="1"/>
  <c r="AY217" i="4"/>
  <c r="AX217" i="4"/>
  <c r="AZ217" i="4" s="1"/>
  <c r="AW217" i="4"/>
  <c r="BK217" i="4" s="1"/>
  <c r="AR217" i="4"/>
  <c r="AN217" i="4"/>
  <c r="AK217" i="4"/>
  <c r="BH217" i="4" s="1"/>
  <c r="K217" i="4"/>
  <c r="J217" i="4"/>
  <c r="I217" i="4"/>
  <c r="H217" i="4"/>
  <c r="G217" i="4"/>
  <c r="AX216" i="4"/>
  <c r="AW216" i="4"/>
  <c r="BI216" i="4" s="1"/>
  <c r="AR216" i="4"/>
  <c r="BG216" i="4" s="1"/>
  <c r="AN216" i="4"/>
  <c r="AK216" i="4"/>
  <c r="BH216" i="4" s="1"/>
  <c r="K216" i="4"/>
  <c r="J216" i="4"/>
  <c r="I216" i="4"/>
  <c r="H216" i="4"/>
  <c r="G216" i="4"/>
  <c r="BG215" i="4"/>
  <c r="BA215" i="4"/>
  <c r="BC215" i="4" s="1"/>
  <c r="AY215" i="4"/>
  <c r="AX215" i="4"/>
  <c r="AZ215" i="4" s="1"/>
  <c r="AW215" i="4"/>
  <c r="BK215" i="4" s="1"/>
  <c r="AR215" i="4"/>
  <c r="AN215" i="4"/>
  <c r="AK215" i="4"/>
  <c r="BH215" i="4" s="1"/>
  <c r="K215" i="4"/>
  <c r="J215" i="4"/>
  <c r="I215" i="4"/>
  <c r="H215" i="4"/>
  <c r="G215" i="4"/>
  <c r="AX214" i="4"/>
  <c r="AW214" i="4"/>
  <c r="BI214" i="4" s="1"/>
  <c r="AR214" i="4"/>
  <c r="BG214" i="4" s="1"/>
  <c r="AN214" i="4"/>
  <c r="AK214" i="4"/>
  <c r="BH214" i="4" s="1"/>
  <c r="K214" i="4"/>
  <c r="J214" i="4"/>
  <c r="I214" i="4"/>
  <c r="H214" i="4"/>
  <c r="G214" i="4"/>
  <c r="BG213" i="4"/>
  <c r="BA213" i="4"/>
  <c r="BC213" i="4" s="1"/>
  <c r="AY213" i="4"/>
  <c r="AX213" i="4"/>
  <c r="AZ213" i="4" s="1"/>
  <c r="AW213" i="4"/>
  <c r="BK213" i="4" s="1"/>
  <c r="AR213" i="4"/>
  <c r="AN213" i="4"/>
  <c r="AK213" i="4"/>
  <c r="BH213" i="4" s="1"/>
  <c r="K213" i="4"/>
  <c r="J213" i="4"/>
  <c r="I213" i="4"/>
  <c r="H213" i="4"/>
  <c r="G213" i="4"/>
  <c r="AX212" i="4"/>
  <c r="AW212" i="4"/>
  <c r="BI212" i="4" s="1"/>
  <c r="AR212" i="4"/>
  <c r="BG212" i="4" s="1"/>
  <c r="AN212" i="4"/>
  <c r="AK212" i="4"/>
  <c r="BH212" i="4" s="1"/>
  <c r="K212" i="4"/>
  <c r="J212" i="4"/>
  <c r="I212" i="4"/>
  <c r="H212" i="4"/>
  <c r="G212" i="4"/>
  <c r="BG211" i="4"/>
  <c r="BA211" i="4"/>
  <c r="BC211" i="4" s="1"/>
  <c r="AY211" i="4"/>
  <c r="AX211" i="4"/>
  <c r="AZ211" i="4" s="1"/>
  <c r="AW211" i="4"/>
  <c r="BK211" i="4" s="1"/>
  <c r="AR211" i="4"/>
  <c r="AN211" i="4"/>
  <c r="AK211" i="4"/>
  <c r="BH211" i="4" s="1"/>
  <c r="K211" i="4"/>
  <c r="J211" i="4"/>
  <c r="I211" i="4"/>
  <c r="H211" i="4"/>
  <c r="G211" i="4"/>
  <c r="AX210" i="4"/>
  <c r="AW210" i="4"/>
  <c r="BI210" i="4" s="1"/>
  <c r="AR210" i="4"/>
  <c r="BG210" i="4" s="1"/>
  <c r="AN210" i="4"/>
  <c r="AK210" i="4"/>
  <c r="BH210" i="4" s="1"/>
  <c r="K210" i="4"/>
  <c r="J210" i="4"/>
  <c r="I210" i="4"/>
  <c r="H210" i="4"/>
  <c r="G210" i="4"/>
  <c r="BG209" i="4"/>
  <c r="BA209" i="4"/>
  <c r="BC209" i="4" s="1"/>
  <c r="AY209" i="4"/>
  <c r="AX209" i="4"/>
  <c r="AZ209" i="4" s="1"/>
  <c r="AW209" i="4"/>
  <c r="BK209" i="4" s="1"/>
  <c r="AR209" i="4"/>
  <c r="AN209" i="4"/>
  <c r="AK209" i="4"/>
  <c r="BH209" i="4" s="1"/>
  <c r="K209" i="4"/>
  <c r="J209" i="4"/>
  <c r="I209" i="4"/>
  <c r="H209" i="4"/>
  <c r="G209" i="4"/>
  <c r="AX208" i="4"/>
  <c r="AW208" i="4"/>
  <c r="BI208" i="4" s="1"/>
  <c r="AR208" i="4"/>
  <c r="BG208" i="4" s="1"/>
  <c r="AN208" i="4"/>
  <c r="AK208" i="4"/>
  <c r="BH208" i="4" s="1"/>
  <c r="K208" i="4"/>
  <c r="J208" i="4"/>
  <c r="I208" i="4"/>
  <c r="H208" i="4"/>
  <c r="G208" i="4"/>
  <c r="BG207" i="4"/>
  <c r="BA207" i="4"/>
  <c r="BC207" i="4" s="1"/>
  <c r="AY207" i="4"/>
  <c r="AX207" i="4"/>
  <c r="AZ207" i="4" s="1"/>
  <c r="AW207" i="4"/>
  <c r="BK207" i="4" s="1"/>
  <c r="AR207" i="4"/>
  <c r="AN207" i="4"/>
  <c r="AK207" i="4"/>
  <c r="BH207" i="4" s="1"/>
  <c r="K207" i="4"/>
  <c r="J207" i="4"/>
  <c r="I207" i="4"/>
  <c r="H207" i="4"/>
  <c r="G207" i="4"/>
  <c r="AX206" i="4"/>
  <c r="AW206" i="4"/>
  <c r="BI206" i="4" s="1"/>
  <c r="AR206" i="4"/>
  <c r="BG206" i="4" s="1"/>
  <c r="AN206" i="4"/>
  <c r="AK206" i="4"/>
  <c r="BH206" i="4" s="1"/>
  <c r="K206" i="4"/>
  <c r="J206" i="4"/>
  <c r="I206" i="4"/>
  <c r="H206" i="4"/>
  <c r="G206" i="4"/>
  <c r="BG205" i="4"/>
  <c r="BC205" i="4"/>
  <c r="BA205" i="4"/>
  <c r="BB205" i="4" s="1"/>
  <c r="AY205" i="4"/>
  <c r="AX205" i="4"/>
  <c r="AW205" i="4"/>
  <c r="AR205" i="4"/>
  <c r="AN205" i="4"/>
  <c r="AK205" i="4"/>
  <c r="BH205" i="4" s="1"/>
  <c r="K205" i="4"/>
  <c r="J205" i="4"/>
  <c r="I205" i="4"/>
  <c r="H205" i="4"/>
  <c r="G205" i="4"/>
  <c r="BH204" i="4"/>
  <c r="BD204" i="4"/>
  <c r="BE204" i="4" s="1"/>
  <c r="AX204" i="4"/>
  <c r="AW204" i="4"/>
  <c r="BI204" i="4" s="1"/>
  <c r="AR204" i="4"/>
  <c r="AN204" i="4"/>
  <c r="AK204" i="4"/>
  <c r="K204" i="4"/>
  <c r="J204" i="4"/>
  <c r="I204" i="4"/>
  <c r="H204" i="4"/>
  <c r="G204" i="4"/>
  <c r="BI203" i="4"/>
  <c r="BG203" i="4"/>
  <c r="BA203" i="4"/>
  <c r="BB203" i="4" s="1"/>
  <c r="AY203" i="4"/>
  <c r="AX203" i="4"/>
  <c r="AZ203" i="4" s="1"/>
  <c r="AW203" i="4"/>
  <c r="BK203" i="4" s="1"/>
  <c r="AR203" i="4"/>
  <c r="AN203" i="4"/>
  <c r="AK203" i="4"/>
  <c r="BH203" i="4" s="1"/>
  <c r="K203" i="4"/>
  <c r="J203" i="4"/>
  <c r="I203" i="4"/>
  <c r="H203" i="4"/>
  <c r="G203" i="4"/>
  <c r="AX202" i="4"/>
  <c r="AW202" i="4"/>
  <c r="BI202" i="4" s="1"/>
  <c r="AR202" i="4"/>
  <c r="AN202" i="4"/>
  <c r="AK202" i="4"/>
  <c r="BH202" i="4" s="1"/>
  <c r="K202" i="4"/>
  <c r="J202" i="4"/>
  <c r="I202" i="4"/>
  <c r="H202" i="4"/>
  <c r="G202" i="4"/>
  <c r="BG201" i="4"/>
  <c r="BC201" i="4"/>
  <c r="BA201" i="4"/>
  <c r="BB201" i="4" s="1"/>
  <c r="AY201" i="4"/>
  <c r="AX201" i="4"/>
  <c r="AW201" i="4"/>
  <c r="BK201" i="4" s="1"/>
  <c r="AR201" i="4"/>
  <c r="AN201" i="4"/>
  <c r="AK201" i="4"/>
  <c r="BH201" i="4" s="1"/>
  <c r="K201" i="4"/>
  <c r="J201" i="4"/>
  <c r="I201" i="4"/>
  <c r="H201" i="4"/>
  <c r="G201" i="4"/>
  <c r="BH200" i="4"/>
  <c r="BD200" i="4"/>
  <c r="BE200" i="4" s="1"/>
  <c r="AX200" i="4"/>
  <c r="AW200" i="4"/>
  <c r="BI200" i="4" s="1"/>
  <c r="AR200" i="4"/>
  <c r="AN200" i="4"/>
  <c r="AK200" i="4"/>
  <c r="K200" i="4"/>
  <c r="J200" i="4"/>
  <c r="I200" i="4"/>
  <c r="H200" i="4"/>
  <c r="G200" i="4"/>
  <c r="BI199" i="4"/>
  <c r="BG199" i="4"/>
  <c r="BA199" i="4"/>
  <c r="BB199" i="4" s="1"/>
  <c r="AY199" i="4"/>
  <c r="AX199" i="4"/>
  <c r="AZ199" i="4" s="1"/>
  <c r="AW199" i="4"/>
  <c r="BK199" i="4" s="1"/>
  <c r="AR199" i="4"/>
  <c r="AN199" i="4"/>
  <c r="AK199" i="4"/>
  <c r="BH199" i="4" s="1"/>
  <c r="K199" i="4"/>
  <c r="J199" i="4"/>
  <c r="I199" i="4"/>
  <c r="H199" i="4"/>
  <c r="G199" i="4"/>
  <c r="AX198" i="4"/>
  <c r="AW198" i="4"/>
  <c r="BI198" i="4" s="1"/>
  <c r="AR198" i="4"/>
  <c r="AN198" i="4"/>
  <c r="AK198" i="4"/>
  <c r="BH198" i="4" s="1"/>
  <c r="K198" i="4"/>
  <c r="J198" i="4"/>
  <c r="I198" i="4"/>
  <c r="H198" i="4"/>
  <c r="G198" i="4"/>
  <c r="BG197" i="4"/>
  <c r="BC197" i="4"/>
  <c r="BA197" i="4"/>
  <c r="BB197" i="4" s="1"/>
  <c r="AY197" i="4"/>
  <c r="AX197" i="4"/>
  <c r="AW197" i="4"/>
  <c r="BK197" i="4" s="1"/>
  <c r="AR197" i="4"/>
  <c r="AN197" i="4"/>
  <c r="AK197" i="4"/>
  <c r="BH197" i="4" s="1"/>
  <c r="K197" i="4"/>
  <c r="J197" i="4"/>
  <c r="I197" i="4"/>
  <c r="H197" i="4"/>
  <c r="G197" i="4"/>
  <c r="BH196" i="4"/>
  <c r="BD196" i="4"/>
  <c r="BE196" i="4" s="1"/>
  <c r="AX196" i="4"/>
  <c r="AW196" i="4"/>
  <c r="BI196" i="4" s="1"/>
  <c r="AR196" i="4"/>
  <c r="AN196" i="4"/>
  <c r="AK196" i="4"/>
  <c r="K196" i="4"/>
  <c r="J196" i="4"/>
  <c r="I196" i="4"/>
  <c r="H196" i="4"/>
  <c r="G196" i="4"/>
  <c r="BI195" i="4"/>
  <c r="BG195" i="4"/>
  <c r="BA195" i="4"/>
  <c r="BB195" i="4" s="1"/>
  <c r="AY195" i="4"/>
  <c r="AX195" i="4"/>
  <c r="AZ195" i="4" s="1"/>
  <c r="AW195" i="4"/>
  <c r="BK195" i="4" s="1"/>
  <c r="AR195" i="4"/>
  <c r="AN195" i="4"/>
  <c r="AK195" i="4"/>
  <c r="BH195" i="4" s="1"/>
  <c r="K195" i="4"/>
  <c r="J195" i="4"/>
  <c r="I195" i="4"/>
  <c r="H195" i="4"/>
  <c r="G195" i="4"/>
  <c r="AX194" i="4"/>
  <c r="AW194" i="4"/>
  <c r="BI194" i="4" s="1"/>
  <c r="AR194" i="4"/>
  <c r="AN194" i="4"/>
  <c r="AK194" i="4"/>
  <c r="BH194" i="4" s="1"/>
  <c r="K194" i="4"/>
  <c r="J194" i="4"/>
  <c r="I194" i="4"/>
  <c r="H194" i="4"/>
  <c r="G194" i="4"/>
  <c r="BG193" i="4"/>
  <c r="BC193" i="4"/>
  <c r="BA193" i="4"/>
  <c r="BB193" i="4" s="1"/>
  <c r="AY193" i="4"/>
  <c r="AX193" i="4"/>
  <c r="AW193" i="4"/>
  <c r="BK193" i="4" s="1"/>
  <c r="AR193" i="4"/>
  <c r="AN193" i="4"/>
  <c r="AK193" i="4"/>
  <c r="BH193" i="4" s="1"/>
  <c r="K193" i="4"/>
  <c r="J193" i="4"/>
  <c r="I193" i="4"/>
  <c r="H193" i="4"/>
  <c r="G193" i="4"/>
  <c r="BH192" i="4"/>
  <c r="BD192" i="4"/>
  <c r="BE192" i="4" s="1"/>
  <c r="AX192" i="4"/>
  <c r="AW192" i="4"/>
  <c r="BI192" i="4" s="1"/>
  <c r="AR192" i="4"/>
  <c r="AN192" i="4"/>
  <c r="AK192" i="4"/>
  <c r="K192" i="4"/>
  <c r="J192" i="4"/>
  <c r="I192" i="4"/>
  <c r="H192" i="4"/>
  <c r="G192" i="4"/>
  <c r="BI191" i="4"/>
  <c r="BG191" i="4"/>
  <c r="BA191" i="4"/>
  <c r="BB191" i="4" s="1"/>
  <c r="AY191" i="4"/>
  <c r="AX191" i="4"/>
  <c r="AZ191" i="4" s="1"/>
  <c r="AW191" i="4"/>
  <c r="BK191" i="4" s="1"/>
  <c r="AR191" i="4"/>
  <c r="AN191" i="4"/>
  <c r="AK191" i="4"/>
  <c r="BH191" i="4" s="1"/>
  <c r="K191" i="4"/>
  <c r="J191" i="4"/>
  <c r="I191" i="4"/>
  <c r="H191" i="4"/>
  <c r="G191" i="4"/>
  <c r="AX190" i="4"/>
  <c r="AW190" i="4"/>
  <c r="BI190" i="4" s="1"/>
  <c r="AR190" i="4"/>
  <c r="AN190" i="4"/>
  <c r="AK190" i="4"/>
  <c r="BH190" i="4" s="1"/>
  <c r="K190" i="4"/>
  <c r="J190" i="4"/>
  <c r="I190" i="4"/>
  <c r="H190" i="4"/>
  <c r="G190" i="4"/>
  <c r="BG189" i="4"/>
  <c r="BC189" i="4"/>
  <c r="BA189" i="4"/>
  <c r="BB189" i="4" s="1"/>
  <c r="AY189" i="4"/>
  <c r="AX189" i="4"/>
  <c r="AW189" i="4"/>
  <c r="BK189" i="4" s="1"/>
  <c r="AR189" i="4"/>
  <c r="AN189" i="4"/>
  <c r="AK189" i="4"/>
  <c r="BH189" i="4" s="1"/>
  <c r="K189" i="4"/>
  <c r="J189" i="4"/>
  <c r="I189" i="4"/>
  <c r="H189" i="4"/>
  <c r="G189" i="4"/>
  <c r="BH188" i="4"/>
  <c r="BD188" i="4"/>
  <c r="BE188" i="4" s="1"/>
  <c r="AX188" i="4"/>
  <c r="AW188" i="4"/>
  <c r="BI188" i="4" s="1"/>
  <c r="AR188" i="4"/>
  <c r="AN188" i="4"/>
  <c r="AK188" i="4"/>
  <c r="K188" i="4"/>
  <c r="J188" i="4"/>
  <c r="I188" i="4"/>
  <c r="H188" i="4"/>
  <c r="G188" i="4"/>
  <c r="BI187" i="4"/>
  <c r="BG187" i="4"/>
  <c r="BA187" i="4"/>
  <c r="BB187" i="4" s="1"/>
  <c r="AY187" i="4"/>
  <c r="AX187" i="4"/>
  <c r="AZ187" i="4" s="1"/>
  <c r="AW187" i="4"/>
  <c r="BK187" i="4" s="1"/>
  <c r="AR187" i="4"/>
  <c r="AN187" i="4"/>
  <c r="AK187" i="4"/>
  <c r="BH187" i="4" s="1"/>
  <c r="K187" i="4"/>
  <c r="J187" i="4"/>
  <c r="I187" i="4"/>
  <c r="H187" i="4"/>
  <c r="G187" i="4"/>
  <c r="AX186" i="4"/>
  <c r="AW186" i="4"/>
  <c r="BI186" i="4" s="1"/>
  <c r="AR186" i="4"/>
  <c r="AN186" i="4"/>
  <c r="AK186" i="4"/>
  <c r="BH186" i="4" s="1"/>
  <c r="K186" i="4"/>
  <c r="J186" i="4"/>
  <c r="I186" i="4"/>
  <c r="H186" i="4"/>
  <c r="G186" i="4"/>
  <c r="BG185" i="4"/>
  <c r="BC185" i="4"/>
  <c r="BA185" i="4"/>
  <c r="BB185" i="4" s="1"/>
  <c r="AY185" i="4"/>
  <c r="AX185" i="4"/>
  <c r="AW185" i="4"/>
  <c r="BK185" i="4" s="1"/>
  <c r="AR185" i="4"/>
  <c r="AN185" i="4"/>
  <c r="AK185" i="4"/>
  <c r="BH185" i="4" s="1"/>
  <c r="K185" i="4"/>
  <c r="J185" i="4"/>
  <c r="I185" i="4"/>
  <c r="H185" i="4"/>
  <c r="G185" i="4"/>
  <c r="BH184" i="4"/>
  <c r="BD184" i="4"/>
  <c r="BE184" i="4" s="1"/>
  <c r="AX184" i="4"/>
  <c r="AW184" i="4"/>
  <c r="BI184" i="4" s="1"/>
  <c r="AR184" i="4"/>
  <c r="AN184" i="4"/>
  <c r="AK184" i="4"/>
  <c r="K184" i="4"/>
  <c r="J184" i="4"/>
  <c r="I184" i="4"/>
  <c r="H184" i="4"/>
  <c r="G184" i="4"/>
  <c r="BK183" i="4"/>
  <c r="BG183" i="4"/>
  <c r="BC183" i="4"/>
  <c r="BA183" i="4"/>
  <c r="BB183" i="4" s="1"/>
  <c r="AY183" i="4"/>
  <c r="AX183" i="4"/>
  <c r="AW183" i="4"/>
  <c r="BI183" i="4" s="1"/>
  <c r="AR183" i="4"/>
  <c r="AN183" i="4"/>
  <c r="AK183" i="4"/>
  <c r="BH183" i="4" s="1"/>
  <c r="K183" i="4"/>
  <c r="J183" i="4"/>
  <c r="I183" i="4"/>
  <c r="H183" i="4"/>
  <c r="G183" i="4"/>
  <c r="BH182" i="4"/>
  <c r="BD182" i="4"/>
  <c r="BE182" i="4" s="1"/>
  <c r="AX182" i="4"/>
  <c r="AW182" i="4"/>
  <c r="BI182" i="4" s="1"/>
  <c r="AR182" i="4"/>
  <c r="AN182" i="4"/>
  <c r="AK182" i="4"/>
  <c r="K182" i="4"/>
  <c r="J182" i="4"/>
  <c r="I182" i="4"/>
  <c r="H182" i="4"/>
  <c r="G182" i="4"/>
  <c r="BI181" i="4"/>
  <c r="BG181" i="4"/>
  <c r="BA181" i="4"/>
  <c r="BB181" i="4" s="1"/>
  <c r="AY181" i="4"/>
  <c r="AX181" i="4"/>
  <c r="AZ181" i="4" s="1"/>
  <c r="AW181" i="4"/>
  <c r="BK181" i="4" s="1"/>
  <c r="AR181" i="4"/>
  <c r="AN181" i="4"/>
  <c r="AK181" i="4"/>
  <c r="BH181" i="4" s="1"/>
  <c r="K181" i="4"/>
  <c r="J181" i="4"/>
  <c r="I181" i="4"/>
  <c r="H181" i="4"/>
  <c r="G181" i="4"/>
  <c r="AX180" i="4"/>
  <c r="AW180" i="4"/>
  <c r="BI180" i="4" s="1"/>
  <c r="AR180" i="4"/>
  <c r="AN180" i="4"/>
  <c r="AK180" i="4"/>
  <c r="K180" i="4"/>
  <c r="J180" i="4"/>
  <c r="I180" i="4"/>
  <c r="H180" i="4"/>
  <c r="G180" i="4"/>
  <c r="BG179" i="4"/>
  <c r="BC179" i="4"/>
  <c r="BA179" i="4"/>
  <c r="BB179" i="4" s="1"/>
  <c r="AY179" i="4"/>
  <c r="AX179" i="4"/>
  <c r="AW179" i="4"/>
  <c r="BI179" i="4" s="1"/>
  <c r="AR179" i="4"/>
  <c r="AN179" i="4"/>
  <c r="AK179" i="4"/>
  <c r="BH179" i="4" s="1"/>
  <c r="K179" i="4"/>
  <c r="J179" i="4"/>
  <c r="I179" i="4"/>
  <c r="H179" i="4"/>
  <c r="G179" i="4"/>
  <c r="BH178" i="4"/>
  <c r="BD178" i="4"/>
  <c r="BE178" i="4" s="1"/>
  <c r="AX178" i="4"/>
  <c r="AW178" i="4"/>
  <c r="BI178" i="4" s="1"/>
  <c r="AR178" i="4"/>
  <c r="AN178" i="4"/>
  <c r="AK178" i="4"/>
  <c r="K178" i="4"/>
  <c r="J178" i="4"/>
  <c r="I178" i="4"/>
  <c r="H178" i="4"/>
  <c r="G178" i="4"/>
  <c r="BI177" i="4"/>
  <c r="BG177" i="4"/>
  <c r="BA177" i="4"/>
  <c r="BB177" i="4" s="1"/>
  <c r="AY177" i="4"/>
  <c r="AX177" i="4"/>
  <c r="AZ177" i="4" s="1"/>
  <c r="AW177" i="4"/>
  <c r="BK177" i="4" s="1"/>
  <c r="AR177" i="4"/>
  <c r="AN177" i="4"/>
  <c r="AK177" i="4"/>
  <c r="BH177" i="4" s="1"/>
  <c r="K177" i="4"/>
  <c r="J177" i="4"/>
  <c r="I177" i="4"/>
  <c r="H177" i="4"/>
  <c r="G177" i="4"/>
  <c r="AX176" i="4"/>
  <c r="AW176" i="4"/>
  <c r="BI176" i="4" s="1"/>
  <c r="AR176" i="4"/>
  <c r="AN176" i="4"/>
  <c r="AK176" i="4"/>
  <c r="K176" i="4"/>
  <c r="J176" i="4"/>
  <c r="I176" i="4"/>
  <c r="H176" i="4"/>
  <c r="G176" i="4"/>
  <c r="BG175" i="4"/>
  <c r="BC175" i="4"/>
  <c r="BA175" i="4"/>
  <c r="BB175" i="4" s="1"/>
  <c r="AY175" i="4"/>
  <c r="AX175" i="4"/>
  <c r="AW175" i="4"/>
  <c r="BI175" i="4" s="1"/>
  <c r="AR175" i="4"/>
  <c r="AN175" i="4"/>
  <c r="AK175" i="4"/>
  <c r="BH175" i="4" s="1"/>
  <c r="K175" i="4"/>
  <c r="J175" i="4"/>
  <c r="I175" i="4"/>
  <c r="H175" i="4"/>
  <c r="G175" i="4"/>
  <c r="BH174" i="4"/>
  <c r="BD174" i="4"/>
  <c r="BE174" i="4" s="1"/>
  <c r="AX174" i="4"/>
  <c r="AW174" i="4"/>
  <c r="BI174" i="4" s="1"/>
  <c r="AR174" i="4"/>
  <c r="AN174" i="4"/>
  <c r="AK174" i="4"/>
  <c r="K174" i="4"/>
  <c r="J174" i="4"/>
  <c r="I174" i="4"/>
  <c r="H174" i="4"/>
  <c r="G174" i="4"/>
  <c r="BI173" i="4"/>
  <c r="BG173" i="4"/>
  <c r="BA173" i="4"/>
  <c r="BB173" i="4" s="1"/>
  <c r="AY173" i="4"/>
  <c r="AX173" i="4"/>
  <c r="AZ173" i="4" s="1"/>
  <c r="AW173" i="4"/>
  <c r="BK173" i="4" s="1"/>
  <c r="AR173" i="4"/>
  <c r="AN173" i="4"/>
  <c r="AK173" i="4"/>
  <c r="BH173" i="4" s="1"/>
  <c r="K173" i="4"/>
  <c r="J173" i="4"/>
  <c r="I173" i="4"/>
  <c r="H173" i="4"/>
  <c r="G173" i="4"/>
  <c r="AX172" i="4"/>
  <c r="AW172" i="4"/>
  <c r="BI172" i="4" s="1"/>
  <c r="AR172" i="4"/>
  <c r="AN172" i="4"/>
  <c r="AK172" i="4"/>
  <c r="K172" i="4"/>
  <c r="J172" i="4"/>
  <c r="I172" i="4"/>
  <c r="H172" i="4"/>
  <c r="G172" i="4"/>
  <c r="BG171" i="4"/>
  <c r="BC171" i="4"/>
  <c r="BA171" i="4"/>
  <c r="BB171" i="4" s="1"/>
  <c r="AY171" i="4"/>
  <c r="AX171" i="4"/>
  <c r="AW171" i="4"/>
  <c r="BI171" i="4" s="1"/>
  <c r="AR171" i="4"/>
  <c r="AN171" i="4"/>
  <c r="AK171" i="4"/>
  <c r="BH171" i="4" s="1"/>
  <c r="K171" i="4"/>
  <c r="J171" i="4"/>
  <c r="I171" i="4"/>
  <c r="H171" i="4"/>
  <c r="G171" i="4"/>
  <c r="BH170" i="4"/>
  <c r="BD170" i="4"/>
  <c r="BE170" i="4" s="1"/>
  <c r="AX170" i="4"/>
  <c r="AW170" i="4"/>
  <c r="BI170" i="4" s="1"/>
  <c r="AR170" i="4"/>
  <c r="AN170" i="4"/>
  <c r="AK170" i="4"/>
  <c r="K170" i="4"/>
  <c r="J170" i="4"/>
  <c r="I170" i="4"/>
  <c r="H170" i="4"/>
  <c r="G170" i="4"/>
  <c r="AX169" i="4"/>
  <c r="AW169" i="4"/>
  <c r="BI169" i="4" s="1"/>
  <c r="AR169" i="4"/>
  <c r="BG169" i="4" s="1"/>
  <c r="AN169" i="4"/>
  <c r="AK169" i="4"/>
  <c r="BK169" i="4" s="1"/>
  <c r="K169" i="4"/>
  <c r="J169" i="4"/>
  <c r="I169" i="4"/>
  <c r="H169" i="4"/>
  <c r="G169" i="4"/>
  <c r="BG168" i="4"/>
  <c r="BA168" i="4"/>
  <c r="BB168" i="4" s="1"/>
  <c r="AY168" i="4"/>
  <c r="AX168" i="4"/>
  <c r="AZ168" i="4" s="1"/>
  <c r="AW168" i="4"/>
  <c r="BK168" i="4" s="1"/>
  <c r="AR168" i="4"/>
  <c r="AN168" i="4"/>
  <c r="AK168" i="4"/>
  <c r="BH168" i="4" s="1"/>
  <c r="K168" i="4"/>
  <c r="J168" i="4"/>
  <c r="I168" i="4"/>
  <c r="H168" i="4"/>
  <c r="G168" i="4"/>
  <c r="AX167" i="4"/>
  <c r="AW167" i="4"/>
  <c r="BI167" i="4" s="1"/>
  <c r="AR167" i="4"/>
  <c r="BG167" i="4" s="1"/>
  <c r="AN167" i="4"/>
  <c r="AK167" i="4"/>
  <c r="BK167" i="4" s="1"/>
  <c r="K167" i="4"/>
  <c r="J167" i="4"/>
  <c r="I167" i="4"/>
  <c r="H167" i="4"/>
  <c r="G167" i="4"/>
  <c r="BG166" i="4"/>
  <c r="BA166" i="4"/>
  <c r="BB166" i="4" s="1"/>
  <c r="AY166" i="4"/>
  <c r="AX166" i="4"/>
  <c r="AZ166" i="4" s="1"/>
  <c r="AW166" i="4"/>
  <c r="BK166" i="4" s="1"/>
  <c r="AR166" i="4"/>
  <c r="AN166" i="4"/>
  <c r="AK166" i="4"/>
  <c r="BH166" i="4" s="1"/>
  <c r="K166" i="4"/>
  <c r="J166" i="4"/>
  <c r="I166" i="4"/>
  <c r="H166" i="4"/>
  <c r="G166" i="4"/>
  <c r="AX165" i="4"/>
  <c r="AW165" i="4"/>
  <c r="BI165" i="4" s="1"/>
  <c r="AR165" i="4"/>
  <c r="BG165" i="4" s="1"/>
  <c r="AN165" i="4"/>
  <c r="AK165" i="4"/>
  <c r="BK165" i="4" s="1"/>
  <c r="K165" i="4"/>
  <c r="J165" i="4"/>
  <c r="I165" i="4"/>
  <c r="H165" i="4"/>
  <c r="G165" i="4"/>
  <c r="BG164" i="4"/>
  <c r="BA164" i="4"/>
  <c r="BB164" i="4" s="1"/>
  <c r="AY164" i="4"/>
  <c r="AX164" i="4"/>
  <c r="AZ164" i="4" s="1"/>
  <c r="AW164" i="4"/>
  <c r="BK164" i="4" s="1"/>
  <c r="AR164" i="4"/>
  <c r="AN164" i="4"/>
  <c r="AK164" i="4"/>
  <c r="BH164" i="4" s="1"/>
  <c r="K164" i="4"/>
  <c r="J164" i="4"/>
  <c r="I164" i="4"/>
  <c r="H164" i="4"/>
  <c r="G164" i="4"/>
  <c r="AX163" i="4"/>
  <c r="AW163" i="4"/>
  <c r="BI163" i="4" s="1"/>
  <c r="AR163" i="4"/>
  <c r="BG163" i="4" s="1"/>
  <c r="AN163" i="4"/>
  <c r="AK163" i="4"/>
  <c r="BK163" i="4" s="1"/>
  <c r="K163" i="4"/>
  <c r="J163" i="4"/>
  <c r="I163" i="4"/>
  <c r="H163" i="4"/>
  <c r="G163" i="4"/>
  <c r="BG162" i="4"/>
  <c r="BA162" i="4"/>
  <c r="BB162" i="4" s="1"/>
  <c r="AY162" i="4"/>
  <c r="AX162" i="4"/>
  <c r="AZ162" i="4" s="1"/>
  <c r="AW162" i="4"/>
  <c r="BK162" i="4" s="1"/>
  <c r="AR162" i="4"/>
  <c r="AN162" i="4"/>
  <c r="AK162" i="4"/>
  <c r="BH162" i="4" s="1"/>
  <c r="K162" i="4"/>
  <c r="J162" i="4"/>
  <c r="I162" i="4"/>
  <c r="H162" i="4"/>
  <c r="G162" i="4"/>
  <c r="AX161" i="4"/>
  <c r="AW161" i="4"/>
  <c r="BI161" i="4" s="1"/>
  <c r="AR161" i="4"/>
  <c r="BG161" i="4" s="1"/>
  <c r="AN161" i="4"/>
  <c r="AK161" i="4"/>
  <c r="BK161" i="4" s="1"/>
  <c r="K161" i="4"/>
  <c r="J161" i="4"/>
  <c r="I161" i="4"/>
  <c r="H161" i="4"/>
  <c r="G161" i="4"/>
  <c r="BG160" i="4"/>
  <c r="BA160" i="4"/>
  <c r="BB160" i="4" s="1"/>
  <c r="AY160" i="4"/>
  <c r="AX160" i="4"/>
  <c r="AZ160" i="4" s="1"/>
  <c r="AW160" i="4"/>
  <c r="BK160" i="4" s="1"/>
  <c r="AR160" i="4"/>
  <c r="AN160" i="4"/>
  <c r="AK160" i="4"/>
  <c r="BH160" i="4" s="1"/>
  <c r="K160" i="4"/>
  <c r="J160" i="4"/>
  <c r="I160" i="4"/>
  <c r="H160" i="4"/>
  <c r="G160" i="4"/>
  <c r="AX159" i="4"/>
  <c r="AW159" i="4"/>
  <c r="BI159" i="4" s="1"/>
  <c r="AR159" i="4"/>
  <c r="BG159" i="4" s="1"/>
  <c r="AN159" i="4"/>
  <c r="AK159" i="4"/>
  <c r="BK159" i="4" s="1"/>
  <c r="K159" i="4"/>
  <c r="J159" i="4"/>
  <c r="I159" i="4"/>
  <c r="H159" i="4"/>
  <c r="G159" i="4"/>
  <c r="BG158" i="4"/>
  <c r="BA158" i="4"/>
  <c r="BB158" i="4" s="1"/>
  <c r="AY158" i="4"/>
  <c r="AX158" i="4"/>
  <c r="AZ158" i="4" s="1"/>
  <c r="AW158" i="4"/>
  <c r="BK158" i="4" s="1"/>
  <c r="AR158" i="4"/>
  <c r="AN158" i="4"/>
  <c r="AK158" i="4"/>
  <c r="BH158" i="4" s="1"/>
  <c r="K158" i="4"/>
  <c r="J158" i="4"/>
  <c r="I158" i="4"/>
  <c r="H158" i="4"/>
  <c r="G158" i="4"/>
  <c r="AX157" i="4"/>
  <c r="AW157" i="4"/>
  <c r="BI157" i="4" s="1"/>
  <c r="AR157" i="4"/>
  <c r="BG157" i="4" s="1"/>
  <c r="AN157" i="4"/>
  <c r="AK157" i="4"/>
  <c r="BK157" i="4" s="1"/>
  <c r="K157" i="4"/>
  <c r="J157" i="4"/>
  <c r="I157" i="4"/>
  <c r="H157" i="4"/>
  <c r="G157" i="4"/>
  <c r="BG156" i="4"/>
  <c r="BA156" i="4"/>
  <c r="BB156" i="4" s="1"/>
  <c r="AY156" i="4"/>
  <c r="AX156" i="4"/>
  <c r="AZ156" i="4" s="1"/>
  <c r="AW156" i="4"/>
  <c r="BK156" i="4" s="1"/>
  <c r="AR156" i="4"/>
  <c r="AN156" i="4"/>
  <c r="AK156" i="4"/>
  <c r="BH156" i="4" s="1"/>
  <c r="K156" i="4"/>
  <c r="J156" i="4"/>
  <c r="I156" i="4"/>
  <c r="H156" i="4"/>
  <c r="G156" i="4"/>
  <c r="AX155" i="4"/>
  <c r="AW155" i="4"/>
  <c r="BI155" i="4" s="1"/>
  <c r="AR155" i="4"/>
  <c r="BG155" i="4" s="1"/>
  <c r="AN155" i="4"/>
  <c r="AK155" i="4"/>
  <c r="BK155" i="4" s="1"/>
  <c r="K155" i="4"/>
  <c r="J155" i="4"/>
  <c r="I155" i="4"/>
  <c r="H155" i="4"/>
  <c r="G155" i="4"/>
  <c r="BG154" i="4"/>
  <c r="BA154" i="4"/>
  <c r="BB154" i="4" s="1"/>
  <c r="AY154" i="4"/>
  <c r="AX154" i="4"/>
  <c r="AZ154" i="4" s="1"/>
  <c r="AW154" i="4"/>
  <c r="BK154" i="4" s="1"/>
  <c r="AR154" i="4"/>
  <c r="AN154" i="4"/>
  <c r="AK154" i="4"/>
  <c r="BH154" i="4" s="1"/>
  <c r="K154" i="4"/>
  <c r="J154" i="4"/>
  <c r="I154" i="4"/>
  <c r="H154" i="4"/>
  <c r="G154" i="4"/>
  <c r="AX153" i="4"/>
  <c r="AW153" i="4"/>
  <c r="BI153" i="4" s="1"/>
  <c r="AR153" i="4"/>
  <c r="BG153" i="4" s="1"/>
  <c r="AN153" i="4"/>
  <c r="AK153" i="4"/>
  <c r="BK153" i="4" s="1"/>
  <c r="K153" i="4"/>
  <c r="J153" i="4"/>
  <c r="I153" i="4"/>
  <c r="H153" i="4"/>
  <c r="G153" i="4"/>
  <c r="BG152" i="4"/>
  <c r="BA152" i="4"/>
  <c r="BB152" i="4" s="1"/>
  <c r="AY152" i="4"/>
  <c r="AX152" i="4"/>
  <c r="AZ152" i="4" s="1"/>
  <c r="AW152" i="4"/>
  <c r="BK152" i="4" s="1"/>
  <c r="AR152" i="4"/>
  <c r="AN152" i="4"/>
  <c r="AK152" i="4"/>
  <c r="BH152" i="4" s="1"/>
  <c r="K152" i="4"/>
  <c r="J152" i="4"/>
  <c r="I152" i="4"/>
  <c r="H152" i="4"/>
  <c r="G152" i="4"/>
  <c r="AX151" i="4"/>
  <c r="AW151" i="4"/>
  <c r="BI151" i="4" s="1"/>
  <c r="AR151" i="4"/>
  <c r="BG151" i="4" s="1"/>
  <c r="AN151" i="4"/>
  <c r="AK151" i="4"/>
  <c r="BK151" i="4" s="1"/>
  <c r="K151" i="4"/>
  <c r="J151" i="4"/>
  <c r="I151" i="4"/>
  <c r="H151" i="4"/>
  <c r="G151" i="4"/>
  <c r="BG150" i="4"/>
  <c r="BA150" i="4"/>
  <c r="BB150" i="4" s="1"/>
  <c r="AY150" i="4"/>
  <c r="AX150" i="4"/>
  <c r="AZ150" i="4" s="1"/>
  <c r="AW150" i="4"/>
  <c r="BK150" i="4" s="1"/>
  <c r="AR150" i="4"/>
  <c r="AN150" i="4"/>
  <c r="AK150" i="4"/>
  <c r="BH150" i="4" s="1"/>
  <c r="K150" i="4"/>
  <c r="J150" i="4"/>
  <c r="I150" i="4"/>
  <c r="H150" i="4"/>
  <c r="G150" i="4"/>
  <c r="AX149" i="4"/>
  <c r="AW149" i="4"/>
  <c r="BI149" i="4" s="1"/>
  <c r="AR149" i="4"/>
  <c r="BG149" i="4" s="1"/>
  <c r="AN149" i="4"/>
  <c r="AK149" i="4"/>
  <c r="BK149" i="4" s="1"/>
  <c r="K149" i="4"/>
  <c r="J149" i="4"/>
  <c r="I149" i="4"/>
  <c r="H149" i="4"/>
  <c r="G149" i="4"/>
  <c r="BG148" i="4"/>
  <c r="BA148" i="4"/>
  <c r="BB148" i="4" s="1"/>
  <c r="AY148" i="4"/>
  <c r="AX148" i="4"/>
  <c r="AZ148" i="4" s="1"/>
  <c r="AW148" i="4"/>
  <c r="BK148" i="4" s="1"/>
  <c r="AR148" i="4"/>
  <c r="AN148" i="4"/>
  <c r="AK148" i="4"/>
  <c r="BH148" i="4" s="1"/>
  <c r="K148" i="4"/>
  <c r="J148" i="4"/>
  <c r="I148" i="4"/>
  <c r="H148" i="4"/>
  <c r="G148" i="4"/>
  <c r="AX147" i="4"/>
  <c r="AW147" i="4"/>
  <c r="BI147" i="4" s="1"/>
  <c r="AR147" i="4"/>
  <c r="BG147" i="4" s="1"/>
  <c r="AN147" i="4"/>
  <c r="AK147" i="4"/>
  <c r="BK147" i="4" s="1"/>
  <c r="K147" i="4"/>
  <c r="J147" i="4"/>
  <c r="I147" i="4"/>
  <c r="H147" i="4"/>
  <c r="G147" i="4"/>
  <c r="BG146" i="4"/>
  <c r="BA146" i="4"/>
  <c r="BB146" i="4" s="1"/>
  <c r="AY146" i="4"/>
  <c r="AX146" i="4"/>
  <c r="AZ146" i="4" s="1"/>
  <c r="AW146" i="4"/>
  <c r="BK146" i="4" s="1"/>
  <c r="AR146" i="4"/>
  <c r="AN146" i="4"/>
  <c r="AK146" i="4"/>
  <c r="BH146" i="4" s="1"/>
  <c r="K146" i="4"/>
  <c r="J146" i="4"/>
  <c r="I146" i="4"/>
  <c r="H146" i="4"/>
  <c r="G146" i="4"/>
  <c r="AX145" i="4"/>
  <c r="AW145" i="4"/>
  <c r="BI145" i="4" s="1"/>
  <c r="AR145" i="4"/>
  <c r="BG145" i="4" s="1"/>
  <c r="AN145" i="4"/>
  <c r="AK145" i="4"/>
  <c r="BK145" i="4" s="1"/>
  <c r="K145" i="4"/>
  <c r="J145" i="4"/>
  <c r="I145" i="4"/>
  <c r="H145" i="4"/>
  <c r="G145" i="4"/>
  <c r="BG144" i="4"/>
  <c r="BA144" i="4"/>
  <c r="BB144" i="4" s="1"/>
  <c r="AY144" i="4"/>
  <c r="AX144" i="4"/>
  <c r="AZ144" i="4" s="1"/>
  <c r="AW144" i="4"/>
  <c r="BK144" i="4" s="1"/>
  <c r="AR144" i="4"/>
  <c r="AN144" i="4"/>
  <c r="AK144" i="4"/>
  <c r="BH144" i="4" s="1"/>
  <c r="K144" i="4"/>
  <c r="J144" i="4"/>
  <c r="I144" i="4"/>
  <c r="H144" i="4"/>
  <c r="G144" i="4"/>
  <c r="AX143" i="4"/>
  <c r="AW143" i="4"/>
  <c r="BI143" i="4" s="1"/>
  <c r="AR143" i="4"/>
  <c r="BG143" i="4" s="1"/>
  <c r="AN143" i="4"/>
  <c r="AK143" i="4"/>
  <c r="BK143" i="4" s="1"/>
  <c r="K143" i="4"/>
  <c r="J143" i="4"/>
  <c r="I143" i="4"/>
  <c r="H143" i="4"/>
  <c r="G143" i="4"/>
  <c r="BG142" i="4"/>
  <c r="BA142" i="4"/>
  <c r="BB142" i="4" s="1"/>
  <c r="AY142" i="4"/>
  <c r="AX142" i="4"/>
  <c r="AZ142" i="4" s="1"/>
  <c r="AW142" i="4"/>
  <c r="BK142" i="4" s="1"/>
  <c r="AR142" i="4"/>
  <c r="AN142" i="4"/>
  <c r="AK142" i="4"/>
  <c r="BH142" i="4" s="1"/>
  <c r="K142" i="4"/>
  <c r="J142" i="4"/>
  <c r="I142" i="4"/>
  <c r="H142" i="4"/>
  <c r="G142" i="4"/>
  <c r="AX141" i="4"/>
  <c r="AW141" i="4"/>
  <c r="BI141" i="4" s="1"/>
  <c r="AR141" i="4"/>
  <c r="BG141" i="4" s="1"/>
  <c r="AN141" i="4"/>
  <c r="AK141" i="4"/>
  <c r="BK141" i="4" s="1"/>
  <c r="K141" i="4"/>
  <c r="J141" i="4"/>
  <c r="I141" i="4"/>
  <c r="H141" i="4"/>
  <c r="G141" i="4"/>
  <c r="BG140" i="4"/>
  <c r="BA140" i="4"/>
  <c r="BB140" i="4" s="1"/>
  <c r="AY140" i="4"/>
  <c r="AX140" i="4"/>
  <c r="AZ140" i="4" s="1"/>
  <c r="AW140" i="4"/>
  <c r="BK140" i="4" s="1"/>
  <c r="AR140" i="4"/>
  <c r="AN140" i="4"/>
  <c r="AK140" i="4"/>
  <c r="BH140" i="4" s="1"/>
  <c r="K140" i="4"/>
  <c r="J140" i="4"/>
  <c r="I140" i="4"/>
  <c r="H140" i="4"/>
  <c r="G140" i="4"/>
  <c r="AX139" i="4"/>
  <c r="AW139" i="4"/>
  <c r="BI139" i="4" s="1"/>
  <c r="AR139" i="4"/>
  <c r="BG139" i="4" s="1"/>
  <c r="AN139" i="4"/>
  <c r="AK139" i="4"/>
  <c r="BK139" i="4" s="1"/>
  <c r="K139" i="4"/>
  <c r="J139" i="4"/>
  <c r="I139" i="4"/>
  <c r="H139" i="4"/>
  <c r="G139" i="4"/>
  <c r="BG138" i="4"/>
  <c r="BA138" i="4"/>
  <c r="BB138" i="4" s="1"/>
  <c r="AY138" i="4"/>
  <c r="AX138" i="4"/>
  <c r="AZ138" i="4" s="1"/>
  <c r="AW138" i="4"/>
  <c r="BK138" i="4" s="1"/>
  <c r="AR138" i="4"/>
  <c r="AN138" i="4"/>
  <c r="AK138" i="4"/>
  <c r="BH138" i="4" s="1"/>
  <c r="K138" i="4"/>
  <c r="J138" i="4"/>
  <c r="I138" i="4"/>
  <c r="H138" i="4"/>
  <c r="G138" i="4"/>
  <c r="AX137" i="4"/>
  <c r="AW137" i="4"/>
  <c r="BI137" i="4" s="1"/>
  <c r="AR137" i="4"/>
  <c r="BG137" i="4" s="1"/>
  <c r="AN137" i="4"/>
  <c r="AK137" i="4"/>
  <c r="BK137" i="4" s="1"/>
  <c r="K137" i="4"/>
  <c r="J137" i="4"/>
  <c r="I137" i="4"/>
  <c r="H137" i="4"/>
  <c r="G137" i="4"/>
  <c r="BG136" i="4"/>
  <c r="BA136" i="4"/>
  <c r="BB136" i="4" s="1"/>
  <c r="AY136" i="4"/>
  <c r="AX136" i="4"/>
  <c r="AZ136" i="4" s="1"/>
  <c r="AW136" i="4"/>
  <c r="BK136" i="4" s="1"/>
  <c r="AR136" i="4"/>
  <c r="AN136" i="4"/>
  <c r="AK136" i="4"/>
  <c r="BH136" i="4" s="1"/>
  <c r="K136" i="4"/>
  <c r="J136" i="4"/>
  <c r="I136" i="4"/>
  <c r="H136" i="4"/>
  <c r="G136" i="4"/>
  <c r="AX135" i="4"/>
  <c r="AW135" i="4"/>
  <c r="BI135" i="4" s="1"/>
  <c r="AR135" i="4"/>
  <c r="BG135" i="4" s="1"/>
  <c r="AN135" i="4"/>
  <c r="AK135" i="4"/>
  <c r="BK135" i="4" s="1"/>
  <c r="K135" i="4"/>
  <c r="J135" i="4"/>
  <c r="I135" i="4"/>
  <c r="H135" i="4"/>
  <c r="G135" i="4"/>
  <c r="BG134" i="4"/>
  <c r="BA134" i="4"/>
  <c r="BB134" i="4" s="1"/>
  <c r="AY134" i="4"/>
  <c r="AX134" i="4"/>
  <c r="AZ134" i="4" s="1"/>
  <c r="AW134" i="4"/>
  <c r="BK134" i="4" s="1"/>
  <c r="AR134" i="4"/>
  <c r="AN134" i="4"/>
  <c r="AK134" i="4"/>
  <c r="BH134" i="4" s="1"/>
  <c r="K134" i="4"/>
  <c r="J134" i="4"/>
  <c r="I134" i="4"/>
  <c r="H134" i="4"/>
  <c r="G134" i="4"/>
  <c r="AX133" i="4"/>
  <c r="AW133" i="4"/>
  <c r="BI133" i="4" s="1"/>
  <c r="AR133" i="4"/>
  <c r="BG133" i="4" s="1"/>
  <c r="AN133" i="4"/>
  <c r="AK133" i="4"/>
  <c r="BK133" i="4" s="1"/>
  <c r="K133" i="4"/>
  <c r="J133" i="4"/>
  <c r="I133" i="4"/>
  <c r="H133" i="4"/>
  <c r="G133" i="4"/>
  <c r="BG132" i="4"/>
  <c r="BA132" i="4"/>
  <c r="BB132" i="4" s="1"/>
  <c r="AY132" i="4"/>
  <c r="AX132" i="4"/>
  <c r="AZ132" i="4" s="1"/>
  <c r="AW132" i="4"/>
  <c r="BK132" i="4" s="1"/>
  <c r="AR132" i="4"/>
  <c r="AN132" i="4"/>
  <c r="AK132" i="4"/>
  <c r="BH132" i="4" s="1"/>
  <c r="K132" i="4"/>
  <c r="J132" i="4"/>
  <c r="I132" i="4"/>
  <c r="H132" i="4"/>
  <c r="G132" i="4"/>
  <c r="AX131" i="4"/>
  <c r="AW131" i="4"/>
  <c r="BI131" i="4" s="1"/>
  <c r="AR131" i="4"/>
  <c r="BG131" i="4" s="1"/>
  <c r="AN131" i="4"/>
  <c r="AK131" i="4"/>
  <c r="BK131" i="4" s="1"/>
  <c r="K131" i="4"/>
  <c r="J131" i="4"/>
  <c r="I131" i="4"/>
  <c r="H131" i="4"/>
  <c r="G131" i="4"/>
  <c r="BG130" i="4"/>
  <c r="BA130" i="4"/>
  <c r="BB130" i="4" s="1"/>
  <c r="AY130" i="4"/>
  <c r="AX130" i="4"/>
  <c r="AZ130" i="4" s="1"/>
  <c r="AW130" i="4"/>
  <c r="BK130" i="4" s="1"/>
  <c r="AR130" i="4"/>
  <c r="AN130" i="4"/>
  <c r="AK130" i="4"/>
  <c r="BH130" i="4" s="1"/>
  <c r="K130" i="4"/>
  <c r="J130" i="4"/>
  <c r="I130" i="4"/>
  <c r="H130" i="4"/>
  <c r="G130" i="4"/>
  <c r="AX129" i="4"/>
  <c r="AW129" i="4"/>
  <c r="BI129" i="4" s="1"/>
  <c r="AR129" i="4"/>
  <c r="BG129" i="4" s="1"/>
  <c r="AN129" i="4"/>
  <c r="AK129" i="4"/>
  <c r="BK129" i="4" s="1"/>
  <c r="K129" i="4"/>
  <c r="J129" i="4"/>
  <c r="I129" i="4"/>
  <c r="H129" i="4"/>
  <c r="G129" i="4"/>
  <c r="BG128" i="4"/>
  <c r="BA128" i="4"/>
  <c r="BB128" i="4" s="1"/>
  <c r="AY128" i="4"/>
  <c r="AX128" i="4"/>
  <c r="AZ128" i="4" s="1"/>
  <c r="AW128" i="4"/>
  <c r="BK128" i="4" s="1"/>
  <c r="AR128" i="4"/>
  <c r="AN128" i="4"/>
  <c r="AK128" i="4"/>
  <c r="BH128" i="4" s="1"/>
  <c r="K128" i="4"/>
  <c r="J128" i="4"/>
  <c r="I128" i="4"/>
  <c r="H128" i="4"/>
  <c r="G128" i="4"/>
  <c r="AX127" i="4"/>
  <c r="AW127" i="4"/>
  <c r="BI127" i="4" s="1"/>
  <c r="AR127" i="4"/>
  <c r="BG127" i="4" s="1"/>
  <c r="AN127" i="4"/>
  <c r="AK127" i="4"/>
  <c r="BK127" i="4" s="1"/>
  <c r="K127" i="4"/>
  <c r="J127" i="4"/>
  <c r="I127" i="4"/>
  <c r="H127" i="4"/>
  <c r="G127" i="4"/>
  <c r="BG126" i="4"/>
  <c r="BA126" i="4"/>
  <c r="BB126" i="4" s="1"/>
  <c r="AY126" i="4"/>
  <c r="AX126" i="4"/>
  <c r="AZ126" i="4" s="1"/>
  <c r="AW126" i="4"/>
  <c r="BK126" i="4" s="1"/>
  <c r="AR126" i="4"/>
  <c r="AN126" i="4"/>
  <c r="AK126" i="4"/>
  <c r="BH126" i="4" s="1"/>
  <c r="K126" i="4"/>
  <c r="J126" i="4"/>
  <c r="I126" i="4"/>
  <c r="H126" i="4"/>
  <c r="G126" i="4"/>
  <c r="AX125" i="4"/>
  <c r="AW125" i="4"/>
  <c r="BI125" i="4" s="1"/>
  <c r="AR125" i="4"/>
  <c r="BG125" i="4" s="1"/>
  <c r="AN125" i="4"/>
  <c r="AK125" i="4"/>
  <c r="BK125" i="4" s="1"/>
  <c r="K125" i="4"/>
  <c r="J125" i="4"/>
  <c r="I125" i="4"/>
  <c r="H125" i="4"/>
  <c r="G125" i="4"/>
  <c r="BG124" i="4"/>
  <c r="BA124" i="4"/>
  <c r="BB124" i="4" s="1"/>
  <c r="AY124" i="4"/>
  <c r="AX124" i="4"/>
  <c r="AZ124" i="4" s="1"/>
  <c r="AW124" i="4"/>
  <c r="BK124" i="4" s="1"/>
  <c r="AR124" i="4"/>
  <c r="AN124" i="4"/>
  <c r="AK124" i="4"/>
  <c r="BH124" i="4" s="1"/>
  <c r="K124" i="4"/>
  <c r="J124" i="4"/>
  <c r="I124" i="4"/>
  <c r="H124" i="4"/>
  <c r="G124" i="4"/>
  <c r="AX123" i="4"/>
  <c r="AW123" i="4"/>
  <c r="BI123" i="4" s="1"/>
  <c r="AR123" i="4"/>
  <c r="BG123" i="4" s="1"/>
  <c r="AN123" i="4"/>
  <c r="AK123" i="4"/>
  <c r="BK123" i="4" s="1"/>
  <c r="K123" i="4"/>
  <c r="J123" i="4"/>
  <c r="I123" i="4"/>
  <c r="H123" i="4"/>
  <c r="G123" i="4"/>
  <c r="BG122" i="4"/>
  <c r="BA122" i="4"/>
  <c r="BB122" i="4" s="1"/>
  <c r="AY122" i="4"/>
  <c r="AX122" i="4"/>
  <c r="AZ122" i="4" s="1"/>
  <c r="AW122" i="4"/>
  <c r="BK122" i="4" s="1"/>
  <c r="AR122" i="4"/>
  <c r="AN122" i="4"/>
  <c r="AK122" i="4"/>
  <c r="BH122" i="4" s="1"/>
  <c r="K122" i="4"/>
  <c r="J122" i="4"/>
  <c r="I122" i="4"/>
  <c r="H122" i="4"/>
  <c r="G122" i="4"/>
  <c r="AX121" i="4"/>
  <c r="AW121" i="4"/>
  <c r="BI121" i="4" s="1"/>
  <c r="AR121" i="4"/>
  <c r="BG121" i="4" s="1"/>
  <c r="AN121" i="4"/>
  <c r="AK121" i="4"/>
  <c r="BK121" i="4" s="1"/>
  <c r="K121" i="4"/>
  <c r="J121" i="4"/>
  <c r="I121" i="4"/>
  <c r="H121" i="4"/>
  <c r="G121" i="4"/>
  <c r="BG120" i="4"/>
  <c r="BA120" i="4"/>
  <c r="BB120" i="4" s="1"/>
  <c r="AY120" i="4"/>
  <c r="AX120" i="4"/>
  <c r="AZ120" i="4" s="1"/>
  <c r="AW120" i="4"/>
  <c r="BK120" i="4" s="1"/>
  <c r="AR120" i="4"/>
  <c r="AN120" i="4"/>
  <c r="AK120" i="4"/>
  <c r="BH120" i="4" s="1"/>
  <c r="K120" i="4"/>
  <c r="J120" i="4"/>
  <c r="I120" i="4"/>
  <c r="H120" i="4"/>
  <c r="G120" i="4"/>
  <c r="AX119" i="4"/>
  <c r="AW119" i="4"/>
  <c r="BI119" i="4" s="1"/>
  <c r="AR119" i="4"/>
  <c r="BG119" i="4" s="1"/>
  <c r="AN119" i="4"/>
  <c r="AK119" i="4"/>
  <c r="BK119" i="4" s="1"/>
  <c r="K119" i="4"/>
  <c r="J119" i="4"/>
  <c r="I119" i="4"/>
  <c r="H119" i="4"/>
  <c r="G119" i="4"/>
  <c r="BG118" i="4"/>
  <c r="BA118" i="4"/>
  <c r="BB118" i="4" s="1"/>
  <c r="AY118" i="4"/>
  <c r="AX118" i="4"/>
  <c r="AZ118" i="4" s="1"/>
  <c r="AW118" i="4"/>
  <c r="BK118" i="4" s="1"/>
  <c r="AR118" i="4"/>
  <c r="AN118" i="4"/>
  <c r="AK118" i="4"/>
  <c r="BH118" i="4" s="1"/>
  <c r="K118" i="4"/>
  <c r="J118" i="4"/>
  <c r="I118" i="4"/>
  <c r="H118" i="4"/>
  <c r="G118" i="4"/>
  <c r="AX117" i="4"/>
  <c r="AW117" i="4"/>
  <c r="BI117" i="4" s="1"/>
  <c r="AR117" i="4"/>
  <c r="BG117" i="4" s="1"/>
  <c r="AN117" i="4"/>
  <c r="AK117" i="4"/>
  <c r="BK117" i="4" s="1"/>
  <c r="K117" i="4"/>
  <c r="J117" i="4"/>
  <c r="I117" i="4"/>
  <c r="H117" i="4"/>
  <c r="G117" i="4"/>
  <c r="BG116" i="4"/>
  <c r="BA116" i="4"/>
  <c r="BB116" i="4" s="1"/>
  <c r="AY116" i="4"/>
  <c r="AX116" i="4"/>
  <c r="AZ116" i="4" s="1"/>
  <c r="AW116" i="4"/>
  <c r="BK116" i="4" s="1"/>
  <c r="AR116" i="4"/>
  <c r="AN116" i="4"/>
  <c r="AK116" i="4"/>
  <c r="BH116" i="4" s="1"/>
  <c r="K116" i="4"/>
  <c r="J116" i="4"/>
  <c r="I116" i="4"/>
  <c r="H116" i="4"/>
  <c r="G116" i="4"/>
  <c r="AX115" i="4"/>
  <c r="AW115" i="4"/>
  <c r="BI115" i="4" s="1"/>
  <c r="AR115" i="4"/>
  <c r="BG115" i="4" s="1"/>
  <c r="AN115" i="4"/>
  <c r="AK115" i="4"/>
  <c r="BK115" i="4" s="1"/>
  <c r="K115" i="4"/>
  <c r="J115" i="4"/>
  <c r="I115" i="4"/>
  <c r="H115" i="4"/>
  <c r="G115" i="4"/>
  <c r="BG114" i="4"/>
  <c r="BA114" i="4"/>
  <c r="BB114" i="4" s="1"/>
  <c r="AY114" i="4"/>
  <c r="AX114" i="4"/>
  <c r="AZ114" i="4" s="1"/>
  <c r="AW114" i="4"/>
  <c r="BK114" i="4" s="1"/>
  <c r="AR114" i="4"/>
  <c r="AN114" i="4"/>
  <c r="AK114" i="4"/>
  <c r="BH114" i="4" s="1"/>
  <c r="K114" i="4"/>
  <c r="J114" i="4"/>
  <c r="I114" i="4"/>
  <c r="H114" i="4"/>
  <c r="G114" i="4"/>
  <c r="AX113" i="4"/>
  <c r="AW113" i="4"/>
  <c r="BI113" i="4" s="1"/>
  <c r="AR113" i="4"/>
  <c r="BG113" i="4" s="1"/>
  <c r="AN113" i="4"/>
  <c r="AK113" i="4"/>
  <c r="BK113" i="4" s="1"/>
  <c r="K113" i="4"/>
  <c r="J113" i="4"/>
  <c r="I113" i="4"/>
  <c r="H113" i="4"/>
  <c r="G113" i="4"/>
  <c r="BG112" i="4"/>
  <c r="BA112" i="4"/>
  <c r="BB112" i="4" s="1"/>
  <c r="AY112" i="4"/>
  <c r="AX112" i="4"/>
  <c r="AZ112" i="4" s="1"/>
  <c r="AW112" i="4"/>
  <c r="BK112" i="4" s="1"/>
  <c r="AR112" i="4"/>
  <c r="AN112" i="4"/>
  <c r="AK112" i="4"/>
  <c r="BH112" i="4" s="1"/>
  <c r="K112" i="4"/>
  <c r="J112" i="4"/>
  <c r="I112" i="4"/>
  <c r="H112" i="4"/>
  <c r="G112" i="4"/>
  <c r="AX111" i="4"/>
  <c r="AW111" i="4"/>
  <c r="BI111" i="4" s="1"/>
  <c r="AR111" i="4"/>
  <c r="BG111" i="4" s="1"/>
  <c r="AN111" i="4"/>
  <c r="AK111" i="4"/>
  <c r="BK111" i="4" s="1"/>
  <c r="K111" i="4"/>
  <c r="J111" i="4"/>
  <c r="I111" i="4"/>
  <c r="H111" i="4"/>
  <c r="G111" i="4"/>
  <c r="BG110" i="4"/>
  <c r="BA110" i="4"/>
  <c r="BB110" i="4" s="1"/>
  <c r="AY110" i="4"/>
  <c r="AX110" i="4"/>
  <c r="AZ110" i="4" s="1"/>
  <c r="AW110" i="4"/>
  <c r="BK110" i="4" s="1"/>
  <c r="AR110" i="4"/>
  <c r="AN110" i="4"/>
  <c r="AK110" i="4"/>
  <c r="BH110" i="4" s="1"/>
  <c r="K110" i="4"/>
  <c r="J110" i="4"/>
  <c r="I110" i="4"/>
  <c r="H110" i="4"/>
  <c r="G110" i="4"/>
  <c r="AX109" i="4"/>
  <c r="AW109" i="4"/>
  <c r="BI109" i="4" s="1"/>
  <c r="AR109" i="4"/>
  <c r="BG109" i="4" s="1"/>
  <c r="AN109" i="4"/>
  <c r="AK109" i="4"/>
  <c r="BK109" i="4" s="1"/>
  <c r="K109" i="4"/>
  <c r="J109" i="4"/>
  <c r="I109" i="4"/>
  <c r="H109" i="4"/>
  <c r="G109" i="4"/>
  <c r="BG108" i="4"/>
  <c r="BA108" i="4"/>
  <c r="BB108" i="4" s="1"/>
  <c r="AY108" i="4"/>
  <c r="AX108" i="4"/>
  <c r="AZ108" i="4" s="1"/>
  <c r="AW108" i="4"/>
  <c r="BK108" i="4" s="1"/>
  <c r="AR108" i="4"/>
  <c r="AN108" i="4"/>
  <c r="AK108" i="4"/>
  <c r="BH108" i="4" s="1"/>
  <c r="K108" i="4"/>
  <c r="J108" i="4"/>
  <c r="I108" i="4"/>
  <c r="H108" i="4"/>
  <c r="G108" i="4"/>
  <c r="AX107" i="4"/>
  <c r="AW107" i="4"/>
  <c r="BI107" i="4" s="1"/>
  <c r="AR107" i="4"/>
  <c r="BG107" i="4" s="1"/>
  <c r="AN107" i="4"/>
  <c r="AK107" i="4"/>
  <c r="BK107" i="4" s="1"/>
  <c r="K107" i="4"/>
  <c r="J107" i="4"/>
  <c r="I107" i="4"/>
  <c r="H107" i="4"/>
  <c r="G107" i="4"/>
  <c r="BG106" i="4"/>
  <c r="BA106" i="4"/>
  <c r="BB106" i="4" s="1"/>
  <c r="AY106" i="4"/>
  <c r="AX106" i="4"/>
  <c r="AZ106" i="4" s="1"/>
  <c r="AW106" i="4"/>
  <c r="BK106" i="4" s="1"/>
  <c r="AR106" i="4"/>
  <c r="AN106" i="4"/>
  <c r="AK106" i="4"/>
  <c r="BH106" i="4" s="1"/>
  <c r="K106" i="4"/>
  <c r="J106" i="4"/>
  <c r="I106" i="4"/>
  <c r="H106" i="4"/>
  <c r="G106" i="4"/>
  <c r="AX105" i="4"/>
  <c r="AW105" i="4"/>
  <c r="BI105" i="4" s="1"/>
  <c r="AR105" i="4"/>
  <c r="BG105" i="4" s="1"/>
  <c r="AN105" i="4"/>
  <c r="AK105" i="4"/>
  <c r="BK105" i="4" s="1"/>
  <c r="K105" i="4"/>
  <c r="J105" i="4"/>
  <c r="I105" i="4"/>
  <c r="H105" i="4"/>
  <c r="G105" i="4"/>
  <c r="BG104" i="4"/>
  <c r="BA104" i="4"/>
  <c r="BB104" i="4" s="1"/>
  <c r="AY104" i="4"/>
  <c r="AX104" i="4"/>
  <c r="AZ104" i="4" s="1"/>
  <c r="AW104" i="4"/>
  <c r="BK104" i="4" s="1"/>
  <c r="AR104" i="4"/>
  <c r="AN104" i="4"/>
  <c r="AK104" i="4"/>
  <c r="BH104" i="4" s="1"/>
  <c r="K104" i="4"/>
  <c r="J104" i="4"/>
  <c r="I104" i="4"/>
  <c r="H104" i="4"/>
  <c r="G104" i="4"/>
  <c r="AX103" i="4"/>
  <c r="AW103" i="4"/>
  <c r="BI103" i="4" s="1"/>
  <c r="AR103" i="4"/>
  <c r="BG103" i="4" s="1"/>
  <c r="AN103" i="4"/>
  <c r="AK103" i="4"/>
  <c r="BK103" i="4" s="1"/>
  <c r="K103" i="4"/>
  <c r="J103" i="4"/>
  <c r="I103" i="4"/>
  <c r="H103" i="4"/>
  <c r="G103" i="4"/>
  <c r="BG102" i="4"/>
  <c r="BA102" i="4"/>
  <c r="BB102" i="4" s="1"/>
  <c r="AY102" i="4"/>
  <c r="AX102" i="4"/>
  <c r="AZ102" i="4" s="1"/>
  <c r="AW102" i="4"/>
  <c r="BK102" i="4" s="1"/>
  <c r="AR102" i="4"/>
  <c r="AN102" i="4"/>
  <c r="AK102" i="4"/>
  <c r="BH102" i="4" s="1"/>
  <c r="K102" i="4"/>
  <c r="J102" i="4"/>
  <c r="I102" i="4"/>
  <c r="H102" i="4"/>
  <c r="G102" i="4"/>
  <c r="AX101" i="4"/>
  <c r="AW101" i="4"/>
  <c r="BI101" i="4" s="1"/>
  <c r="AR101" i="4"/>
  <c r="BG101" i="4" s="1"/>
  <c r="AN101" i="4"/>
  <c r="AK101" i="4"/>
  <c r="BK101" i="4" s="1"/>
  <c r="K101" i="4"/>
  <c r="J101" i="4"/>
  <c r="I101" i="4"/>
  <c r="H101" i="4"/>
  <c r="G101" i="4"/>
  <c r="BG100" i="4"/>
  <c r="BA100" i="4"/>
  <c r="BB100" i="4" s="1"/>
  <c r="AY100" i="4"/>
  <c r="AX100" i="4"/>
  <c r="AZ100" i="4" s="1"/>
  <c r="AW100" i="4"/>
  <c r="BK100" i="4" s="1"/>
  <c r="AR100" i="4"/>
  <c r="AN100" i="4"/>
  <c r="AK100" i="4"/>
  <c r="BH100" i="4" s="1"/>
  <c r="K100" i="4"/>
  <c r="J100" i="4"/>
  <c r="I100" i="4"/>
  <c r="H100" i="4"/>
  <c r="G100" i="4"/>
  <c r="AX99" i="4"/>
  <c r="AW99" i="4"/>
  <c r="BI99" i="4" s="1"/>
  <c r="AR99" i="4"/>
  <c r="BG99" i="4" s="1"/>
  <c r="AN99" i="4"/>
  <c r="AK99" i="4"/>
  <c r="BK99" i="4" s="1"/>
  <c r="K99" i="4"/>
  <c r="J99" i="4"/>
  <c r="I99" i="4"/>
  <c r="H99" i="4"/>
  <c r="G99" i="4"/>
  <c r="BG98" i="4"/>
  <c r="BA98" i="4"/>
  <c r="BB98" i="4" s="1"/>
  <c r="AY98" i="4"/>
  <c r="AX98" i="4"/>
  <c r="AZ98" i="4" s="1"/>
  <c r="AW98" i="4"/>
  <c r="BK98" i="4" s="1"/>
  <c r="AR98" i="4"/>
  <c r="AN98" i="4"/>
  <c r="AK98" i="4"/>
  <c r="BH98" i="4" s="1"/>
  <c r="K98" i="4"/>
  <c r="J98" i="4"/>
  <c r="I98" i="4"/>
  <c r="H98" i="4"/>
  <c r="G98" i="4"/>
  <c r="AX97" i="4"/>
  <c r="AW97" i="4"/>
  <c r="BI97" i="4" s="1"/>
  <c r="AR97" i="4"/>
  <c r="BG97" i="4" s="1"/>
  <c r="AN97" i="4"/>
  <c r="AK97" i="4"/>
  <c r="BK97" i="4" s="1"/>
  <c r="K97" i="4"/>
  <c r="J97" i="4"/>
  <c r="I97" i="4"/>
  <c r="H97" i="4"/>
  <c r="G97" i="4"/>
  <c r="BG96" i="4"/>
  <c r="BA96" i="4"/>
  <c r="BB96" i="4" s="1"/>
  <c r="AY96" i="4"/>
  <c r="AX96" i="4"/>
  <c r="AZ96" i="4" s="1"/>
  <c r="AW96" i="4"/>
  <c r="BK96" i="4" s="1"/>
  <c r="AR96" i="4"/>
  <c r="AN96" i="4"/>
  <c r="AK96" i="4"/>
  <c r="BH96" i="4" s="1"/>
  <c r="K96" i="4"/>
  <c r="J96" i="4"/>
  <c r="I96" i="4"/>
  <c r="H96" i="4"/>
  <c r="G96" i="4"/>
  <c r="AX95" i="4"/>
  <c r="AW95" i="4"/>
  <c r="BI95" i="4" s="1"/>
  <c r="AR95" i="4"/>
  <c r="BG95" i="4" s="1"/>
  <c r="AN95" i="4"/>
  <c r="AK95" i="4"/>
  <c r="BK95" i="4" s="1"/>
  <c r="K95" i="4"/>
  <c r="J95" i="4"/>
  <c r="I95" i="4"/>
  <c r="H95" i="4"/>
  <c r="G95" i="4"/>
  <c r="BG94" i="4"/>
  <c r="BA94" i="4"/>
  <c r="BB94" i="4" s="1"/>
  <c r="AY94" i="4"/>
  <c r="AX94" i="4"/>
  <c r="AZ94" i="4" s="1"/>
  <c r="AW94" i="4"/>
  <c r="BK94" i="4" s="1"/>
  <c r="AR94" i="4"/>
  <c r="AN94" i="4"/>
  <c r="AK94" i="4"/>
  <c r="BH94" i="4" s="1"/>
  <c r="K94" i="4"/>
  <c r="J94" i="4"/>
  <c r="I94" i="4"/>
  <c r="H94" i="4"/>
  <c r="G94" i="4"/>
  <c r="AX93" i="4"/>
  <c r="AW93" i="4"/>
  <c r="BI93" i="4" s="1"/>
  <c r="AR93" i="4"/>
  <c r="BG93" i="4" s="1"/>
  <c r="AN93" i="4"/>
  <c r="AK93" i="4"/>
  <c r="BK93" i="4" s="1"/>
  <c r="K93" i="4"/>
  <c r="J93" i="4"/>
  <c r="I93" i="4"/>
  <c r="H93" i="4"/>
  <c r="G93" i="4"/>
  <c r="BG92" i="4"/>
  <c r="BA92" i="4"/>
  <c r="BB92" i="4" s="1"/>
  <c r="AY92" i="4"/>
  <c r="AX92" i="4"/>
  <c r="AZ92" i="4" s="1"/>
  <c r="AW92" i="4"/>
  <c r="BK92" i="4" s="1"/>
  <c r="AR92" i="4"/>
  <c r="AN92" i="4"/>
  <c r="AK92" i="4"/>
  <c r="BH92" i="4" s="1"/>
  <c r="K92" i="4"/>
  <c r="J92" i="4"/>
  <c r="I92" i="4"/>
  <c r="H92" i="4"/>
  <c r="G92" i="4"/>
  <c r="AX91" i="4"/>
  <c r="AW91" i="4"/>
  <c r="BI91" i="4" s="1"/>
  <c r="AR91" i="4"/>
  <c r="BG91" i="4" s="1"/>
  <c r="AN91" i="4"/>
  <c r="AK91" i="4"/>
  <c r="BK91" i="4" s="1"/>
  <c r="K91" i="4"/>
  <c r="J91" i="4"/>
  <c r="I91" i="4"/>
  <c r="H91" i="4"/>
  <c r="G91" i="4"/>
  <c r="BG90" i="4"/>
  <c r="BA90" i="4"/>
  <c r="BB90" i="4" s="1"/>
  <c r="AY90" i="4"/>
  <c r="AX90" i="4"/>
  <c r="AZ90" i="4" s="1"/>
  <c r="AW90" i="4"/>
  <c r="BK90" i="4" s="1"/>
  <c r="AR90" i="4"/>
  <c r="AN90" i="4"/>
  <c r="AK90" i="4"/>
  <c r="BH90" i="4" s="1"/>
  <c r="K90" i="4"/>
  <c r="J90" i="4"/>
  <c r="I90" i="4"/>
  <c r="H90" i="4"/>
  <c r="G90" i="4"/>
  <c r="AX89" i="4"/>
  <c r="AW89" i="4"/>
  <c r="BI89" i="4" s="1"/>
  <c r="AR89" i="4"/>
  <c r="BG89" i="4" s="1"/>
  <c r="AN89" i="4"/>
  <c r="AK89" i="4"/>
  <c r="BK89" i="4" s="1"/>
  <c r="K89" i="4"/>
  <c r="J89" i="4"/>
  <c r="I89" i="4"/>
  <c r="H89" i="4"/>
  <c r="G89" i="4"/>
  <c r="BG88" i="4"/>
  <c r="BA88" i="4"/>
  <c r="BB88" i="4" s="1"/>
  <c r="AY88" i="4"/>
  <c r="AX88" i="4"/>
  <c r="AZ88" i="4" s="1"/>
  <c r="AW88" i="4"/>
  <c r="BK88" i="4" s="1"/>
  <c r="AR88" i="4"/>
  <c r="AN88" i="4"/>
  <c r="AK88" i="4"/>
  <c r="BH88" i="4" s="1"/>
  <c r="K88" i="4"/>
  <c r="J88" i="4"/>
  <c r="I88" i="4"/>
  <c r="H88" i="4"/>
  <c r="G88" i="4"/>
  <c r="AX87" i="4"/>
  <c r="AW87" i="4"/>
  <c r="BI87" i="4" s="1"/>
  <c r="AR87" i="4"/>
  <c r="BG87" i="4" s="1"/>
  <c r="AN87" i="4"/>
  <c r="AK87" i="4"/>
  <c r="BK87" i="4" s="1"/>
  <c r="K87" i="4"/>
  <c r="J87" i="4"/>
  <c r="I87" i="4"/>
  <c r="H87" i="4"/>
  <c r="G87" i="4"/>
  <c r="BG86" i="4"/>
  <c r="BA86" i="4"/>
  <c r="BB86" i="4" s="1"/>
  <c r="AY86" i="4"/>
  <c r="AX86" i="4"/>
  <c r="AZ86" i="4" s="1"/>
  <c r="AW86" i="4"/>
  <c r="BK86" i="4" s="1"/>
  <c r="AR86" i="4"/>
  <c r="AN86" i="4"/>
  <c r="AK86" i="4"/>
  <c r="BH86" i="4" s="1"/>
  <c r="K86" i="4"/>
  <c r="J86" i="4"/>
  <c r="I86" i="4"/>
  <c r="H86" i="4"/>
  <c r="G86" i="4"/>
  <c r="AX85" i="4"/>
  <c r="AW85" i="4"/>
  <c r="BI85" i="4" s="1"/>
  <c r="AR85" i="4"/>
  <c r="BG85" i="4" s="1"/>
  <c r="AN85" i="4"/>
  <c r="AK85" i="4"/>
  <c r="BK85" i="4" s="1"/>
  <c r="K85" i="4"/>
  <c r="J85" i="4"/>
  <c r="I85" i="4"/>
  <c r="H85" i="4"/>
  <c r="G85" i="4"/>
  <c r="BG84" i="4"/>
  <c r="BA84" i="4"/>
  <c r="BB84" i="4" s="1"/>
  <c r="AY84" i="4"/>
  <c r="AX84" i="4"/>
  <c r="AZ84" i="4" s="1"/>
  <c r="AW84" i="4"/>
  <c r="BK84" i="4" s="1"/>
  <c r="AR84" i="4"/>
  <c r="AN84" i="4"/>
  <c r="AK84" i="4"/>
  <c r="BH84" i="4" s="1"/>
  <c r="K84" i="4"/>
  <c r="J84" i="4"/>
  <c r="I84" i="4"/>
  <c r="H84" i="4"/>
  <c r="G84" i="4"/>
  <c r="AX83" i="4"/>
  <c r="AW83" i="4"/>
  <c r="BI83" i="4" s="1"/>
  <c r="AR83" i="4"/>
  <c r="BG83" i="4" s="1"/>
  <c r="AN83" i="4"/>
  <c r="AK83" i="4"/>
  <c r="BK83" i="4" s="1"/>
  <c r="K83" i="4"/>
  <c r="J83" i="4"/>
  <c r="I83" i="4"/>
  <c r="H83" i="4"/>
  <c r="G83" i="4"/>
  <c r="BG82" i="4"/>
  <c r="BA82" i="4"/>
  <c r="BB82" i="4" s="1"/>
  <c r="AY82" i="4"/>
  <c r="AX82" i="4"/>
  <c r="AZ82" i="4" s="1"/>
  <c r="AW82" i="4"/>
  <c r="BK82" i="4" s="1"/>
  <c r="AR82" i="4"/>
  <c r="AN82" i="4"/>
  <c r="AK82" i="4"/>
  <c r="BH82" i="4" s="1"/>
  <c r="K82" i="4"/>
  <c r="J82" i="4"/>
  <c r="I82" i="4"/>
  <c r="H82" i="4"/>
  <c r="G82" i="4"/>
  <c r="AX81" i="4"/>
  <c r="AW81" i="4"/>
  <c r="BI81" i="4" s="1"/>
  <c r="AR81" i="4"/>
  <c r="BG81" i="4" s="1"/>
  <c r="AN81" i="4"/>
  <c r="AK81" i="4"/>
  <c r="BK81" i="4" s="1"/>
  <c r="K81" i="4"/>
  <c r="J81" i="4"/>
  <c r="I81" i="4"/>
  <c r="H81" i="4"/>
  <c r="G81" i="4"/>
  <c r="BG80" i="4"/>
  <c r="BA80" i="4"/>
  <c r="BB80" i="4" s="1"/>
  <c r="AY80" i="4"/>
  <c r="AX80" i="4"/>
  <c r="AZ80" i="4" s="1"/>
  <c r="AW80" i="4"/>
  <c r="BK80" i="4" s="1"/>
  <c r="AR80" i="4"/>
  <c r="AN80" i="4"/>
  <c r="AK80" i="4"/>
  <c r="BH80" i="4" s="1"/>
  <c r="K80" i="4"/>
  <c r="J80" i="4"/>
  <c r="I80" i="4"/>
  <c r="H80" i="4"/>
  <c r="G80" i="4"/>
  <c r="AX79" i="4"/>
  <c r="AW79" i="4"/>
  <c r="BI79" i="4" s="1"/>
  <c r="AR79" i="4"/>
  <c r="BG79" i="4" s="1"/>
  <c r="AN79" i="4"/>
  <c r="AK79" i="4"/>
  <c r="BK79" i="4" s="1"/>
  <c r="K79" i="4"/>
  <c r="J79" i="4"/>
  <c r="I79" i="4"/>
  <c r="H79" i="4"/>
  <c r="G79" i="4"/>
  <c r="BG78" i="4"/>
  <c r="BA78" i="4"/>
  <c r="BB78" i="4" s="1"/>
  <c r="AY78" i="4"/>
  <c r="AX78" i="4"/>
  <c r="AZ78" i="4" s="1"/>
  <c r="AW78" i="4"/>
  <c r="BK78" i="4" s="1"/>
  <c r="AR78" i="4"/>
  <c r="AN78" i="4"/>
  <c r="AK78" i="4"/>
  <c r="BH78" i="4" s="1"/>
  <c r="K78" i="4"/>
  <c r="J78" i="4"/>
  <c r="I78" i="4"/>
  <c r="H78" i="4"/>
  <c r="G78" i="4"/>
  <c r="AX77" i="4"/>
  <c r="AW77" i="4"/>
  <c r="BI77" i="4" s="1"/>
  <c r="AR77" i="4"/>
  <c r="BG77" i="4" s="1"/>
  <c r="AN77" i="4"/>
  <c r="AK77" i="4"/>
  <c r="BK77" i="4" s="1"/>
  <c r="K77" i="4"/>
  <c r="J77" i="4"/>
  <c r="I77" i="4"/>
  <c r="H77" i="4"/>
  <c r="G77" i="4"/>
  <c r="BG76" i="4"/>
  <c r="BA76" i="4"/>
  <c r="BB76" i="4" s="1"/>
  <c r="AY76" i="4"/>
  <c r="AX76" i="4"/>
  <c r="AZ76" i="4" s="1"/>
  <c r="AW76" i="4"/>
  <c r="BK76" i="4" s="1"/>
  <c r="AR76" i="4"/>
  <c r="AN76" i="4"/>
  <c r="AK76" i="4"/>
  <c r="BH76" i="4" s="1"/>
  <c r="K76" i="4"/>
  <c r="J76" i="4"/>
  <c r="I76" i="4"/>
  <c r="H76" i="4"/>
  <c r="G76" i="4"/>
  <c r="AX75" i="4"/>
  <c r="AW75" i="4"/>
  <c r="BI75" i="4" s="1"/>
  <c r="AR75" i="4"/>
  <c r="BG75" i="4" s="1"/>
  <c r="AN75" i="4"/>
  <c r="AK75" i="4"/>
  <c r="BK75" i="4" s="1"/>
  <c r="K75" i="4"/>
  <c r="J75" i="4"/>
  <c r="I75" i="4"/>
  <c r="H75" i="4"/>
  <c r="G75" i="4"/>
  <c r="BG74" i="4"/>
  <c r="BA74" i="4"/>
  <c r="BB74" i="4" s="1"/>
  <c r="AY74" i="4"/>
  <c r="AX74" i="4"/>
  <c r="AZ74" i="4" s="1"/>
  <c r="AW74" i="4"/>
  <c r="BK74" i="4" s="1"/>
  <c r="AR74" i="4"/>
  <c r="AN74" i="4"/>
  <c r="AK74" i="4"/>
  <c r="BH74" i="4" s="1"/>
  <c r="K74" i="4"/>
  <c r="J74" i="4"/>
  <c r="I74" i="4"/>
  <c r="H74" i="4"/>
  <c r="G74" i="4"/>
  <c r="AX73" i="4"/>
  <c r="AW73" i="4"/>
  <c r="BI73" i="4" s="1"/>
  <c r="AR73" i="4"/>
  <c r="BG73" i="4" s="1"/>
  <c r="AN73" i="4"/>
  <c r="AK73" i="4"/>
  <c r="BK73" i="4" s="1"/>
  <c r="K73" i="4"/>
  <c r="J73" i="4"/>
  <c r="I73" i="4"/>
  <c r="H73" i="4"/>
  <c r="G73" i="4"/>
  <c r="BG72" i="4"/>
  <c r="BA72" i="4"/>
  <c r="BB72" i="4" s="1"/>
  <c r="AY72" i="4"/>
  <c r="AX72" i="4"/>
  <c r="AZ72" i="4" s="1"/>
  <c r="AW72" i="4"/>
  <c r="BK72" i="4" s="1"/>
  <c r="AR72" i="4"/>
  <c r="AN72" i="4"/>
  <c r="AK72" i="4"/>
  <c r="BH72" i="4" s="1"/>
  <c r="K72" i="4"/>
  <c r="J72" i="4"/>
  <c r="I72" i="4"/>
  <c r="H72" i="4"/>
  <c r="G72" i="4"/>
  <c r="AX71" i="4"/>
  <c r="AW71" i="4"/>
  <c r="BI71" i="4" s="1"/>
  <c r="AR71" i="4"/>
  <c r="BG71" i="4" s="1"/>
  <c r="AN71" i="4"/>
  <c r="AK71" i="4"/>
  <c r="BK71" i="4" s="1"/>
  <c r="K71" i="4"/>
  <c r="J71" i="4"/>
  <c r="I71" i="4"/>
  <c r="H71" i="4"/>
  <c r="G71" i="4"/>
  <c r="BG70" i="4"/>
  <c r="BA70" i="4"/>
  <c r="BB70" i="4" s="1"/>
  <c r="AY70" i="4"/>
  <c r="AX70" i="4"/>
  <c r="AZ70" i="4" s="1"/>
  <c r="AW70" i="4"/>
  <c r="BK70" i="4" s="1"/>
  <c r="AR70" i="4"/>
  <c r="AN70" i="4"/>
  <c r="AK70" i="4"/>
  <c r="BH70" i="4" s="1"/>
  <c r="K70" i="4"/>
  <c r="J70" i="4"/>
  <c r="I70" i="4"/>
  <c r="H70" i="4"/>
  <c r="G70" i="4"/>
  <c r="AX69" i="4"/>
  <c r="AW69" i="4"/>
  <c r="BI69" i="4" s="1"/>
  <c r="AR69" i="4"/>
  <c r="BG69" i="4" s="1"/>
  <c r="AN69" i="4"/>
  <c r="AK69" i="4"/>
  <c r="BK69" i="4" s="1"/>
  <c r="K69" i="4"/>
  <c r="J69" i="4"/>
  <c r="I69" i="4"/>
  <c r="H69" i="4"/>
  <c r="G69" i="4"/>
  <c r="BG68" i="4"/>
  <c r="BA68" i="4"/>
  <c r="BB68" i="4" s="1"/>
  <c r="AY68" i="4"/>
  <c r="AX68" i="4"/>
  <c r="AZ68" i="4" s="1"/>
  <c r="AW68" i="4"/>
  <c r="BK68" i="4" s="1"/>
  <c r="AR68" i="4"/>
  <c r="AN68" i="4"/>
  <c r="AK68" i="4"/>
  <c r="BH68" i="4" s="1"/>
  <c r="K68" i="4"/>
  <c r="J68" i="4"/>
  <c r="I68" i="4"/>
  <c r="H68" i="4"/>
  <c r="G68" i="4"/>
  <c r="AX67" i="4"/>
  <c r="AW67" i="4"/>
  <c r="BI67" i="4" s="1"/>
  <c r="AR67" i="4"/>
  <c r="BG67" i="4" s="1"/>
  <c r="AN67" i="4"/>
  <c r="AK67" i="4"/>
  <c r="BK67" i="4" s="1"/>
  <c r="K67" i="4"/>
  <c r="J67" i="4"/>
  <c r="I67" i="4"/>
  <c r="H67" i="4"/>
  <c r="G67" i="4"/>
  <c r="BG66" i="4"/>
  <c r="BA66" i="4"/>
  <c r="BB66" i="4" s="1"/>
  <c r="AY66" i="4"/>
  <c r="AX66" i="4"/>
  <c r="AZ66" i="4" s="1"/>
  <c r="AW66" i="4"/>
  <c r="BK66" i="4" s="1"/>
  <c r="AR66" i="4"/>
  <c r="AN66" i="4"/>
  <c r="AK66" i="4"/>
  <c r="BH66" i="4" s="1"/>
  <c r="K66" i="4"/>
  <c r="J66" i="4"/>
  <c r="I66" i="4"/>
  <c r="H66" i="4"/>
  <c r="G66" i="4"/>
  <c r="AX65" i="4"/>
  <c r="AW65" i="4"/>
  <c r="BI65" i="4" s="1"/>
  <c r="AR65" i="4"/>
  <c r="BG65" i="4" s="1"/>
  <c r="AN65" i="4"/>
  <c r="AK65" i="4"/>
  <c r="BK65" i="4" s="1"/>
  <c r="K65" i="4"/>
  <c r="J65" i="4"/>
  <c r="I65" i="4"/>
  <c r="H65" i="4"/>
  <c r="G65" i="4"/>
  <c r="BG64" i="4"/>
  <c r="BA64" i="4"/>
  <c r="BB64" i="4" s="1"/>
  <c r="AY64" i="4"/>
  <c r="AX64" i="4"/>
  <c r="AZ64" i="4" s="1"/>
  <c r="AW64" i="4"/>
  <c r="BK64" i="4" s="1"/>
  <c r="AR64" i="4"/>
  <c r="AN64" i="4"/>
  <c r="AK64" i="4"/>
  <c r="BH64" i="4" s="1"/>
  <c r="K64" i="4"/>
  <c r="J64" i="4"/>
  <c r="I64" i="4"/>
  <c r="H64" i="4"/>
  <c r="G64" i="4"/>
  <c r="AX63" i="4"/>
  <c r="AW63" i="4"/>
  <c r="BI63" i="4" s="1"/>
  <c r="AR63" i="4"/>
  <c r="BG63" i="4" s="1"/>
  <c r="AN63" i="4"/>
  <c r="AK63" i="4"/>
  <c r="BK63" i="4" s="1"/>
  <c r="K63" i="4"/>
  <c r="J63" i="4"/>
  <c r="I63" i="4"/>
  <c r="H63" i="4"/>
  <c r="G63" i="4"/>
  <c r="BG62" i="4"/>
  <c r="BA62" i="4"/>
  <c r="BB62" i="4" s="1"/>
  <c r="AY62" i="4"/>
  <c r="AX62" i="4"/>
  <c r="AZ62" i="4" s="1"/>
  <c r="AW62" i="4"/>
  <c r="BK62" i="4" s="1"/>
  <c r="AR62" i="4"/>
  <c r="AN62" i="4"/>
  <c r="AK62" i="4"/>
  <c r="BH62" i="4" s="1"/>
  <c r="K62" i="4"/>
  <c r="J62" i="4"/>
  <c r="I62" i="4"/>
  <c r="H62" i="4"/>
  <c r="G62" i="4"/>
  <c r="AX61" i="4"/>
  <c r="AW61" i="4"/>
  <c r="BI61" i="4" s="1"/>
  <c r="AR61" i="4"/>
  <c r="BG61" i="4" s="1"/>
  <c r="AN61" i="4"/>
  <c r="AK61" i="4"/>
  <c r="BK61" i="4" s="1"/>
  <c r="K61" i="4"/>
  <c r="J61" i="4"/>
  <c r="I61" i="4"/>
  <c r="H61" i="4"/>
  <c r="G61" i="4"/>
  <c r="BG60" i="4"/>
  <c r="BA60" i="4"/>
  <c r="BB60" i="4" s="1"/>
  <c r="AY60" i="4"/>
  <c r="AX60" i="4"/>
  <c r="AZ60" i="4" s="1"/>
  <c r="AW60" i="4"/>
  <c r="BK60" i="4" s="1"/>
  <c r="AR60" i="4"/>
  <c r="AN60" i="4"/>
  <c r="AK60" i="4"/>
  <c r="BH60" i="4" s="1"/>
  <c r="K60" i="4"/>
  <c r="J60" i="4"/>
  <c r="I60" i="4"/>
  <c r="H60" i="4"/>
  <c r="G60" i="4"/>
  <c r="AX59" i="4"/>
  <c r="AW59" i="4"/>
  <c r="BI59" i="4" s="1"/>
  <c r="AR59" i="4"/>
  <c r="BG59" i="4" s="1"/>
  <c r="AN59" i="4"/>
  <c r="AK59" i="4"/>
  <c r="BK59" i="4" s="1"/>
  <c r="K59" i="4"/>
  <c r="J59" i="4"/>
  <c r="I59" i="4"/>
  <c r="H59" i="4"/>
  <c r="G59" i="4"/>
  <c r="BG58" i="4"/>
  <c r="BA58" i="4"/>
  <c r="BB58" i="4" s="1"/>
  <c r="AY58" i="4"/>
  <c r="AX58" i="4"/>
  <c r="AZ58" i="4" s="1"/>
  <c r="AW58" i="4"/>
  <c r="BI58" i="4" s="1"/>
  <c r="AR58" i="4"/>
  <c r="AN58" i="4"/>
  <c r="AK58" i="4"/>
  <c r="BH58" i="4" s="1"/>
  <c r="K58" i="4"/>
  <c r="J58" i="4"/>
  <c r="I58" i="4"/>
  <c r="H58" i="4"/>
  <c r="G58" i="4"/>
  <c r="AX57" i="4"/>
  <c r="AW57" i="4"/>
  <c r="BI57" i="4" s="1"/>
  <c r="AR57" i="4"/>
  <c r="BG57" i="4" s="1"/>
  <c r="AN57" i="4"/>
  <c r="AK57" i="4"/>
  <c r="BK57" i="4" s="1"/>
  <c r="K57" i="4"/>
  <c r="J57" i="4"/>
  <c r="I57" i="4"/>
  <c r="H57" i="4"/>
  <c r="G57" i="4"/>
  <c r="BG56" i="4"/>
  <c r="BA56" i="4"/>
  <c r="BB56" i="4" s="1"/>
  <c r="AY56" i="4"/>
  <c r="AX56" i="4"/>
  <c r="AZ56" i="4" s="1"/>
  <c r="AW56" i="4"/>
  <c r="BK56" i="4" s="1"/>
  <c r="AR56" i="4"/>
  <c r="AN56" i="4"/>
  <c r="AK56" i="4"/>
  <c r="BH56" i="4" s="1"/>
  <c r="K56" i="4"/>
  <c r="J56" i="4"/>
  <c r="I56" i="4"/>
  <c r="H56" i="4"/>
  <c r="G56" i="4"/>
  <c r="AX55" i="4"/>
  <c r="AW55" i="4"/>
  <c r="BI55" i="4" s="1"/>
  <c r="AR55" i="4"/>
  <c r="BG55" i="4" s="1"/>
  <c r="AN55" i="4"/>
  <c r="AK55" i="4"/>
  <c r="BK55" i="4" s="1"/>
  <c r="K55" i="4"/>
  <c r="J55" i="4"/>
  <c r="I55" i="4"/>
  <c r="H55" i="4"/>
  <c r="G55" i="4"/>
  <c r="BG54" i="4"/>
  <c r="BA54" i="4"/>
  <c r="BB54" i="4" s="1"/>
  <c r="AY54" i="4"/>
  <c r="AX54" i="4"/>
  <c r="AZ54" i="4" s="1"/>
  <c r="AW54" i="4"/>
  <c r="BK54" i="4" s="1"/>
  <c r="AR54" i="4"/>
  <c r="AN54" i="4"/>
  <c r="AK54" i="4"/>
  <c r="BH54" i="4" s="1"/>
  <c r="K54" i="4"/>
  <c r="J54" i="4"/>
  <c r="I54" i="4"/>
  <c r="H54" i="4"/>
  <c r="G54" i="4"/>
  <c r="AX53" i="4"/>
  <c r="AW53" i="4"/>
  <c r="BI53" i="4" s="1"/>
  <c r="AR53" i="4"/>
  <c r="BG53" i="4" s="1"/>
  <c r="AN53" i="4"/>
  <c r="AK53" i="4"/>
  <c r="BK53" i="4" s="1"/>
  <c r="K53" i="4"/>
  <c r="J53" i="4"/>
  <c r="I53" i="4"/>
  <c r="H53" i="4"/>
  <c r="G53" i="4"/>
  <c r="BG52" i="4"/>
  <c r="BA52" i="4"/>
  <c r="BB52" i="4" s="1"/>
  <c r="AY52" i="4"/>
  <c r="AX52" i="4"/>
  <c r="AZ52" i="4" s="1"/>
  <c r="AW52" i="4"/>
  <c r="BK52" i="4" s="1"/>
  <c r="AR52" i="4"/>
  <c r="AN52" i="4"/>
  <c r="AK52" i="4"/>
  <c r="BH52" i="4" s="1"/>
  <c r="K52" i="4"/>
  <c r="J52" i="4"/>
  <c r="I52" i="4"/>
  <c r="H52" i="4"/>
  <c r="G52" i="4"/>
  <c r="AX51" i="4"/>
  <c r="AW51" i="4"/>
  <c r="BI51" i="4" s="1"/>
  <c r="AR51" i="4"/>
  <c r="BG51" i="4" s="1"/>
  <c r="AN51" i="4"/>
  <c r="AK51" i="4"/>
  <c r="BK51" i="4" s="1"/>
  <c r="K51" i="4"/>
  <c r="J51" i="4"/>
  <c r="I51" i="4"/>
  <c r="H51" i="4"/>
  <c r="G51" i="4"/>
  <c r="BG50" i="4"/>
  <c r="BA50" i="4"/>
  <c r="BB50" i="4" s="1"/>
  <c r="AY50" i="4"/>
  <c r="AX50" i="4"/>
  <c r="AZ50" i="4" s="1"/>
  <c r="AW50" i="4"/>
  <c r="BK50" i="4" s="1"/>
  <c r="AR50" i="4"/>
  <c r="AN50" i="4"/>
  <c r="AK50" i="4"/>
  <c r="BH50" i="4" s="1"/>
  <c r="K50" i="4"/>
  <c r="J50" i="4"/>
  <c r="I50" i="4"/>
  <c r="H50" i="4"/>
  <c r="G50" i="4"/>
  <c r="AX49" i="4"/>
  <c r="AW49" i="4"/>
  <c r="BI49" i="4" s="1"/>
  <c r="AR49" i="4"/>
  <c r="BG49" i="4" s="1"/>
  <c r="AN49" i="4"/>
  <c r="AK49" i="4"/>
  <c r="BK49" i="4" s="1"/>
  <c r="K49" i="4"/>
  <c r="J49" i="4"/>
  <c r="I49" i="4"/>
  <c r="H49" i="4"/>
  <c r="G49" i="4"/>
  <c r="BG48" i="4"/>
  <c r="BA48" i="4"/>
  <c r="BB48" i="4" s="1"/>
  <c r="AY48" i="4"/>
  <c r="AX48" i="4"/>
  <c r="AZ48" i="4" s="1"/>
  <c r="AW48" i="4"/>
  <c r="BK48" i="4" s="1"/>
  <c r="AR48" i="4"/>
  <c r="AN48" i="4"/>
  <c r="AK48" i="4"/>
  <c r="BH48" i="4" s="1"/>
  <c r="K48" i="4"/>
  <c r="J48" i="4"/>
  <c r="I48" i="4"/>
  <c r="H48" i="4"/>
  <c r="G48" i="4"/>
  <c r="AX47" i="4"/>
  <c r="AW47" i="4"/>
  <c r="BI47" i="4" s="1"/>
  <c r="AR47" i="4"/>
  <c r="BG47" i="4" s="1"/>
  <c r="AN47" i="4"/>
  <c r="AK47" i="4"/>
  <c r="BK47" i="4" s="1"/>
  <c r="K47" i="4"/>
  <c r="J47" i="4"/>
  <c r="I47" i="4"/>
  <c r="H47" i="4"/>
  <c r="G47" i="4"/>
  <c r="BG46" i="4"/>
  <c r="BA46" i="4"/>
  <c r="BB46" i="4" s="1"/>
  <c r="AY46" i="4"/>
  <c r="AX46" i="4"/>
  <c r="AZ46" i="4" s="1"/>
  <c r="AW46" i="4"/>
  <c r="BK46" i="4" s="1"/>
  <c r="AR46" i="4"/>
  <c r="AN46" i="4"/>
  <c r="AK46" i="4"/>
  <c r="BH46" i="4" s="1"/>
  <c r="K46" i="4"/>
  <c r="J46" i="4"/>
  <c r="I46" i="4"/>
  <c r="H46" i="4"/>
  <c r="G46" i="4"/>
  <c r="AX45" i="4"/>
  <c r="AW45" i="4"/>
  <c r="BI45" i="4" s="1"/>
  <c r="AR45" i="4"/>
  <c r="BG45" i="4" s="1"/>
  <c r="AN45" i="4"/>
  <c r="AK45" i="4"/>
  <c r="BK45" i="4" s="1"/>
  <c r="K45" i="4"/>
  <c r="J45" i="4"/>
  <c r="I45" i="4"/>
  <c r="H45" i="4"/>
  <c r="G45" i="4"/>
  <c r="BG44" i="4"/>
  <c r="BA44" i="4"/>
  <c r="BB44" i="4" s="1"/>
  <c r="AY44" i="4"/>
  <c r="AX44" i="4"/>
  <c r="AZ44" i="4" s="1"/>
  <c r="AW44" i="4"/>
  <c r="BI44" i="4" s="1"/>
  <c r="AR44" i="4"/>
  <c r="AN44" i="4"/>
  <c r="AK44" i="4"/>
  <c r="BH44" i="4" s="1"/>
  <c r="K44" i="4"/>
  <c r="J44" i="4"/>
  <c r="I44" i="4"/>
  <c r="H44" i="4"/>
  <c r="G44" i="4"/>
  <c r="AX43" i="4"/>
  <c r="AW43" i="4"/>
  <c r="BI43" i="4" s="1"/>
  <c r="AR43" i="4"/>
  <c r="BG43" i="4" s="1"/>
  <c r="AN43" i="4"/>
  <c r="AK43" i="4"/>
  <c r="BK43" i="4" s="1"/>
  <c r="K43" i="4"/>
  <c r="J43" i="4"/>
  <c r="I43" i="4"/>
  <c r="H43" i="4"/>
  <c r="G43" i="4"/>
  <c r="BG42" i="4"/>
  <c r="BA42" i="4"/>
  <c r="BB42" i="4" s="1"/>
  <c r="AY42" i="4"/>
  <c r="AX42" i="4"/>
  <c r="AZ42" i="4" s="1"/>
  <c r="AW42" i="4"/>
  <c r="BK42" i="4" s="1"/>
  <c r="AR42" i="4"/>
  <c r="AN42" i="4"/>
  <c r="AK42" i="4"/>
  <c r="BH42" i="4" s="1"/>
  <c r="K42" i="4"/>
  <c r="J42" i="4"/>
  <c r="I42" i="4"/>
  <c r="H42" i="4"/>
  <c r="G42" i="4"/>
  <c r="AX41" i="4"/>
  <c r="AW41" i="4"/>
  <c r="BI41" i="4" s="1"/>
  <c r="AR41" i="4"/>
  <c r="BG41" i="4" s="1"/>
  <c r="AN41" i="4"/>
  <c r="AK41" i="4"/>
  <c r="BK41" i="4" s="1"/>
  <c r="K41" i="4"/>
  <c r="J41" i="4"/>
  <c r="I41" i="4"/>
  <c r="H41" i="4"/>
  <c r="G41" i="4"/>
  <c r="BG40" i="4"/>
  <c r="BA40" i="4"/>
  <c r="BB40" i="4" s="1"/>
  <c r="AY40" i="4"/>
  <c r="AX40" i="4"/>
  <c r="AZ40" i="4" s="1"/>
  <c r="AW40" i="4"/>
  <c r="BK40" i="4" s="1"/>
  <c r="AR40" i="4"/>
  <c r="AN40" i="4"/>
  <c r="AK40" i="4"/>
  <c r="BH40" i="4" s="1"/>
  <c r="K40" i="4"/>
  <c r="J40" i="4"/>
  <c r="I40" i="4"/>
  <c r="H40" i="4"/>
  <c r="G40" i="4"/>
  <c r="AX39" i="4"/>
  <c r="AW39" i="4"/>
  <c r="BI39" i="4" s="1"/>
  <c r="AR39" i="4"/>
  <c r="BG39" i="4" s="1"/>
  <c r="AN39" i="4"/>
  <c r="AK39" i="4"/>
  <c r="BK39" i="4" s="1"/>
  <c r="K39" i="4"/>
  <c r="J39" i="4"/>
  <c r="I39" i="4"/>
  <c r="H39" i="4"/>
  <c r="G39" i="4"/>
  <c r="BG38" i="4"/>
  <c r="BA38" i="4"/>
  <c r="BB38" i="4" s="1"/>
  <c r="AY38" i="4"/>
  <c r="AX38" i="4"/>
  <c r="AZ38" i="4" s="1"/>
  <c r="AW38" i="4"/>
  <c r="BK38" i="4" s="1"/>
  <c r="AR38" i="4"/>
  <c r="AN38" i="4"/>
  <c r="AK38" i="4"/>
  <c r="BH38" i="4" s="1"/>
  <c r="K38" i="4"/>
  <c r="J38" i="4"/>
  <c r="I38" i="4"/>
  <c r="H38" i="4"/>
  <c r="G38" i="4"/>
  <c r="AX37" i="4"/>
  <c r="AW37" i="4"/>
  <c r="BI37" i="4" s="1"/>
  <c r="AR37" i="4"/>
  <c r="BG37" i="4" s="1"/>
  <c r="AN37" i="4"/>
  <c r="AK37" i="4"/>
  <c r="BK37" i="4" s="1"/>
  <c r="K37" i="4"/>
  <c r="J37" i="4"/>
  <c r="I37" i="4"/>
  <c r="H37" i="4"/>
  <c r="G37" i="4"/>
  <c r="BG36" i="4"/>
  <c r="BA36" i="4"/>
  <c r="BB36" i="4" s="1"/>
  <c r="AY36" i="4"/>
  <c r="AX36" i="4"/>
  <c r="AZ36" i="4" s="1"/>
  <c r="AW36" i="4"/>
  <c r="BK36" i="4" s="1"/>
  <c r="AR36" i="4"/>
  <c r="AN36" i="4"/>
  <c r="AK36" i="4"/>
  <c r="BH36" i="4" s="1"/>
  <c r="K36" i="4"/>
  <c r="J36" i="4"/>
  <c r="I36" i="4"/>
  <c r="H36" i="4"/>
  <c r="G36" i="4"/>
  <c r="AX35" i="4"/>
  <c r="AW35" i="4"/>
  <c r="BI35" i="4" s="1"/>
  <c r="AR35" i="4"/>
  <c r="BG35" i="4" s="1"/>
  <c r="AN35" i="4"/>
  <c r="AK35" i="4"/>
  <c r="BK35" i="4" s="1"/>
  <c r="K35" i="4"/>
  <c r="J35" i="4"/>
  <c r="I35" i="4"/>
  <c r="H35" i="4"/>
  <c r="G35" i="4"/>
  <c r="BG34" i="4"/>
  <c r="BA34" i="4"/>
  <c r="BB34" i="4" s="1"/>
  <c r="AY34" i="4"/>
  <c r="AX34" i="4"/>
  <c r="AZ34" i="4" s="1"/>
  <c r="AW34" i="4"/>
  <c r="BK34" i="4" s="1"/>
  <c r="AR34" i="4"/>
  <c r="AN34" i="4"/>
  <c r="AK34" i="4"/>
  <c r="BH34" i="4" s="1"/>
  <c r="K34" i="4"/>
  <c r="J34" i="4"/>
  <c r="I34" i="4"/>
  <c r="H34" i="4"/>
  <c r="G34" i="4"/>
  <c r="AX33" i="4"/>
  <c r="AW33" i="4"/>
  <c r="BI33" i="4" s="1"/>
  <c r="AR33" i="4"/>
  <c r="BG33" i="4" s="1"/>
  <c r="AN33" i="4"/>
  <c r="AK33" i="4"/>
  <c r="BK33" i="4" s="1"/>
  <c r="K33" i="4"/>
  <c r="J33" i="4"/>
  <c r="I33" i="4"/>
  <c r="H33" i="4"/>
  <c r="G33" i="4"/>
  <c r="BG32" i="4"/>
  <c r="BA32" i="4"/>
  <c r="BB32" i="4" s="1"/>
  <c r="AY32" i="4"/>
  <c r="AX32" i="4"/>
  <c r="AZ32" i="4" s="1"/>
  <c r="AW32" i="4"/>
  <c r="BK32" i="4" s="1"/>
  <c r="AR32" i="4"/>
  <c r="AN32" i="4"/>
  <c r="AK32" i="4"/>
  <c r="BH32" i="4" s="1"/>
  <c r="K32" i="4"/>
  <c r="J32" i="4"/>
  <c r="I32" i="4"/>
  <c r="H32" i="4"/>
  <c r="G32" i="4"/>
  <c r="AX31" i="4"/>
  <c r="AW31" i="4"/>
  <c r="BI31" i="4" s="1"/>
  <c r="AR31" i="4"/>
  <c r="BG31" i="4" s="1"/>
  <c r="AN31" i="4"/>
  <c r="AK31" i="4"/>
  <c r="BK31" i="4" s="1"/>
  <c r="K31" i="4"/>
  <c r="J31" i="4"/>
  <c r="I31" i="4"/>
  <c r="H31" i="4"/>
  <c r="G31" i="4"/>
  <c r="BG30" i="4"/>
  <c r="BA30" i="4"/>
  <c r="BB30" i="4" s="1"/>
  <c r="AY30" i="4"/>
  <c r="AX30" i="4"/>
  <c r="AZ30" i="4" s="1"/>
  <c r="AW30" i="4"/>
  <c r="BK30" i="4" s="1"/>
  <c r="AR30" i="4"/>
  <c r="AN30" i="4"/>
  <c r="AK30" i="4"/>
  <c r="BH30" i="4" s="1"/>
  <c r="K30" i="4"/>
  <c r="J30" i="4"/>
  <c r="I30" i="4"/>
  <c r="H30" i="4"/>
  <c r="G30" i="4"/>
  <c r="AX29" i="4"/>
  <c r="AW29" i="4"/>
  <c r="BI29" i="4" s="1"/>
  <c r="AR29" i="4"/>
  <c r="BG29" i="4" s="1"/>
  <c r="AN29" i="4"/>
  <c r="AK29" i="4"/>
  <c r="BK29" i="4" s="1"/>
  <c r="K29" i="4"/>
  <c r="J29" i="4"/>
  <c r="I29" i="4"/>
  <c r="H29" i="4"/>
  <c r="G29" i="4"/>
  <c r="BG28" i="4"/>
  <c r="BA28" i="4"/>
  <c r="BB28" i="4" s="1"/>
  <c r="AY28" i="4"/>
  <c r="AX28" i="4"/>
  <c r="AZ28" i="4" s="1"/>
  <c r="AW28" i="4"/>
  <c r="BK28" i="4" s="1"/>
  <c r="AR28" i="4"/>
  <c r="AN28" i="4"/>
  <c r="AK28" i="4"/>
  <c r="BH28" i="4" s="1"/>
  <c r="K28" i="4"/>
  <c r="J28" i="4"/>
  <c r="I28" i="4"/>
  <c r="H28" i="4"/>
  <c r="G28" i="4"/>
  <c r="AX27" i="4"/>
  <c r="AW27" i="4"/>
  <c r="BI27" i="4" s="1"/>
  <c r="AR27" i="4"/>
  <c r="BG27" i="4" s="1"/>
  <c r="AN27" i="4"/>
  <c r="AK27" i="4"/>
  <c r="BK27" i="4" s="1"/>
  <c r="K27" i="4"/>
  <c r="J27" i="4"/>
  <c r="I27" i="4"/>
  <c r="H27" i="4"/>
  <c r="G27" i="4"/>
  <c r="BG26" i="4"/>
  <c r="BA26" i="4"/>
  <c r="BB26" i="4" s="1"/>
  <c r="AY26" i="4"/>
  <c r="AX26" i="4"/>
  <c r="AZ26" i="4" s="1"/>
  <c r="AW26" i="4"/>
  <c r="BK26" i="4" s="1"/>
  <c r="AR26" i="4"/>
  <c r="AN26" i="4"/>
  <c r="AK26" i="4"/>
  <c r="BH26" i="4" s="1"/>
  <c r="K26" i="4"/>
  <c r="J26" i="4"/>
  <c r="I26" i="4"/>
  <c r="H26" i="4"/>
  <c r="G26" i="4"/>
  <c r="AX25" i="4"/>
  <c r="AW25" i="4"/>
  <c r="BI25" i="4" s="1"/>
  <c r="AR25" i="4"/>
  <c r="BG25" i="4" s="1"/>
  <c r="AN25" i="4"/>
  <c r="AK25" i="4"/>
  <c r="BK25" i="4" s="1"/>
  <c r="K25" i="4"/>
  <c r="J25" i="4"/>
  <c r="I25" i="4"/>
  <c r="H25" i="4"/>
  <c r="G25" i="4"/>
  <c r="BG24" i="4"/>
  <c r="BA24" i="4"/>
  <c r="BB24" i="4" s="1"/>
  <c r="AY24" i="4"/>
  <c r="AX24" i="4"/>
  <c r="AZ24" i="4" s="1"/>
  <c r="AW24" i="4"/>
  <c r="BK24" i="4" s="1"/>
  <c r="AR24" i="4"/>
  <c r="AN24" i="4"/>
  <c r="AK24" i="4"/>
  <c r="BH24" i="4" s="1"/>
  <c r="K24" i="4"/>
  <c r="J24" i="4"/>
  <c r="I24" i="4"/>
  <c r="H24" i="4"/>
  <c r="G24" i="4"/>
  <c r="AX23" i="4"/>
  <c r="AW23" i="4"/>
  <c r="BI23" i="4" s="1"/>
  <c r="AR23" i="4"/>
  <c r="BG23" i="4" s="1"/>
  <c r="AN23" i="4"/>
  <c r="AK23" i="4"/>
  <c r="BK23" i="4" s="1"/>
  <c r="K23" i="4"/>
  <c r="J23" i="4"/>
  <c r="I23" i="4"/>
  <c r="H23" i="4"/>
  <c r="G23" i="4"/>
  <c r="BG22" i="4"/>
  <c r="BA22" i="4"/>
  <c r="BB22" i="4" s="1"/>
  <c r="AY22" i="4"/>
  <c r="AX22" i="4"/>
  <c r="AZ22" i="4" s="1"/>
  <c r="AW22" i="4"/>
  <c r="BI22" i="4" s="1"/>
  <c r="AR22" i="4"/>
  <c r="AN22" i="4"/>
  <c r="AK22" i="4"/>
  <c r="BH22" i="4" s="1"/>
  <c r="K22" i="4"/>
  <c r="J22" i="4"/>
  <c r="I22" i="4"/>
  <c r="H22" i="4"/>
  <c r="G22" i="4"/>
  <c r="AX21" i="4"/>
  <c r="AW21" i="4"/>
  <c r="BI21" i="4" s="1"/>
  <c r="AR21" i="4"/>
  <c r="BG21" i="4" s="1"/>
  <c r="AN21" i="4"/>
  <c r="AK21" i="4"/>
  <c r="BK21" i="4" s="1"/>
  <c r="K21" i="4"/>
  <c r="J21" i="4"/>
  <c r="I21" i="4"/>
  <c r="H21" i="4"/>
  <c r="G21" i="4"/>
  <c r="BG20" i="4"/>
  <c r="BA20" i="4"/>
  <c r="BB20" i="4" s="1"/>
  <c r="AY20" i="4"/>
  <c r="AX20" i="4"/>
  <c r="AZ20" i="4" s="1"/>
  <c r="AW20" i="4"/>
  <c r="BK20" i="4" s="1"/>
  <c r="AR20" i="4"/>
  <c r="AN20" i="4"/>
  <c r="AK20" i="4"/>
  <c r="BH20" i="4" s="1"/>
  <c r="K20" i="4"/>
  <c r="J20" i="4"/>
  <c r="I20" i="4"/>
  <c r="H20" i="4"/>
  <c r="G20" i="4"/>
  <c r="AX19" i="4"/>
  <c r="AW19" i="4"/>
  <c r="BI19" i="4" s="1"/>
  <c r="AR19" i="4"/>
  <c r="BG19" i="4" s="1"/>
  <c r="AN19" i="4"/>
  <c r="AK19" i="4"/>
  <c r="BK19" i="4" s="1"/>
  <c r="K19" i="4"/>
  <c r="J19" i="4"/>
  <c r="I19" i="4"/>
  <c r="H19" i="4"/>
  <c r="G19" i="4"/>
  <c r="BG18" i="4"/>
  <c r="BA18" i="4"/>
  <c r="BB18" i="4" s="1"/>
  <c r="AY18" i="4"/>
  <c r="AX18" i="4"/>
  <c r="AZ18" i="4" s="1"/>
  <c r="AW18" i="4"/>
  <c r="BK18" i="4" s="1"/>
  <c r="AR18" i="4"/>
  <c r="AN18" i="4"/>
  <c r="AK18" i="4"/>
  <c r="BH18" i="4" s="1"/>
  <c r="K18" i="4"/>
  <c r="J18" i="4"/>
  <c r="I18" i="4"/>
  <c r="H18" i="4"/>
  <c r="G18" i="4"/>
  <c r="AX17" i="4"/>
  <c r="AW17" i="4"/>
  <c r="BI17" i="4" s="1"/>
  <c r="AR17" i="4"/>
  <c r="BG17" i="4" s="1"/>
  <c r="AN17" i="4"/>
  <c r="AK17" i="4"/>
  <c r="BK17" i="4" s="1"/>
  <c r="K17" i="4"/>
  <c r="J17" i="4"/>
  <c r="I17" i="4"/>
  <c r="H17" i="4"/>
  <c r="G17" i="4"/>
  <c r="BG16" i="4"/>
  <c r="BA16" i="4"/>
  <c r="BB16" i="4" s="1"/>
  <c r="AY16" i="4"/>
  <c r="AX16" i="4"/>
  <c r="AZ16" i="4" s="1"/>
  <c r="AW16" i="4"/>
  <c r="BI16" i="4" s="1"/>
  <c r="AR16" i="4"/>
  <c r="AN16" i="4"/>
  <c r="AK16" i="4"/>
  <c r="BH16" i="4" s="1"/>
  <c r="K16" i="4"/>
  <c r="J16" i="4"/>
  <c r="I16" i="4"/>
  <c r="H16" i="4"/>
  <c r="G16" i="4"/>
  <c r="AX15" i="4"/>
  <c r="AW15" i="4"/>
  <c r="BI15" i="4" s="1"/>
  <c r="AR15" i="4"/>
  <c r="BG15" i="4" s="1"/>
  <c r="AN15" i="4"/>
  <c r="AK15" i="4"/>
  <c r="BK15" i="4" s="1"/>
  <c r="K15" i="4"/>
  <c r="J15" i="4"/>
  <c r="I15" i="4"/>
  <c r="H15" i="4"/>
  <c r="G15" i="4"/>
  <c r="BG14" i="4"/>
  <c r="BA14" i="4"/>
  <c r="BB14" i="4" s="1"/>
  <c r="AY14" i="4"/>
  <c r="AX14" i="4"/>
  <c r="AZ14" i="4" s="1"/>
  <c r="AW14" i="4"/>
  <c r="BK14" i="4" s="1"/>
  <c r="AR14" i="4"/>
  <c r="AN14" i="4"/>
  <c r="AK14" i="4"/>
  <c r="BH14" i="4" s="1"/>
  <c r="K14" i="4"/>
  <c r="J14" i="4"/>
  <c r="I14" i="4"/>
  <c r="H14" i="4"/>
  <c r="G14" i="4"/>
  <c r="AX13" i="4"/>
  <c r="AW13" i="4"/>
  <c r="BI13" i="4" s="1"/>
  <c r="AR13" i="4"/>
  <c r="BG13" i="4" s="1"/>
  <c r="AN13" i="4"/>
  <c r="AK13" i="4"/>
  <c r="BK13" i="4" s="1"/>
  <c r="K13" i="4"/>
  <c r="J13" i="4"/>
  <c r="I13" i="4"/>
  <c r="H13" i="4"/>
  <c r="G13" i="4"/>
  <c r="BG12" i="4"/>
  <c r="BA12" i="4"/>
  <c r="BB12" i="4" s="1"/>
  <c r="AY12" i="4"/>
  <c r="AX12" i="4"/>
  <c r="AZ12" i="4" s="1"/>
  <c r="AW12" i="4"/>
  <c r="BI12" i="4" s="1"/>
  <c r="AR12" i="4"/>
  <c r="AN12" i="4"/>
  <c r="AK12" i="4"/>
  <c r="BH12" i="4" s="1"/>
  <c r="K12" i="4"/>
  <c r="J12" i="4"/>
  <c r="I12" i="4"/>
  <c r="H12" i="4"/>
  <c r="G12" i="4"/>
  <c r="AX11" i="4"/>
  <c r="AW11" i="4"/>
  <c r="BI11" i="4" s="1"/>
  <c r="AR11" i="4"/>
  <c r="BG11" i="4" s="1"/>
  <c r="AN11" i="4"/>
  <c r="AK11" i="4"/>
  <c r="BK11" i="4" s="1"/>
  <c r="K11" i="4"/>
  <c r="J11" i="4"/>
  <c r="I11" i="4"/>
  <c r="H11" i="4"/>
  <c r="G11" i="4"/>
  <c r="BG10" i="4"/>
  <c r="BA10" i="4"/>
  <c r="BB10" i="4" s="1"/>
  <c r="AY10" i="4"/>
  <c r="AX10" i="4"/>
  <c r="AZ10" i="4" s="1"/>
  <c r="AW10" i="4"/>
  <c r="BI10" i="4" s="1"/>
  <c r="AR10" i="4"/>
  <c r="AN10" i="4"/>
  <c r="AK10" i="4"/>
  <c r="BH10" i="4" s="1"/>
  <c r="K10" i="4"/>
  <c r="J10" i="4"/>
  <c r="I10" i="4"/>
  <c r="H10" i="4"/>
  <c r="G10" i="4"/>
  <c r="AX9" i="4"/>
  <c r="AW9" i="4"/>
  <c r="BI9" i="4" s="1"/>
  <c r="AR9" i="4"/>
  <c r="BG9" i="4" s="1"/>
  <c r="AN9" i="4"/>
  <c r="AK9" i="4"/>
  <c r="BK9" i="4" s="1"/>
  <c r="K9" i="4"/>
  <c r="J9" i="4"/>
  <c r="I9" i="4"/>
  <c r="H9" i="4"/>
  <c r="G9" i="4"/>
  <c r="BG8" i="4"/>
  <c r="BA8" i="4"/>
  <c r="BB8" i="4" s="1"/>
  <c r="AY8" i="4"/>
  <c r="AX8" i="4"/>
  <c r="AZ8" i="4" s="1"/>
  <c r="AW8" i="4"/>
  <c r="BI8" i="4" s="1"/>
  <c r="AR8" i="4"/>
  <c r="AN8" i="4"/>
  <c r="AK8" i="4"/>
  <c r="BH8" i="4" s="1"/>
  <c r="K8" i="4"/>
  <c r="J8" i="4"/>
  <c r="I8" i="4"/>
  <c r="H8" i="4"/>
  <c r="G8" i="4"/>
  <c r="AX7" i="4"/>
  <c r="AW7" i="4"/>
  <c r="BI7" i="4" s="1"/>
  <c r="AR7" i="4"/>
  <c r="BG7" i="4" s="1"/>
  <c r="AN7" i="4"/>
  <c r="AK7" i="4"/>
  <c r="BK7" i="4" s="1"/>
  <c r="K7" i="4"/>
  <c r="J7" i="4"/>
  <c r="I7" i="4"/>
  <c r="H7" i="4"/>
  <c r="G7" i="4"/>
  <c r="BG6" i="4"/>
  <c r="BA6" i="4"/>
  <c r="BB6" i="4" s="1"/>
  <c r="AY6" i="4"/>
  <c r="AX6" i="4"/>
  <c r="AZ6" i="4" s="1"/>
  <c r="AW6" i="4"/>
  <c r="BI6" i="4" s="1"/>
  <c r="AR6" i="4"/>
  <c r="AN6" i="4"/>
  <c r="AK6" i="4"/>
  <c r="BH6" i="4" s="1"/>
  <c r="K6" i="4"/>
  <c r="J6" i="4"/>
  <c r="I6" i="4"/>
  <c r="H6" i="4"/>
  <c r="G6" i="4"/>
  <c r="AX5" i="4"/>
  <c r="AW5" i="4"/>
  <c r="BI5" i="4" s="1"/>
  <c r="AR5" i="4"/>
  <c r="BG5" i="4" s="1"/>
  <c r="AN5" i="4"/>
  <c r="AK5" i="4"/>
  <c r="BK5" i="4" s="1"/>
  <c r="K5" i="4"/>
  <c r="J5" i="4"/>
  <c r="I5" i="4"/>
  <c r="H5" i="4"/>
  <c r="G5" i="4"/>
  <c r="BI1005" i="26"/>
  <c r="BE1005" i="26"/>
  <c r="AY1005" i="26"/>
  <c r="AX1005" i="26"/>
  <c r="BJ1005" i="26" s="1"/>
  <c r="AS1005" i="26"/>
  <c r="AO1005" i="26"/>
  <c r="AL1005" i="26"/>
  <c r="L1005" i="26"/>
  <c r="K1005" i="26"/>
  <c r="J1005" i="26"/>
  <c r="I1005" i="26"/>
  <c r="H1005" i="26"/>
  <c r="BJ1004" i="26"/>
  <c r="BH1004" i="26"/>
  <c r="BB1004" i="26"/>
  <c r="AZ1004" i="26"/>
  <c r="AY1004" i="26"/>
  <c r="BA1004" i="26" s="1"/>
  <c r="AX1004" i="26"/>
  <c r="BL1004" i="26" s="1"/>
  <c r="AS1004" i="26"/>
  <c r="AO1004" i="26"/>
  <c r="AL1004" i="26"/>
  <c r="BI1004" i="26" s="1"/>
  <c r="L1004" i="26"/>
  <c r="K1004" i="26"/>
  <c r="J1004" i="26"/>
  <c r="I1004" i="26"/>
  <c r="H1004" i="26"/>
  <c r="AY1003" i="26"/>
  <c r="AX1003" i="26"/>
  <c r="BJ1003" i="26" s="1"/>
  <c r="AS1003" i="26"/>
  <c r="AO1003" i="26"/>
  <c r="AL1003" i="26"/>
  <c r="L1003" i="26"/>
  <c r="K1003" i="26"/>
  <c r="J1003" i="26"/>
  <c r="I1003" i="26"/>
  <c r="H1003" i="26"/>
  <c r="BH1002" i="26"/>
  <c r="BD1002" i="26"/>
  <c r="BB1002" i="26"/>
  <c r="BC1002" i="26" s="1"/>
  <c r="AZ1002" i="26"/>
  <c r="AY1002" i="26"/>
  <c r="AX1002" i="26"/>
  <c r="BJ1002" i="26" s="1"/>
  <c r="AS1002" i="26"/>
  <c r="AO1002" i="26"/>
  <c r="AL1002" i="26"/>
  <c r="BI1002" i="26" s="1"/>
  <c r="L1002" i="26"/>
  <c r="K1002" i="26"/>
  <c r="J1002" i="26"/>
  <c r="I1002" i="26"/>
  <c r="H1002" i="26"/>
  <c r="BI1001" i="26"/>
  <c r="BE1001" i="26"/>
  <c r="AY1001" i="26"/>
  <c r="AX1001" i="26"/>
  <c r="BJ1001" i="26" s="1"/>
  <c r="AS1001" i="26"/>
  <c r="AO1001" i="26"/>
  <c r="AL1001" i="26"/>
  <c r="L1001" i="26"/>
  <c r="K1001" i="26"/>
  <c r="J1001" i="26"/>
  <c r="I1001" i="26"/>
  <c r="H1001" i="26"/>
  <c r="BJ1000" i="26"/>
  <c r="BH1000" i="26"/>
  <c r="BB1000" i="26"/>
  <c r="AZ1000" i="26"/>
  <c r="AY1000" i="26"/>
  <c r="BA1000" i="26" s="1"/>
  <c r="AX1000" i="26"/>
  <c r="BL1000" i="26" s="1"/>
  <c r="AS1000" i="26"/>
  <c r="AO1000" i="26"/>
  <c r="AL1000" i="26"/>
  <c r="BI1000" i="26" s="1"/>
  <c r="L1000" i="26"/>
  <c r="K1000" i="26"/>
  <c r="J1000" i="26"/>
  <c r="I1000" i="26"/>
  <c r="H1000" i="26"/>
  <c r="AY999" i="26"/>
  <c r="AX999" i="26"/>
  <c r="BJ999" i="26" s="1"/>
  <c r="AS999" i="26"/>
  <c r="AO999" i="26"/>
  <c r="AL999" i="26"/>
  <c r="L999" i="26"/>
  <c r="K999" i="26"/>
  <c r="J999" i="26"/>
  <c r="I999" i="26"/>
  <c r="H999" i="26"/>
  <c r="BH998" i="26"/>
  <c r="BD998" i="26"/>
  <c r="BB998" i="26"/>
  <c r="BC998" i="26" s="1"/>
  <c r="AZ998" i="26"/>
  <c r="AY998" i="26"/>
  <c r="AX998" i="26"/>
  <c r="BJ998" i="26" s="1"/>
  <c r="AS998" i="26"/>
  <c r="AO998" i="26"/>
  <c r="AL998" i="26"/>
  <c r="BI998" i="26" s="1"/>
  <c r="L998" i="26"/>
  <c r="K998" i="26"/>
  <c r="J998" i="26"/>
  <c r="I998" i="26"/>
  <c r="H998" i="26"/>
  <c r="BI997" i="26"/>
  <c r="BE997" i="26"/>
  <c r="AY997" i="26"/>
  <c r="AX997" i="26"/>
  <c r="BJ997" i="26" s="1"/>
  <c r="AS997" i="26"/>
  <c r="AO997" i="26"/>
  <c r="AL997" i="26"/>
  <c r="L997" i="26"/>
  <c r="K997" i="26"/>
  <c r="J997" i="26"/>
  <c r="I997" i="26"/>
  <c r="H997" i="26"/>
  <c r="BJ996" i="26"/>
  <c r="BH996" i="26"/>
  <c r="BB996" i="26"/>
  <c r="AZ996" i="26"/>
  <c r="AY996" i="26"/>
  <c r="BA996" i="26" s="1"/>
  <c r="AX996" i="26"/>
  <c r="BL996" i="26" s="1"/>
  <c r="AS996" i="26"/>
  <c r="AO996" i="26"/>
  <c r="AL996" i="26"/>
  <c r="BI996" i="26" s="1"/>
  <c r="L996" i="26"/>
  <c r="K996" i="26"/>
  <c r="J996" i="26"/>
  <c r="I996" i="26"/>
  <c r="H996" i="26"/>
  <c r="AY995" i="26"/>
  <c r="AX995" i="26"/>
  <c r="BJ995" i="26" s="1"/>
  <c r="AS995" i="26"/>
  <c r="AO995" i="26"/>
  <c r="AL995" i="26"/>
  <c r="L995" i="26"/>
  <c r="K995" i="26"/>
  <c r="J995" i="26"/>
  <c r="I995" i="26"/>
  <c r="H995" i="26"/>
  <c r="BH994" i="26"/>
  <c r="BD994" i="26"/>
  <c r="BB994" i="26"/>
  <c r="BC994" i="26" s="1"/>
  <c r="AZ994" i="26"/>
  <c r="AY994" i="26"/>
  <c r="AX994" i="26"/>
  <c r="BJ994" i="26" s="1"/>
  <c r="AS994" i="26"/>
  <c r="AO994" i="26"/>
  <c r="AL994" i="26"/>
  <c r="BI994" i="26" s="1"/>
  <c r="L994" i="26"/>
  <c r="K994" i="26"/>
  <c r="J994" i="26"/>
  <c r="I994" i="26"/>
  <c r="H994" i="26"/>
  <c r="BI993" i="26"/>
  <c r="BE993" i="26"/>
  <c r="AY993" i="26"/>
  <c r="AX993" i="26"/>
  <c r="BJ993" i="26" s="1"/>
  <c r="AS993" i="26"/>
  <c r="AO993" i="26"/>
  <c r="AL993" i="26"/>
  <c r="L993" i="26"/>
  <c r="K993" i="26"/>
  <c r="J993" i="26"/>
  <c r="I993" i="26"/>
  <c r="H993" i="26"/>
  <c r="AY992" i="26"/>
  <c r="AX992" i="26"/>
  <c r="BJ992" i="26" s="1"/>
  <c r="AS992" i="26"/>
  <c r="AO992" i="26"/>
  <c r="AL992" i="26"/>
  <c r="L992" i="26"/>
  <c r="K992" i="26"/>
  <c r="J992" i="26"/>
  <c r="I992" i="26"/>
  <c r="H992" i="26"/>
  <c r="BH991" i="26"/>
  <c r="BK991" i="26" s="1"/>
  <c r="BD991" i="26"/>
  <c r="BB991" i="26"/>
  <c r="BC991" i="26" s="1"/>
  <c r="AZ991" i="26"/>
  <c r="AY991" i="26"/>
  <c r="AX991" i="26"/>
  <c r="BJ991" i="26" s="1"/>
  <c r="AS991" i="26"/>
  <c r="AO991" i="26"/>
  <c r="AL991" i="26"/>
  <c r="BI991" i="26" s="1"/>
  <c r="L991" i="26"/>
  <c r="K991" i="26"/>
  <c r="J991" i="26"/>
  <c r="I991" i="26"/>
  <c r="H991" i="26"/>
  <c r="BI990" i="26"/>
  <c r="BE990" i="26"/>
  <c r="AY990" i="26"/>
  <c r="AX990" i="26"/>
  <c r="BJ990" i="26" s="1"/>
  <c r="AS990" i="26"/>
  <c r="AO990" i="26"/>
  <c r="AL990" i="26"/>
  <c r="L990" i="26"/>
  <c r="K990" i="26"/>
  <c r="J990" i="26"/>
  <c r="I990" i="26"/>
  <c r="H990" i="26"/>
  <c r="BJ989" i="26"/>
  <c r="BH989" i="26"/>
  <c r="BB989" i="26"/>
  <c r="AZ989" i="26"/>
  <c r="AY989" i="26"/>
  <c r="BA989" i="26" s="1"/>
  <c r="AX989" i="26"/>
  <c r="BL989" i="26" s="1"/>
  <c r="AS989" i="26"/>
  <c r="AO989" i="26"/>
  <c r="AL989" i="26"/>
  <c r="BI989" i="26" s="1"/>
  <c r="L989" i="26"/>
  <c r="K989" i="26"/>
  <c r="J989" i="26"/>
  <c r="I989" i="26"/>
  <c r="H989" i="26"/>
  <c r="AY988" i="26"/>
  <c r="AX988" i="26"/>
  <c r="BJ988" i="26" s="1"/>
  <c r="AS988" i="26"/>
  <c r="AO988" i="26"/>
  <c r="AL988" i="26"/>
  <c r="L988" i="26"/>
  <c r="K988" i="26"/>
  <c r="J988" i="26"/>
  <c r="I988" i="26"/>
  <c r="H988" i="26"/>
  <c r="BH987" i="26"/>
  <c r="BK987" i="26" s="1"/>
  <c r="BD987" i="26"/>
  <c r="BB987" i="26"/>
  <c r="BC987" i="26" s="1"/>
  <c r="AZ987" i="26"/>
  <c r="AY987" i="26"/>
  <c r="AX987" i="26"/>
  <c r="BJ987" i="26" s="1"/>
  <c r="AS987" i="26"/>
  <c r="AO987" i="26"/>
  <c r="AL987" i="26"/>
  <c r="BI987" i="26" s="1"/>
  <c r="L987" i="26"/>
  <c r="K987" i="26"/>
  <c r="J987" i="26"/>
  <c r="I987" i="26"/>
  <c r="H987" i="26"/>
  <c r="BI986" i="26"/>
  <c r="BE986" i="26"/>
  <c r="AY986" i="26"/>
  <c r="AX986" i="26"/>
  <c r="BJ986" i="26" s="1"/>
  <c r="AS986" i="26"/>
  <c r="AO986" i="26"/>
  <c r="AL986" i="26"/>
  <c r="L986" i="26"/>
  <c r="K986" i="26"/>
  <c r="J986" i="26"/>
  <c r="I986" i="26"/>
  <c r="H986" i="26"/>
  <c r="BJ985" i="26"/>
  <c r="BH985" i="26"/>
  <c r="BB985" i="26"/>
  <c r="AZ985" i="26"/>
  <c r="AY985" i="26"/>
  <c r="BA985" i="26" s="1"/>
  <c r="AX985" i="26"/>
  <c r="BL985" i="26" s="1"/>
  <c r="AS985" i="26"/>
  <c r="AO985" i="26"/>
  <c r="AL985" i="26"/>
  <c r="BI985" i="26" s="1"/>
  <c r="L985" i="26"/>
  <c r="K985" i="26"/>
  <c r="J985" i="26"/>
  <c r="I985" i="26"/>
  <c r="H985" i="26"/>
  <c r="AY984" i="26"/>
  <c r="AX984" i="26"/>
  <c r="BJ984" i="26" s="1"/>
  <c r="AS984" i="26"/>
  <c r="AO984" i="26"/>
  <c r="AL984" i="26"/>
  <c r="L984" i="26"/>
  <c r="K984" i="26"/>
  <c r="J984" i="26"/>
  <c r="I984" i="26"/>
  <c r="H984" i="26"/>
  <c r="BH983" i="26"/>
  <c r="BK983" i="26" s="1"/>
  <c r="BD983" i="26"/>
  <c r="BB983" i="26"/>
  <c r="BC983" i="26" s="1"/>
  <c r="AZ983" i="26"/>
  <c r="AY983" i="26"/>
  <c r="AX983" i="26"/>
  <c r="BJ983" i="26" s="1"/>
  <c r="AS983" i="26"/>
  <c r="AO983" i="26"/>
  <c r="AL983" i="26"/>
  <c r="BI983" i="26" s="1"/>
  <c r="L983" i="26"/>
  <c r="K983" i="26"/>
  <c r="J983" i="26"/>
  <c r="I983" i="26"/>
  <c r="H983" i="26"/>
  <c r="BI982" i="26"/>
  <c r="BE982" i="26"/>
  <c r="AY982" i="26"/>
  <c r="AX982" i="26"/>
  <c r="BJ982" i="26" s="1"/>
  <c r="AS982" i="26"/>
  <c r="AO982" i="26"/>
  <c r="AL982" i="26"/>
  <c r="L982" i="26"/>
  <c r="K982" i="26"/>
  <c r="J982" i="26"/>
  <c r="I982" i="26"/>
  <c r="H982" i="26"/>
  <c r="BJ981" i="26"/>
  <c r="BH981" i="26"/>
  <c r="BB981" i="26"/>
  <c r="AZ981" i="26"/>
  <c r="AY981" i="26"/>
  <c r="BA981" i="26" s="1"/>
  <c r="AX981" i="26"/>
  <c r="BL981" i="26" s="1"/>
  <c r="AS981" i="26"/>
  <c r="AO981" i="26"/>
  <c r="AL981" i="26"/>
  <c r="BI981" i="26" s="1"/>
  <c r="L981" i="26"/>
  <c r="K981" i="26"/>
  <c r="J981" i="26"/>
  <c r="I981" i="26"/>
  <c r="H981" i="26"/>
  <c r="AY980" i="26"/>
  <c r="AX980" i="26"/>
  <c r="BJ980" i="26" s="1"/>
  <c r="AS980" i="26"/>
  <c r="AO980" i="26"/>
  <c r="AL980" i="26"/>
  <c r="L980" i="26"/>
  <c r="K980" i="26"/>
  <c r="J980" i="26"/>
  <c r="I980" i="26"/>
  <c r="H980" i="26"/>
  <c r="BH979" i="26"/>
  <c r="BK979" i="26" s="1"/>
  <c r="BD979" i="26"/>
  <c r="BB979" i="26"/>
  <c r="BC979" i="26" s="1"/>
  <c r="AZ979" i="26"/>
  <c r="AY979" i="26"/>
  <c r="AX979" i="26"/>
  <c r="BJ979" i="26" s="1"/>
  <c r="AS979" i="26"/>
  <c r="AO979" i="26"/>
  <c r="AL979" i="26"/>
  <c r="BI979" i="26" s="1"/>
  <c r="L979" i="26"/>
  <c r="K979" i="26"/>
  <c r="J979" i="26"/>
  <c r="I979" i="26"/>
  <c r="H979" i="26"/>
  <c r="BI978" i="26"/>
  <c r="BE978" i="26"/>
  <c r="AY978" i="26"/>
  <c r="AX978" i="26"/>
  <c r="BJ978" i="26" s="1"/>
  <c r="AS978" i="26"/>
  <c r="AO978" i="26"/>
  <c r="AL978" i="26"/>
  <c r="L978" i="26"/>
  <c r="K978" i="26"/>
  <c r="J978" i="26"/>
  <c r="I978" i="26"/>
  <c r="H978" i="26"/>
  <c r="BJ977" i="26"/>
  <c r="BH977" i="26"/>
  <c r="BB977" i="26"/>
  <c r="AZ977" i="26"/>
  <c r="AY977" i="26"/>
  <c r="BA977" i="26" s="1"/>
  <c r="AX977" i="26"/>
  <c r="BL977" i="26" s="1"/>
  <c r="AS977" i="26"/>
  <c r="AO977" i="26"/>
  <c r="AL977" i="26"/>
  <c r="BI977" i="26" s="1"/>
  <c r="L977" i="26"/>
  <c r="K977" i="26"/>
  <c r="J977" i="26"/>
  <c r="I977" i="26"/>
  <c r="H977" i="26"/>
  <c r="AY976" i="26"/>
  <c r="AX976" i="26"/>
  <c r="BJ976" i="26" s="1"/>
  <c r="AS976" i="26"/>
  <c r="AO976" i="26"/>
  <c r="AL976" i="26"/>
  <c r="L976" i="26"/>
  <c r="K976" i="26"/>
  <c r="J976" i="26"/>
  <c r="I976" i="26"/>
  <c r="H976" i="26"/>
  <c r="BH975" i="26"/>
  <c r="BK975" i="26" s="1"/>
  <c r="BD975" i="26"/>
  <c r="BB975" i="26"/>
  <c r="BC975" i="26" s="1"/>
  <c r="AZ975" i="26"/>
  <c r="AY975" i="26"/>
  <c r="AX975" i="26"/>
  <c r="BJ975" i="26" s="1"/>
  <c r="AS975" i="26"/>
  <c r="AO975" i="26"/>
  <c r="AL975" i="26"/>
  <c r="BI975" i="26" s="1"/>
  <c r="L975" i="26"/>
  <c r="K975" i="26"/>
  <c r="J975" i="26"/>
  <c r="I975" i="26"/>
  <c r="H975" i="26"/>
  <c r="BI974" i="26"/>
  <c r="BE974" i="26"/>
  <c r="AY974" i="26"/>
  <c r="AX974" i="26"/>
  <c r="BJ974" i="26" s="1"/>
  <c r="AS974" i="26"/>
  <c r="AO974" i="26"/>
  <c r="AL974" i="26"/>
  <c r="L974" i="26"/>
  <c r="K974" i="26"/>
  <c r="J974" i="26"/>
  <c r="I974" i="26"/>
  <c r="H974" i="26"/>
  <c r="BB973" i="26"/>
  <c r="AZ973" i="26"/>
  <c r="AY973" i="26"/>
  <c r="AX973" i="26"/>
  <c r="BJ973" i="26" s="1"/>
  <c r="AS973" i="26"/>
  <c r="BH973" i="26" s="1"/>
  <c r="AO973" i="26"/>
  <c r="AL973" i="26"/>
  <c r="L973" i="26"/>
  <c r="K973" i="26"/>
  <c r="J973" i="26"/>
  <c r="I973" i="26"/>
  <c r="H973" i="26"/>
  <c r="BI972" i="26"/>
  <c r="BE972" i="26"/>
  <c r="BF972" i="26" s="1"/>
  <c r="AY972" i="26"/>
  <c r="AX972" i="26"/>
  <c r="BJ972" i="26" s="1"/>
  <c r="AS972" i="26"/>
  <c r="AO972" i="26"/>
  <c r="AL972" i="26"/>
  <c r="L972" i="26"/>
  <c r="K972" i="26"/>
  <c r="J972" i="26"/>
  <c r="I972" i="26"/>
  <c r="H972" i="26"/>
  <c r="BJ971" i="26"/>
  <c r="BH971" i="26"/>
  <c r="BB971" i="26"/>
  <c r="BC971" i="26" s="1"/>
  <c r="AZ971" i="26"/>
  <c r="AY971" i="26"/>
  <c r="BA971" i="26" s="1"/>
  <c r="AX971" i="26"/>
  <c r="BL971" i="26" s="1"/>
  <c r="AS971" i="26"/>
  <c r="AO971" i="26"/>
  <c r="AL971" i="26"/>
  <c r="BI971" i="26" s="1"/>
  <c r="L971" i="26"/>
  <c r="K971" i="26"/>
  <c r="J971" i="26"/>
  <c r="I971" i="26"/>
  <c r="H971" i="26"/>
  <c r="AY970" i="26"/>
  <c r="AX970" i="26"/>
  <c r="BJ970" i="26" s="1"/>
  <c r="AS970" i="26"/>
  <c r="AO970" i="26"/>
  <c r="AL970" i="26"/>
  <c r="L970" i="26"/>
  <c r="K970" i="26"/>
  <c r="J970" i="26"/>
  <c r="I970" i="26"/>
  <c r="H970" i="26"/>
  <c r="BH969" i="26"/>
  <c r="BD969" i="26"/>
  <c r="BB969" i="26"/>
  <c r="BC969" i="26" s="1"/>
  <c r="AZ969" i="26"/>
  <c r="AY969" i="26"/>
  <c r="AX969" i="26"/>
  <c r="BJ969" i="26" s="1"/>
  <c r="AS969" i="26"/>
  <c r="AO969" i="26"/>
  <c r="AL969" i="26"/>
  <c r="BI969" i="26" s="1"/>
  <c r="L969" i="26"/>
  <c r="K969" i="26"/>
  <c r="J969" i="26"/>
  <c r="I969" i="26"/>
  <c r="H969" i="26"/>
  <c r="BI968" i="26"/>
  <c r="BE968" i="26"/>
  <c r="BF968" i="26" s="1"/>
  <c r="AY968" i="26"/>
  <c r="AX968" i="26"/>
  <c r="BJ968" i="26" s="1"/>
  <c r="AS968" i="26"/>
  <c r="AO968" i="26"/>
  <c r="AL968" i="26"/>
  <c r="L968" i="26"/>
  <c r="K968" i="26"/>
  <c r="J968" i="26"/>
  <c r="I968" i="26"/>
  <c r="H968" i="26"/>
  <c r="BJ967" i="26"/>
  <c r="BH967" i="26"/>
  <c r="BB967" i="26"/>
  <c r="BC967" i="26" s="1"/>
  <c r="AZ967" i="26"/>
  <c r="AY967" i="26"/>
  <c r="BA967" i="26" s="1"/>
  <c r="AX967" i="26"/>
  <c r="BL967" i="26" s="1"/>
  <c r="AS967" i="26"/>
  <c r="AO967" i="26"/>
  <c r="AL967" i="26"/>
  <c r="BI967" i="26" s="1"/>
  <c r="L967" i="26"/>
  <c r="K967" i="26"/>
  <c r="J967" i="26"/>
  <c r="I967" i="26"/>
  <c r="H967" i="26"/>
  <c r="AY966" i="26"/>
  <c r="AX966" i="26"/>
  <c r="BJ966" i="26" s="1"/>
  <c r="AS966" i="26"/>
  <c r="AO966" i="26"/>
  <c r="AL966" i="26"/>
  <c r="L966" i="26"/>
  <c r="K966" i="26"/>
  <c r="J966" i="26"/>
  <c r="I966" i="26"/>
  <c r="H966" i="26"/>
  <c r="BH965" i="26"/>
  <c r="BD965" i="26"/>
  <c r="BB965" i="26"/>
  <c r="BC965" i="26" s="1"/>
  <c r="AZ965" i="26"/>
  <c r="AY965" i="26"/>
  <c r="AX965" i="26"/>
  <c r="BJ965" i="26" s="1"/>
  <c r="AS965" i="26"/>
  <c r="AO965" i="26"/>
  <c r="AL965" i="26"/>
  <c r="BI965" i="26" s="1"/>
  <c r="L965" i="26"/>
  <c r="K965" i="26"/>
  <c r="J965" i="26"/>
  <c r="I965" i="26"/>
  <c r="H965" i="26"/>
  <c r="BI964" i="26"/>
  <c r="BE964" i="26"/>
  <c r="BF964" i="26" s="1"/>
  <c r="AY964" i="26"/>
  <c r="AX964" i="26"/>
  <c r="BJ964" i="26" s="1"/>
  <c r="AS964" i="26"/>
  <c r="AO964" i="26"/>
  <c r="AL964" i="26"/>
  <c r="L964" i="26"/>
  <c r="K964" i="26"/>
  <c r="J964" i="26"/>
  <c r="I964" i="26"/>
  <c r="H964" i="26"/>
  <c r="BJ963" i="26"/>
  <c r="BH963" i="26"/>
  <c r="BB963" i="26"/>
  <c r="BC963" i="26" s="1"/>
  <c r="AZ963" i="26"/>
  <c r="AY963" i="26"/>
  <c r="BA963" i="26" s="1"/>
  <c r="AX963" i="26"/>
  <c r="BL963" i="26" s="1"/>
  <c r="AS963" i="26"/>
  <c r="AO963" i="26"/>
  <c r="AL963" i="26"/>
  <c r="BI963" i="26" s="1"/>
  <c r="L963" i="26"/>
  <c r="K963" i="26"/>
  <c r="J963" i="26"/>
  <c r="I963" i="26"/>
  <c r="H963" i="26"/>
  <c r="AY962" i="26"/>
  <c r="AX962" i="26"/>
  <c r="BJ962" i="26" s="1"/>
  <c r="AS962" i="26"/>
  <c r="AO962" i="26"/>
  <c r="AL962" i="26"/>
  <c r="L962" i="26"/>
  <c r="K962" i="26"/>
  <c r="J962" i="26"/>
  <c r="I962" i="26"/>
  <c r="H962" i="26"/>
  <c r="BH961" i="26"/>
  <c r="BD961" i="26"/>
  <c r="BB961" i="26"/>
  <c r="BC961" i="26" s="1"/>
  <c r="AZ961" i="26"/>
  <c r="AY961" i="26"/>
  <c r="AX961" i="26"/>
  <c r="BJ961" i="26" s="1"/>
  <c r="AS961" i="26"/>
  <c r="AO961" i="26"/>
  <c r="AL961" i="26"/>
  <c r="BI961" i="26" s="1"/>
  <c r="L961" i="26"/>
  <c r="K961" i="26"/>
  <c r="J961" i="26"/>
  <c r="I961" i="26"/>
  <c r="H961" i="26"/>
  <c r="BI960" i="26"/>
  <c r="BE960" i="26"/>
  <c r="BF960" i="26" s="1"/>
  <c r="AY960" i="26"/>
  <c r="AX960" i="26"/>
  <c r="BJ960" i="26" s="1"/>
  <c r="AS960" i="26"/>
  <c r="AO960" i="26"/>
  <c r="AL960" i="26"/>
  <c r="L960" i="26"/>
  <c r="K960" i="26"/>
  <c r="J960" i="26"/>
  <c r="I960" i="26"/>
  <c r="H960" i="26"/>
  <c r="BJ959" i="26"/>
  <c r="BH959" i="26"/>
  <c r="BB959" i="26"/>
  <c r="BC959" i="26" s="1"/>
  <c r="AZ959" i="26"/>
  <c r="AY959" i="26"/>
  <c r="BA959" i="26" s="1"/>
  <c r="AX959" i="26"/>
  <c r="BL959" i="26" s="1"/>
  <c r="AS959" i="26"/>
  <c r="AO959" i="26"/>
  <c r="AL959" i="26"/>
  <c r="BI959" i="26" s="1"/>
  <c r="L959" i="26"/>
  <c r="K959" i="26"/>
  <c r="J959" i="26"/>
  <c r="I959" i="26"/>
  <c r="H959" i="26"/>
  <c r="AY958" i="26"/>
  <c r="AX958" i="26"/>
  <c r="BJ958" i="26" s="1"/>
  <c r="AS958" i="26"/>
  <c r="AO958" i="26"/>
  <c r="AL958" i="26"/>
  <c r="L958" i="26"/>
  <c r="K958" i="26"/>
  <c r="J958" i="26"/>
  <c r="I958" i="26"/>
  <c r="H958" i="26"/>
  <c r="BH957" i="26"/>
  <c r="BD957" i="26"/>
  <c r="BB957" i="26"/>
  <c r="BC957" i="26" s="1"/>
  <c r="AZ957" i="26"/>
  <c r="AY957" i="26"/>
  <c r="AX957" i="26"/>
  <c r="BJ957" i="26" s="1"/>
  <c r="AS957" i="26"/>
  <c r="AO957" i="26"/>
  <c r="AL957" i="26"/>
  <c r="BI957" i="26" s="1"/>
  <c r="L957" i="26"/>
  <c r="K957" i="26"/>
  <c r="J957" i="26"/>
  <c r="I957" i="26"/>
  <c r="H957" i="26"/>
  <c r="BI956" i="26"/>
  <c r="BE956" i="26"/>
  <c r="BF956" i="26" s="1"/>
  <c r="AY956" i="26"/>
  <c r="AX956" i="26"/>
  <c r="BJ956" i="26" s="1"/>
  <c r="AS956" i="26"/>
  <c r="AO956" i="26"/>
  <c r="AL956" i="26"/>
  <c r="L956" i="26"/>
  <c r="K956" i="26"/>
  <c r="J956" i="26"/>
  <c r="I956" i="26"/>
  <c r="H956" i="26"/>
  <c r="BJ955" i="26"/>
  <c r="BH955" i="26"/>
  <c r="BB955" i="26"/>
  <c r="BC955" i="26" s="1"/>
  <c r="AZ955" i="26"/>
  <c r="AY955" i="26"/>
  <c r="BA955" i="26" s="1"/>
  <c r="AX955" i="26"/>
  <c r="BL955" i="26" s="1"/>
  <c r="AS955" i="26"/>
  <c r="AO955" i="26"/>
  <c r="AL955" i="26"/>
  <c r="BI955" i="26" s="1"/>
  <c r="L955" i="26"/>
  <c r="K955" i="26"/>
  <c r="J955" i="26"/>
  <c r="I955" i="26"/>
  <c r="H955" i="26"/>
  <c r="AY954" i="26"/>
  <c r="AX954" i="26"/>
  <c r="BJ954" i="26" s="1"/>
  <c r="AS954" i="26"/>
  <c r="AO954" i="26"/>
  <c r="AL954" i="26"/>
  <c r="L954" i="26"/>
  <c r="K954" i="26"/>
  <c r="J954" i="26"/>
  <c r="I954" i="26"/>
  <c r="H954" i="26"/>
  <c r="BH953" i="26"/>
  <c r="BD953" i="26"/>
  <c r="BB953" i="26"/>
  <c r="BC953" i="26" s="1"/>
  <c r="AZ953" i="26"/>
  <c r="AY953" i="26"/>
  <c r="AX953" i="26"/>
  <c r="BJ953" i="26" s="1"/>
  <c r="AS953" i="26"/>
  <c r="AO953" i="26"/>
  <c r="AL953" i="26"/>
  <c r="BI953" i="26" s="1"/>
  <c r="L953" i="26"/>
  <c r="K953" i="26"/>
  <c r="J953" i="26"/>
  <c r="I953" i="26"/>
  <c r="H953" i="26"/>
  <c r="BI952" i="26"/>
  <c r="BE952" i="26"/>
  <c r="BF952" i="26" s="1"/>
  <c r="AY952" i="26"/>
  <c r="AX952" i="26"/>
  <c r="BJ952" i="26" s="1"/>
  <c r="AS952" i="26"/>
  <c r="AO952" i="26"/>
  <c r="AL952" i="26"/>
  <c r="L952" i="26"/>
  <c r="K952" i="26"/>
  <c r="J952" i="26"/>
  <c r="I952" i="26"/>
  <c r="H952" i="26"/>
  <c r="BJ951" i="26"/>
  <c r="BH951" i="26"/>
  <c r="BB951" i="26"/>
  <c r="BC951" i="26" s="1"/>
  <c r="AZ951" i="26"/>
  <c r="AY951" i="26"/>
  <c r="BA951" i="26" s="1"/>
  <c r="AX951" i="26"/>
  <c r="BL951" i="26" s="1"/>
  <c r="AS951" i="26"/>
  <c r="AO951" i="26"/>
  <c r="AL951" i="26"/>
  <c r="BI951" i="26" s="1"/>
  <c r="L951" i="26"/>
  <c r="K951" i="26"/>
  <c r="J951" i="26"/>
  <c r="I951" i="26"/>
  <c r="H951" i="26"/>
  <c r="AY950" i="26"/>
  <c r="AX950" i="26"/>
  <c r="BJ950" i="26" s="1"/>
  <c r="AS950" i="26"/>
  <c r="AO950" i="26"/>
  <c r="AL950" i="26"/>
  <c r="L950" i="26"/>
  <c r="K950" i="26"/>
  <c r="J950" i="26"/>
  <c r="I950" i="26"/>
  <c r="H950" i="26"/>
  <c r="BH949" i="26"/>
  <c r="BD949" i="26"/>
  <c r="BB949" i="26"/>
  <c r="BC949" i="26" s="1"/>
  <c r="AZ949" i="26"/>
  <c r="AY949" i="26"/>
  <c r="AX949" i="26"/>
  <c r="BJ949" i="26" s="1"/>
  <c r="AS949" i="26"/>
  <c r="AO949" i="26"/>
  <c r="AL949" i="26"/>
  <c r="BI949" i="26" s="1"/>
  <c r="L949" i="26"/>
  <c r="K949" i="26"/>
  <c r="J949" i="26"/>
  <c r="I949" i="26"/>
  <c r="H949" i="26"/>
  <c r="BI948" i="26"/>
  <c r="BE948" i="26"/>
  <c r="BF948" i="26" s="1"/>
  <c r="AY948" i="26"/>
  <c r="AX948" i="26"/>
  <c r="BJ948" i="26" s="1"/>
  <c r="AS948" i="26"/>
  <c r="AO948" i="26"/>
  <c r="AL948" i="26"/>
  <c r="L948" i="26"/>
  <c r="K948" i="26"/>
  <c r="J948" i="26"/>
  <c r="I948" i="26"/>
  <c r="H948" i="26"/>
  <c r="BJ947" i="26"/>
  <c r="BH947" i="26"/>
  <c r="BB947" i="26"/>
  <c r="BC947" i="26" s="1"/>
  <c r="AZ947" i="26"/>
  <c r="AY947" i="26"/>
  <c r="BA947" i="26" s="1"/>
  <c r="AX947" i="26"/>
  <c r="BL947" i="26" s="1"/>
  <c r="AS947" i="26"/>
  <c r="AO947" i="26"/>
  <c r="AL947" i="26"/>
  <c r="BI947" i="26" s="1"/>
  <c r="L947" i="26"/>
  <c r="K947" i="26"/>
  <c r="J947" i="26"/>
  <c r="I947" i="26"/>
  <c r="H947" i="26"/>
  <c r="AY946" i="26"/>
  <c r="AX946" i="26"/>
  <c r="BJ946" i="26" s="1"/>
  <c r="AS946" i="26"/>
  <c r="AO946" i="26"/>
  <c r="AL946" i="26"/>
  <c r="L946" i="26"/>
  <c r="K946" i="26"/>
  <c r="J946" i="26"/>
  <c r="I946" i="26"/>
  <c r="H946" i="26"/>
  <c r="BH945" i="26"/>
  <c r="BD945" i="26"/>
  <c r="BB945" i="26"/>
  <c r="BC945" i="26" s="1"/>
  <c r="AZ945" i="26"/>
  <c r="AY945" i="26"/>
  <c r="AX945" i="26"/>
  <c r="BJ945" i="26" s="1"/>
  <c r="AS945" i="26"/>
  <c r="AO945" i="26"/>
  <c r="AL945" i="26"/>
  <c r="BI945" i="26" s="1"/>
  <c r="L945" i="26"/>
  <c r="K945" i="26"/>
  <c r="J945" i="26"/>
  <c r="I945" i="26"/>
  <c r="H945" i="26"/>
  <c r="BI944" i="26"/>
  <c r="BE944" i="26"/>
  <c r="BF944" i="26" s="1"/>
  <c r="AY944" i="26"/>
  <c r="AX944" i="26"/>
  <c r="BJ944" i="26" s="1"/>
  <c r="AS944" i="26"/>
  <c r="AO944" i="26"/>
  <c r="AL944" i="26"/>
  <c r="L944" i="26"/>
  <c r="K944" i="26"/>
  <c r="J944" i="26"/>
  <c r="I944" i="26"/>
  <c r="H944" i="26"/>
  <c r="BJ943" i="26"/>
  <c r="BH943" i="26"/>
  <c r="BB943" i="26"/>
  <c r="BC943" i="26" s="1"/>
  <c r="AZ943" i="26"/>
  <c r="AY943" i="26"/>
  <c r="BA943" i="26" s="1"/>
  <c r="AX943" i="26"/>
  <c r="BL943" i="26" s="1"/>
  <c r="AS943" i="26"/>
  <c r="AO943" i="26"/>
  <c r="AL943" i="26"/>
  <c r="BI943" i="26" s="1"/>
  <c r="L943" i="26"/>
  <c r="K943" i="26"/>
  <c r="J943" i="26"/>
  <c r="I943" i="26"/>
  <c r="H943" i="26"/>
  <c r="AY942" i="26"/>
  <c r="AX942" i="26"/>
  <c r="BJ942" i="26" s="1"/>
  <c r="AS942" i="26"/>
  <c r="AO942" i="26"/>
  <c r="AL942" i="26"/>
  <c r="L942" i="26"/>
  <c r="K942" i="26"/>
  <c r="J942" i="26"/>
  <c r="I942" i="26"/>
  <c r="H942" i="26"/>
  <c r="BH941" i="26"/>
  <c r="BD941" i="26"/>
  <c r="BB941" i="26"/>
  <c r="BC941" i="26" s="1"/>
  <c r="AZ941" i="26"/>
  <c r="AY941" i="26"/>
  <c r="AX941" i="26"/>
  <c r="AS941" i="26"/>
  <c r="AO941" i="26"/>
  <c r="AL941" i="26"/>
  <c r="BI941" i="26" s="1"/>
  <c r="L941" i="26"/>
  <c r="K941" i="26"/>
  <c r="J941" i="26"/>
  <c r="I941" i="26"/>
  <c r="H941" i="26"/>
  <c r="BI940" i="26"/>
  <c r="BE940" i="26"/>
  <c r="AY940" i="26"/>
  <c r="AX940" i="26"/>
  <c r="BJ940" i="26" s="1"/>
  <c r="AS940" i="26"/>
  <c r="AO940" i="26"/>
  <c r="AL940" i="26"/>
  <c r="L940" i="26"/>
  <c r="K940" i="26"/>
  <c r="J940" i="26"/>
  <c r="I940" i="26"/>
  <c r="H940" i="26"/>
  <c r="BJ939" i="26"/>
  <c r="BH939" i="26"/>
  <c r="BB939" i="26"/>
  <c r="AZ939" i="26"/>
  <c r="AY939" i="26"/>
  <c r="BA939" i="26" s="1"/>
  <c r="AX939" i="26"/>
  <c r="BL939" i="26" s="1"/>
  <c r="AS939" i="26"/>
  <c r="AO939" i="26"/>
  <c r="AL939" i="26"/>
  <c r="BI939" i="26" s="1"/>
  <c r="L939" i="26"/>
  <c r="K939" i="26"/>
  <c r="J939" i="26"/>
  <c r="I939" i="26"/>
  <c r="H939" i="26"/>
  <c r="AY938" i="26"/>
  <c r="AX938" i="26"/>
  <c r="BJ938" i="26" s="1"/>
  <c r="AS938" i="26"/>
  <c r="AO938" i="26"/>
  <c r="AL938" i="26"/>
  <c r="L938" i="26"/>
  <c r="K938" i="26"/>
  <c r="J938" i="26"/>
  <c r="I938" i="26"/>
  <c r="H938" i="26"/>
  <c r="BH937" i="26"/>
  <c r="BK937" i="26" s="1"/>
  <c r="BD937" i="26"/>
  <c r="BB937" i="26"/>
  <c r="BC937" i="26" s="1"/>
  <c r="AZ937" i="26"/>
  <c r="AY937" i="26"/>
  <c r="AX937" i="26"/>
  <c r="BJ937" i="26" s="1"/>
  <c r="AS937" i="26"/>
  <c r="AO937" i="26"/>
  <c r="AL937" i="26"/>
  <c r="BI937" i="26" s="1"/>
  <c r="L937" i="26"/>
  <c r="K937" i="26"/>
  <c r="J937" i="26"/>
  <c r="I937" i="26"/>
  <c r="H937" i="26"/>
  <c r="BI936" i="26"/>
  <c r="BE936" i="26"/>
  <c r="AY936" i="26"/>
  <c r="AX936" i="26"/>
  <c r="BJ936" i="26" s="1"/>
  <c r="AS936" i="26"/>
  <c r="AO936" i="26"/>
  <c r="AL936" i="26"/>
  <c r="L936" i="26"/>
  <c r="K936" i="26"/>
  <c r="J936" i="26"/>
  <c r="I936" i="26"/>
  <c r="H936" i="26"/>
  <c r="BJ935" i="26"/>
  <c r="BH935" i="26"/>
  <c r="BB935" i="26"/>
  <c r="AZ935" i="26"/>
  <c r="AY935" i="26"/>
  <c r="BA935" i="26" s="1"/>
  <c r="AX935" i="26"/>
  <c r="BL935" i="26" s="1"/>
  <c r="AS935" i="26"/>
  <c r="AO935" i="26"/>
  <c r="AL935" i="26"/>
  <c r="BI935" i="26" s="1"/>
  <c r="L935" i="26"/>
  <c r="K935" i="26"/>
  <c r="J935" i="26"/>
  <c r="I935" i="26"/>
  <c r="H935" i="26"/>
  <c r="AY934" i="26"/>
  <c r="AX934" i="26"/>
  <c r="BJ934" i="26" s="1"/>
  <c r="AS934" i="26"/>
  <c r="AO934" i="26"/>
  <c r="AL934" i="26"/>
  <c r="L934" i="26"/>
  <c r="K934" i="26"/>
  <c r="J934" i="26"/>
  <c r="I934" i="26"/>
  <c r="H934" i="26"/>
  <c r="BH933" i="26"/>
  <c r="BD933" i="26"/>
  <c r="BB933" i="26"/>
  <c r="BC933" i="26" s="1"/>
  <c r="AZ933" i="26"/>
  <c r="AY933" i="26"/>
  <c r="AX933" i="26"/>
  <c r="BJ933" i="26" s="1"/>
  <c r="AS933" i="26"/>
  <c r="AO933" i="26"/>
  <c r="AL933" i="26"/>
  <c r="BI933" i="26" s="1"/>
  <c r="L933" i="26"/>
  <c r="K933" i="26"/>
  <c r="J933" i="26"/>
  <c r="I933" i="26"/>
  <c r="H933" i="26"/>
  <c r="AY932" i="26"/>
  <c r="AX932" i="26"/>
  <c r="BJ932" i="26" s="1"/>
  <c r="AS932" i="26"/>
  <c r="AO932" i="26"/>
  <c r="AL932" i="26"/>
  <c r="L932" i="26"/>
  <c r="K932" i="26"/>
  <c r="J932" i="26"/>
  <c r="I932" i="26"/>
  <c r="H932" i="26"/>
  <c r="BH931" i="26"/>
  <c r="BD931" i="26"/>
  <c r="BB931" i="26"/>
  <c r="BC931" i="26" s="1"/>
  <c r="AZ931" i="26"/>
  <c r="AY931" i="26"/>
  <c r="AX931" i="26"/>
  <c r="BJ931" i="26" s="1"/>
  <c r="AS931" i="26"/>
  <c r="AO931" i="26"/>
  <c r="AL931" i="26"/>
  <c r="BI931" i="26" s="1"/>
  <c r="L931" i="26"/>
  <c r="K931" i="26"/>
  <c r="J931" i="26"/>
  <c r="I931" i="26"/>
  <c r="H931" i="26"/>
  <c r="BI930" i="26"/>
  <c r="BE930" i="26"/>
  <c r="BF930" i="26" s="1"/>
  <c r="AY930" i="26"/>
  <c r="AX930" i="26"/>
  <c r="BJ930" i="26" s="1"/>
  <c r="AS930" i="26"/>
  <c r="AO930" i="26"/>
  <c r="AL930" i="26"/>
  <c r="L930" i="26"/>
  <c r="K930" i="26"/>
  <c r="J930" i="26"/>
  <c r="I930" i="26"/>
  <c r="H930" i="26"/>
  <c r="BJ929" i="26"/>
  <c r="BH929" i="26"/>
  <c r="BB929" i="26"/>
  <c r="BC929" i="26" s="1"/>
  <c r="AZ929" i="26"/>
  <c r="AY929" i="26"/>
  <c r="BA929" i="26" s="1"/>
  <c r="AX929" i="26"/>
  <c r="BL929" i="26" s="1"/>
  <c r="AS929" i="26"/>
  <c r="AO929" i="26"/>
  <c r="AL929" i="26"/>
  <c r="BI929" i="26" s="1"/>
  <c r="L929" i="26"/>
  <c r="K929" i="26"/>
  <c r="J929" i="26"/>
  <c r="I929" i="26"/>
  <c r="H929" i="26"/>
  <c r="AY928" i="26"/>
  <c r="AX928" i="26"/>
  <c r="BJ928" i="26" s="1"/>
  <c r="AS928" i="26"/>
  <c r="AO928" i="26"/>
  <c r="AL928" i="26"/>
  <c r="L928" i="26"/>
  <c r="K928" i="26"/>
  <c r="J928" i="26"/>
  <c r="I928" i="26"/>
  <c r="H928" i="26"/>
  <c r="BH927" i="26"/>
  <c r="BD927" i="26"/>
  <c r="BB927" i="26"/>
  <c r="BC927" i="26" s="1"/>
  <c r="AZ927" i="26"/>
  <c r="AY927" i="26"/>
  <c r="AX927" i="26"/>
  <c r="BJ927" i="26" s="1"/>
  <c r="AS927" i="26"/>
  <c r="AO927" i="26"/>
  <c r="AL927" i="26"/>
  <c r="BI927" i="26" s="1"/>
  <c r="L927" i="26"/>
  <c r="K927" i="26"/>
  <c r="J927" i="26"/>
  <c r="I927" i="26"/>
  <c r="H927" i="26"/>
  <c r="BI926" i="26"/>
  <c r="BE926" i="26"/>
  <c r="BF926" i="26" s="1"/>
  <c r="AY926" i="26"/>
  <c r="AX926" i="26"/>
  <c r="BJ926" i="26" s="1"/>
  <c r="AS926" i="26"/>
  <c r="AO926" i="26"/>
  <c r="AL926" i="26"/>
  <c r="L926" i="26"/>
  <c r="K926" i="26"/>
  <c r="J926" i="26"/>
  <c r="I926" i="26"/>
  <c r="H926" i="26"/>
  <c r="BJ925" i="26"/>
  <c r="BH925" i="26"/>
  <c r="BB925" i="26"/>
  <c r="BC925" i="26" s="1"/>
  <c r="AZ925" i="26"/>
  <c r="AY925" i="26"/>
  <c r="BA925" i="26" s="1"/>
  <c r="AX925" i="26"/>
  <c r="BL925" i="26" s="1"/>
  <c r="AS925" i="26"/>
  <c r="AO925" i="26"/>
  <c r="AL925" i="26"/>
  <c r="BI925" i="26" s="1"/>
  <c r="L925" i="26"/>
  <c r="K925" i="26"/>
  <c r="J925" i="26"/>
  <c r="I925" i="26"/>
  <c r="H925" i="26"/>
  <c r="AY924" i="26"/>
  <c r="AX924" i="26"/>
  <c r="BJ924" i="26" s="1"/>
  <c r="AS924" i="26"/>
  <c r="AO924" i="26"/>
  <c r="AL924" i="26"/>
  <c r="L924" i="26"/>
  <c r="K924" i="26"/>
  <c r="J924" i="26"/>
  <c r="I924" i="26"/>
  <c r="H924" i="26"/>
  <c r="BH923" i="26"/>
  <c r="BD923" i="26"/>
  <c r="BB923" i="26"/>
  <c r="BC923" i="26" s="1"/>
  <c r="AZ923" i="26"/>
  <c r="AY923" i="26"/>
  <c r="AX923" i="26"/>
  <c r="BJ923" i="26" s="1"/>
  <c r="AS923" i="26"/>
  <c r="AO923" i="26"/>
  <c r="AL923" i="26"/>
  <c r="BI923" i="26" s="1"/>
  <c r="L923" i="26"/>
  <c r="K923" i="26"/>
  <c r="J923" i="26"/>
  <c r="I923" i="26"/>
  <c r="H923" i="26"/>
  <c r="BI922" i="26"/>
  <c r="BE922" i="26"/>
  <c r="BF922" i="26" s="1"/>
  <c r="AY922" i="26"/>
  <c r="AX922" i="26"/>
  <c r="BJ922" i="26" s="1"/>
  <c r="AS922" i="26"/>
  <c r="AO922" i="26"/>
  <c r="AL922" i="26"/>
  <c r="L922" i="26"/>
  <c r="K922" i="26"/>
  <c r="J922" i="26"/>
  <c r="I922" i="26"/>
  <c r="H922" i="26"/>
  <c r="BJ921" i="26"/>
  <c r="BH921" i="26"/>
  <c r="BB921" i="26"/>
  <c r="BC921" i="26" s="1"/>
  <c r="AZ921" i="26"/>
  <c r="AY921" i="26"/>
  <c r="BA921" i="26" s="1"/>
  <c r="AX921" i="26"/>
  <c r="BL921" i="26" s="1"/>
  <c r="AS921" i="26"/>
  <c r="AO921" i="26"/>
  <c r="AL921" i="26"/>
  <c r="BI921" i="26" s="1"/>
  <c r="L921" i="26"/>
  <c r="K921" i="26"/>
  <c r="J921" i="26"/>
  <c r="I921" i="26"/>
  <c r="H921" i="26"/>
  <c r="AY920" i="26"/>
  <c r="AX920" i="26"/>
  <c r="BJ920" i="26" s="1"/>
  <c r="AS920" i="26"/>
  <c r="AO920" i="26"/>
  <c r="AL920" i="26"/>
  <c r="L920" i="26"/>
  <c r="K920" i="26"/>
  <c r="J920" i="26"/>
  <c r="I920" i="26"/>
  <c r="H920" i="26"/>
  <c r="BH919" i="26"/>
  <c r="BD919" i="26"/>
  <c r="BB919" i="26"/>
  <c r="BC919" i="26" s="1"/>
  <c r="AZ919" i="26"/>
  <c r="AY919" i="26"/>
  <c r="AX919" i="26"/>
  <c r="BJ919" i="26" s="1"/>
  <c r="AS919" i="26"/>
  <c r="AO919" i="26"/>
  <c r="AL919" i="26"/>
  <c r="BI919" i="26" s="1"/>
  <c r="L919" i="26"/>
  <c r="K919" i="26"/>
  <c r="J919" i="26"/>
  <c r="I919" i="26"/>
  <c r="H919" i="26"/>
  <c r="BI918" i="26"/>
  <c r="BE918" i="26"/>
  <c r="BF918" i="26" s="1"/>
  <c r="AY918" i="26"/>
  <c r="AX918" i="26"/>
  <c r="BJ918" i="26" s="1"/>
  <c r="AS918" i="26"/>
  <c r="AO918" i="26"/>
  <c r="AL918" i="26"/>
  <c r="L918" i="26"/>
  <c r="K918" i="26"/>
  <c r="J918" i="26"/>
  <c r="I918" i="26"/>
  <c r="H918" i="26"/>
  <c r="BJ917" i="26"/>
  <c r="BH917" i="26"/>
  <c r="BB917" i="26"/>
  <c r="BC917" i="26" s="1"/>
  <c r="AZ917" i="26"/>
  <c r="AY917" i="26"/>
  <c r="BA917" i="26" s="1"/>
  <c r="AX917" i="26"/>
  <c r="BL917" i="26" s="1"/>
  <c r="AS917" i="26"/>
  <c r="AO917" i="26"/>
  <c r="AL917" i="26"/>
  <c r="BI917" i="26" s="1"/>
  <c r="L917" i="26"/>
  <c r="K917" i="26"/>
  <c r="J917" i="26"/>
  <c r="I917" i="26"/>
  <c r="H917" i="26"/>
  <c r="AY916" i="26"/>
  <c r="AX916" i="26"/>
  <c r="BJ916" i="26" s="1"/>
  <c r="AS916" i="26"/>
  <c r="AO916" i="26"/>
  <c r="AL916" i="26"/>
  <c r="L916" i="26"/>
  <c r="K916" i="26"/>
  <c r="J916" i="26"/>
  <c r="I916" i="26"/>
  <c r="H916" i="26"/>
  <c r="BH915" i="26"/>
  <c r="BD915" i="26"/>
  <c r="BB915" i="26"/>
  <c r="BC915" i="26" s="1"/>
  <c r="AZ915" i="26"/>
  <c r="AY915" i="26"/>
  <c r="AX915" i="26"/>
  <c r="BJ915" i="26" s="1"/>
  <c r="AS915" i="26"/>
  <c r="AO915" i="26"/>
  <c r="AL915" i="26"/>
  <c r="BI915" i="26" s="1"/>
  <c r="L915" i="26"/>
  <c r="K915" i="26"/>
  <c r="J915" i="26"/>
  <c r="I915" i="26"/>
  <c r="H915" i="26"/>
  <c r="BI914" i="26"/>
  <c r="BE914" i="26"/>
  <c r="BF914" i="26" s="1"/>
  <c r="AY914" i="26"/>
  <c r="AX914" i="26"/>
  <c r="BJ914" i="26" s="1"/>
  <c r="AS914" i="26"/>
  <c r="AO914" i="26"/>
  <c r="AL914" i="26"/>
  <c r="L914" i="26"/>
  <c r="K914" i="26"/>
  <c r="J914" i="26"/>
  <c r="I914" i="26"/>
  <c r="H914" i="26"/>
  <c r="BJ913" i="26"/>
  <c r="BH913" i="26"/>
  <c r="BB913" i="26"/>
  <c r="BC913" i="26" s="1"/>
  <c r="AZ913" i="26"/>
  <c r="AY913" i="26"/>
  <c r="BA913" i="26" s="1"/>
  <c r="AX913" i="26"/>
  <c r="BL913" i="26" s="1"/>
  <c r="AS913" i="26"/>
  <c r="AO913" i="26"/>
  <c r="AL913" i="26"/>
  <c r="BI913" i="26" s="1"/>
  <c r="L913" i="26"/>
  <c r="K913" i="26"/>
  <c r="J913" i="26"/>
  <c r="I913" i="26"/>
  <c r="H913" i="26"/>
  <c r="AY912" i="26"/>
  <c r="AX912" i="26"/>
  <c r="BJ912" i="26" s="1"/>
  <c r="AS912" i="26"/>
  <c r="AO912" i="26"/>
  <c r="AL912" i="26"/>
  <c r="L912" i="26"/>
  <c r="K912" i="26"/>
  <c r="J912" i="26"/>
  <c r="I912" i="26"/>
  <c r="H912" i="26"/>
  <c r="BH911" i="26"/>
  <c r="BD911" i="26"/>
  <c r="BB911" i="26"/>
  <c r="BC911" i="26" s="1"/>
  <c r="AZ911" i="26"/>
  <c r="AY911" i="26"/>
  <c r="AX911" i="26"/>
  <c r="BJ911" i="26" s="1"/>
  <c r="AS911" i="26"/>
  <c r="AO911" i="26"/>
  <c r="AL911" i="26"/>
  <c r="BI911" i="26" s="1"/>
  <c r="L911" i="26"/>
  <c r="K911" i="26"/>
  <c r="J911" i="26"/>
  <c r="I911" i="26"/>
  <c r="H911" i="26"/>
  <c r="BI910" i="26"/>
  <c r="BE910" i="26"/>
  <c r="BF910" i="26" s="1"/>
  <c r="AY910" i="26"/>
  <c r="AX910" i="26"/>
  <c r="BJ910" i="26" s="1"/>
  <c r="AS910" i="26"/>
  <c r="AO910" i="26"/>
  <c r="AL910" i="26"/>
  <c r="L910" i="26"/>
  <c r="K910" i="26"/>
  <c r="J910" i="26"/>
  <c r="I910" i="26"/>
  <c r="H910" i="26"/>
  <c r="BJ909" i="26"/>
  <c r="BH909" i="26"/>
  <c r="BB909" i="26"/>
  <c r="BC909" i="26" s="1"/>
  <c r="AZ909" i="26"/>
  <c r="AY909" i="26"/>
  <c r="BA909" i="26" s="1"/>
  <c r="AX909" i="26"/>
  <c r="BL909" i="26" s="1"/>
  <c r="AS909" i="26"/>
  <c r="AO909" i="26"/>
  <c r="AL909" i="26"/>
  <c r="BI909" i="26" s="1"/>
  <c r="L909" i="26"/>
  <c r="K909" i="26"/>
  <c r="J909" i="26"/>
  <c r="I909" i="26"/>
  <c r="H909" i="26"/>
  <c r="AY908" i="26"/>
  <c r="AX908" i="26"/>
  <c r="BJ908" i="26" s="1"/>
  <c r="AS908" i="26"/>
  <c r="AO908" i="26"/>
  <c r="AL908" i="26"/>
  <c r="L908" i="26"/>
  <c r="K908" i="26"/>
  <c r="J908" i="26"/>
  <c r="I908" i="26"/>
  <c r="H908" i="26"/>
  <c r="BH907" i="26"/>
  <c r="BB907" i="26"/>
  <c r="BC907" i="26" s="1"/>
  <c r="AZ907" i="26"/>
  <c r="AY907" i="26"/>
  <c r="BA907" i="26" s="1"/>
  <c r="AX907" i="26"/>
  <c r="BL907" i="26" s="1"/>
  <c r="AS907" i="26"/>
  <c r="AO907" i="26"/>
  <c r="AL907" i="26"/>
  <c r="BI907" i="26" s="1"/>
  <c r="L907" i="26"/>
  <c r="K907" i="26"/>
  <c r="J907" i="26"/>
  <c r="I907" i="26"/>
  <c r="H907" i="26"/>
  <c r="AY906" i="26"/>
  <c r="AX906" i="26"/>
  <c r="BJ906" i="26" s="1"/>
  <c r="AS906" i="26"/>
  <c r="BH906" i="26" s="1"/>
  <c r="AO906" i="26"/>
  <c r="AL906" i="26"/>
  <c r="BL906" i="26" s="1"/>
  <c r="L906" i="26"/>
  <c r="K906" i="26"/>
  <c r="J906" i="26"/>
  <c r="I906" i="26"/>
  <c r="H906" i="26"/>
  <c r="BH905" i="26"/>
  <c r="BB905" i="26"/>
  <c r="BC905" i="26" s="1"/>
  <c r="AZ905" i="26"/>
  <c r="AY905" i="26"/>
  <c r="BA905" i="26" s="1"/>
  <c r="AX905" i="26"/>
  <c r="BL905" i="26" s="1"/>
  <c r="AS905" i="26"/>
  <c r="AO905" i="26"/>
  <c r="AL905" i="26"/>
  <c r="BI905" i="26" s="1"/>
  <c r="L905" i="26"/>
  <c r="K905" i="26"/>
  <c r="J905" i="26"/>
  <c r="I905" i="26"/>
  <c r="H905" i="26"/>
  <c r="AY904" i="26"/>
  <c r="AX904" i="26"/>
  <c r="BJ904" i="26" s="1"/>
  <c r="AS904" i="26"/>
  <c r="BH904" i="26" s="1"/>
  <c r="AO904" i="26"/>
  <c r="AL904" i="26"/>
  <c r="BL904" i="26" s="1"/>
  <c r="L904" i="26"/>
  <c r="K904" i="26"/>
  <c r="J904" i="26"/>
  <c r="I904" i="26"/>
  <c r="H904" i="26"/>
  <c r="BH903" i="26"/>
  <c r="BB903" i="26"/>
  <c r="BC903" i="26" s="1"/>
  <c r="AZ903" i="26"/>
  <c r="AY903" i="26"/>
  <c r="BA903" i="26" s="1"/>
  <c r="AX903" i="26"/>
  <c r="BL903" i="26" s="1"/>
  <c r="AS903" i="26"/>
  <c r="AO903" i="26"/>
  <c r="AL903" i="26"/>
  <c r="BI903" i="26" s="1"/>
  <c r="L903" i="26"/>
  <c r="K903" i="26"/>
  <c r="J903" i="26"/>
  <c r="I903" i="26"/>
  <c r="H903" i="26"/>
  <c r="AY902" i="26"/>
  <c r="AX902" i="26"/>
  <c r="BJ902" i="26" s="1"/>
  <c r="AS902" i="26"/>
  <c r="BH902" i="26" s="1"/>
  <c r="AO902" i="26"/>
  <c r="AL902" i="26"/>
  <c r="BL902" i="26" s="1"/>
  <c r="L902" i="26"/>
  <c r="K902" i="26"/>
  <c r="J902" i="26"/>
  <c r="I902" i="26"/>
  <c r="H902" i="26"/>
  <c r="BH901" i="26"/>
  <c r="BB901" i="26"/>
  <c r="BC901" i="26" s="1"/>
  <c r="AZ901" i="26"/>
  <c r="AY901" i="26"/>
  <c r="BA901" i="26" s="1"/>
  <c r="AX901" i="26"/>
  <c r="BL901" i="26" s="1"/>
  <c r="AS901" i="26"/>
  <c r="AO901" i="26"/>
  <c r="AL901" i="26"/>
  <c r="BI901" i="26" s="1"/>
  <c r="L901" i="26"/>
  <c r="K901" i="26"/>
  <c r="J901" i="26"/>
  <c r="I901" i="26"/>
  <c r="H901" i="26"/>
  <c r="AY900" i="26"/>
  <c r="AX900" i="26"/>
  <c r="BJ900" i="26" s="1"/>
  <c r="AS900" i="26"/>
  <c r="BH900" i="26" s="1"/>
  <c r="AO900" i="26"/>
  <c r="AL900" i="26"/>
  <c r="BL900" i="26" s="1"/>
  <c r="L900" i="26"/>
  <c r="K900" i="26"/>
  <c r="J900" i="26"/>
  <c r="I900" i="26"/>
  <c r="H900" i="26"/>
  <c r="BH899" i="26"/>
  <c r="BB899" i="26"/>
  <c r="BC899" i="26" s="1"/>
  <c r="AZ899" i="26"/>
  <c r="AY899" i="26"/>
  <c r="BA899" i="26" s="1"/>
  <c r="AX899" i="26"/>
  <c r="BL899" i="26" s="1"/>
  <c r="AS899" i="26"/>
  <c r="AO899" i="26"/>
  <c r="AL899" i="26"/>
  <c r="BI899" i="26" s="1"/>
  <c r="L899" i="26"/>
  <c r="K899" i="26"/>
  <c r="J899" i="26"/>
  <c r="I899" i="26"/>
  <c r="H899" i="26"/>
  <c r="AY898" i="26"/>
  <c r="AX898" i="26"/>
  <c r="BJ898" i="26" s="1"/>
  <c r="AS898" i="26"/>
  <c r="BH898" i="26" s="1"/>
  <c r="AO898" i="26"/>
  <c r="AL898" i="26"/>
  <c r="BL898" i="26" s="1"/>
  <c r="L898" i="26"/>
  <c r="K898" i="26"/>
  <c r="J898" i="26"/>
  <c r="I898" i="26"/>
  <c r="H898" i="26"/>
  <c r="BH897" i="26"/>
  <c r="BB897" i="26"/>
  <c r="BC897" i="26" s="1"/>
  <c r="AZ897" i="26"/>
  <c r="AY897" i="26"/>
  <c r="BA897" i="26" s="1"/>
  <c r="AX897" i="26"/>
  <c r="BL897" i="26" s="1"/>
  <c r="AS897" i="26"/>
  <c r="AO897" i="26"/>
  <c r="AL897" i="26"/>
  <c r="BI897" i="26" s="1"/>
  <c r="L897" i="26"/>
  <c r="K897" i="26"/>
  <c r="J897" i="26"/>
  <c r="I897" i="26"/>
  <c r="H897" i="26"/>
  <c r="AY896" i="26"/>
  <c r="AX896" i="26"/>
  <c r="BJ896" i="26" s="1"/>
  <c r="AS896" i="26"/>
  <c r="BH896" i="26" s="1"/>
  <c r="AO896" i="26"/>
  <c r="AL896" i="26"/>
  <c r="BL896" i="26" s="1"/>
  <c r="L896" i="26"/>
  <c r="K896" i="26"/>
  <c r="J896" i="26"/>
  <c r="I896" i="26"/>
  <c r="H896" i="26"/>
  <c r="BH895" i="26"/>
  <c r="BB895" i="26"/>
  <c r="BC895" i="26" s="1"/>
  <c r="AZ895" i="26"/>
  <c r="AY895" i="26"/>
  <c r="BA895" i="26" s="1"/>
  <c r="AX895" i="26"/>
  <c r="BL895" i="26" s="1"/>
  <c r="AS895" i="26"/>
  <c r="AO895" i="26"/>
  <c r="AL895" i="26"/>
  <c r="BI895" i="26" s="1"/>
  <c r="L895" i="26"/>
  <c r="K895" i="26"/>
  <c r="J895" i="26"/>
  <c r="I895" i="26"/>
  <c r="H895" i="26"/>
  <c r="AY894" i="26"/>
  <c r="AX894" i="26"/>
  <c r="BJ894" i="26" s="1"/>
  <c r="AS894" i="26"/>
  <c r="BH894" i="26" s="1"/>
  <c r="AO894" i="26"/>
  <c r="AL894" i="26"/>
  <c r="BL894" i="26" s="1"/>
  <c r="L894" i="26"/>
  <c r="K894" i="26"/>
  <c r="J894" i="26"/>
  <c r="I894" i="26"/>
  <c r="H894" i="26"/>
  <c r="BH893" i="26"/>
  <c r="BB893" i="26"/>
  <c r="BC893" i="26" s="1"/>
  <c r="AZ893" i="26"/>
  <c r="AY893" i="26"/>
  <c r="BA893" i="26" s="1"/>
  <c r="AX893" i="26"/>
  <c r="BL893" i="26" s="1"/>
  <c r="AS893" i="26"/>
  <c r="AO893" i="26"/>
  <c r="AL893" i="26"/>
  <c r="BI893" i="26" s="1"/>
  <c r="L893" i="26"/>
  <c r="K893" i="26"/>
  <c r="J893" i="26"/>
  <c r="I893" i="26"/>
  <c r="H893" i="26"/>
  <c r="AY892" i="26"/>
  <c r="AX892" i="26"/>
  <c r="BJ892" i="26" s="1"/>
  <c r="AS892" i="26"/>
  <c r="BH892" i="26" s="1"/>
  <c r="AO892" i="26"/>
  <c r="AL892" i="26"/>
  <c r="BL892" i="26" s="1"/>
  <c r="L892" i="26"/>
  <c r="K892" i="26"/>
  <c r="J892" i="26"/>
  <c r="I892" i="26"/>
  <c r="H892" i="26"/>
  <c r="BH891" i="26"/>
  <c r="BB891" i="26"/>
  <c r="BC891" i="26" s="1"/>
  <c r="AZ891" i="26"/>
  <c r="AY891" i="26"/>
  <c r="BA891" i="26" s="1"/>
  <c r="AX891" i="26"/>
  <c r="BL891" i="26" s="1"/>
  <c r="AS891" i="26"/>
  <c r="AO891" i="26"/>
  <c r="AL891" i="26"/>
  <c r="BI891" i="26" s="1"/>
  <c r="L891" i="26"/>
  <c r="K891" i="26"/>
  <c r="J891" i="26"/>
  <c r="I891" i="26"/>
  <c r="H891" i="26"/>
  <c r="AY890" i="26"/>
  <c r="AX890" i="26"/>
  <c r="BJ890" i="26" s="1"/>
  <c r="AS890" i="26"/>
  <c r="BH890" i="26" s="1"/>
  <c r="AO890" i="26"/>
  <c r="AL890" i="26"/>
  <c r="BL890" i="26" s="1"/>
  <c r="L890" i="26"/>
  <c r="K890" i="26"/>
  <c r="J890" i="26"/>
  <c r="I890" i="26"/>
  <c r="H890" i="26"/>
  <c r="BH889" i="26"/>
  <c r="BB889" i="26"/>
  <c r="BC889" i="26" s="1"/>
  <c r="AZ889" i="26"/>
  <c r="AY889" i="26"/>
  <c r="BA889" i="26" s="1"/>
  <c r="AX889" i="26"/>
  <c r="BL889" i="26" s="1"/>
  <c r="AS889" i="26"/>
  <c r="AO889" i="26"/>
  <c r="AL889" i="26"/>
  <c r="BI889" i="26" s="1"/>
  <c r="L889" i="26"/>
  <c r="K889" i="26"/>
  <c r="J889" i="26"/>
  <c r="I889" i="26"/>
  <c r="H889" i="26"/>
  <c r="AY888" i="26"/>
  <c r="AX888" i="26"/>
  <c r="BJ888" i="26" s="1"/>
  <c r="AS888" i="26"/>
  <c r="BH888" i="26" s="1"/>
  <c r="AO888" i="26"/>
  <c r="AL888" i="26"/>
  <c r="BL888" i="26" s="1"/>
  <c r="L888" i="26"/>
  <c r="K888" i="26"/>
  <c r="J888" i="26"/>
  <c r="I888" i="26"/>
  <c r="H888" i="26"/>
  <c r="BH887" i="26"/>
  <c r="BB887" i="26"/>
  <c r="BC887" i="26" s="1"/>
  <c r="AZ887" i="26"/>
  <c r="AY887" i="26"/>
  <c r="BA887" i="26" s="1"/>
  <c r="AX887" i="26"/>
  <c r="BL887" i="26" s="1"/>
  <c r="AS887" i="26"/>
  <c r="AO887" i="26"/>
  <c r="AL887" i="26"/>
  <c r="BI887" i="26" s="1"/>
  <c r="L887" i="26"/>
  <c r="K887" i="26"/>
  <c r="J887" i="26"/>
  <c r="I887" i="26"/>
  <c r="H887" i="26"/>
  <c r="AY886" i="26"/>
  <c r="AX886" i="26"/>
  <c r="BJ886" i="26" s="1"/>
  <c r="AS886" i="26"/>
  <c r="BH886" i="26" s="1"/>
  <c r="AO886" i="26"/>
  <c r="AL886" i="26"/>
  <c r="BL886" i="26" s="1"/>
  <c r="L886" i="26"/>
  <c r="K886" i="26"/>
  <c r="J886" i="26"/>
  <c r="I886" i="26"/>
  <c r="H886" i="26"/>
  <c r="BH885" i="26"/>
  <c r="BD885" i="26"/>
  <c r="BB885" i="26"/>
  <c r="BC885" i="26" s="1"/>
  <c r="AZ885" i="26"/>
  <c r="AY885" i="26"/>
  <c r="AX885" i="26"/>
  <c r="BL885" i="26" s="1"/>
  <c r="AS885" i="26"/>
  <c r="AO885" i="26"/>
  <c r="AL885" i="26"/>
  <c r="BI885" i="26" s="1"/>
  <c r="L885" i="26"/>
  <c r="K885" i="26"/>
  <c r="J885" i="26"/>
  <c r="I885" i="26"/>
  <c r="H885" i="26"/>
  <c r="BI884" i="26"/>
  <c r="BE884" i="26"/>
  <c r="BF884" i="26" s="1"/>
  <c r="AY884" i="26"/>
  <c r="AX884" i="26"/>
  <c r="BJ884" i="26" s="1"/>
  <c r="AS884" i="26"/>
  <c r="AO884" i="26"/>
  <c r="AL884" i="26"/>
  <c r="L884" i="26"/>
  <c r="K884" i="26"/>
  <c r="J884" i="26"/>
  <c r="I884" i="26"/>
  <c r="H884" i="26"/>
  <c r="BJ883" i="26"/>
  <c r="BH883" i="26"/>
  <c r="BB883" i="26"/>
  <c r="BC883" i="26" s="1"/>
  <c r="AZ883" i="26"/>
  <c r="AY883" i="26"/>
  <c r="BA883" i="26" s="1"/>
  <c r="AX883" i="26"/>
  <c r="BL883" i="26" s="1"/>
  <c r="AS883" i="26"/>
  <c r="AO883" i="26"/>
  <c r="AL883" i="26"/>
  <c r="BI883" i="26" s="1"/>
  <c r="L883" i="26"/>
  <c r="K883" i="26"/>
  <c r="J883" i="26"/>
  <c r="I883" i="26"/>
  <c r="H883" i="26"/>
  <c r="AY882" i="26"/>
  <c r="AX882" i="26"/>
  <c r="BJ882" i="26" s="1"/>
  <c r="AS882" i="26"/>
  <c r="AO882" i="26"/>
  <c r="AL882" i="26"/>
  <c r="BI882" i="26" s="1"/>
  <c r="L882" i="26"/>
  <c r="K882" i="26"/>
  <c r="J882" i="26"/>
  <c r="I882" i="26"/>
  <c r="H882" i="26"/>
  <c r="BH881" i="26"/>
  <c r="BD881" i="26"/>
  <c r="BB881" i="26"/>
  <c r="BC881" i="26" s="1"/>
  <c r="AZ881" i="26"/>
  <c r="AY881" i="26"/>
  <c r="AX881" i="26"/>
  <c r="BL881" i="26" s="1"/>
  <c r="AS881" i="26"/>
  <c r="AO881" i="26"/>
  <c r="AL881" i="26"/>
  <c r="BI881" i="26" s="1"/>
  <c r="L881" i="26"/>
  <c r="K881" i="26"/>
  <c r="J881" i="26"/>
  <c r="I881" i="26"/>
  <c r="H881" i="26"/>
  <c r="BI880" i="26"/>
  <c r="BE880" i="26"/>
  <c r="BF880" i="26" s="1"/>
  <c r="AY880" i="26"/>
  <c r="AX880" i="26"/>
  <c r="BJ880" i="26" s="1"/>
  <c r="AS880" i="26"/>
  <c r="AO880" i="26"/>
  <c r="AL880" i="26"/>
  <c r="L880" i="26"/>
  <c r="K880" i="26"/>
  <c r="J880" i="26"/>
  <c r="I880" i="26"/>
  <c r="H880" i="26"/>
  <c r="BJ879" i="26"/>
  <c r="BH879" i="26"/>
  <c r="BB879" i="26"/>
  <c r="BC879" i="26" s="1"/>
  <c r="AZ879" i="26"/>
  <c r="AY879" i="26"/>
  <c r="BA879" i="26" s="1"/>
  <c r="AX879" i="26"/>
  <c r="BL879" i="26" s="1"/>
  <c r="AS879" i="26"/>
  <c r="AO879" i="26"/>
  <c r="AL879" i="26"/>
  <c r="BI879" i="26" s="1"/>
  <c r="L879" i="26"/>
  <c r="K879" i="26"/>
  <c r="J879" i="26"/>
  <c r="I879" i="26"/>
  <c r="H879" i="26"/>
  <c r="AY878" i="26"/>
  <c r="AX878" i="26"/>
  <c r="BJ878" i="26" s="1"/>
  <c r="AS878" i="26"/>
  <c r="AO878" i="26"/>
  <c r="AL878" i="26"/>
  <c r="BI878" i="26" s="1"/>
  <c r="L878" i="26"/>
  <c r="K878" i="26"/>
  <c r="J878" i="26"/>
  <c r="I878" i="26"/>
  <c r="H878" i="26"/>
  <c r="BH877" i="26"/>
  <c r="BD877" i="26"/>
  <c r="BB877" i="26"/>
  <c r="BC877" i="26" s="1"/>
  <c r="AZ877" i="26"/>
  <c r="AY877" i="26"/>
  <c r="AX877" i="26"/>
  <c r="BL877" i="26" s="1"/>
  <c r="AS877" i="26"/>
  <c r="AO877" i="26"/>
  <c r="AL877" i="26"/>
  <c r="BI877" i="26" s="1"/>
  <c r="L877" i="26"/>
  <c r="K877" i="26"/>
  <c r="J877" i="26"/>
  <c r="I877" i="26"/>
  <c r="H877" i="26"/>
  <c r="BI876" i="26"/>
  <c r="BE876" i="26"/>
  <c r="BF876" i="26" s="1"/>
  <c r="AY876" i="26"/>
  <c r="AX876" i="26"/>
  <c r="BJ876" i="26" s="1"/>
  <c r="AS876" i="26"/>
  <c r="AO876" i="26"/>
  <c r="AL876" i="26"/>
  <c r="L876" i="26"/>
  <c r="K876" i="26"/>
  <c r="J876" i="26"/>
  <c r="I876" i="26"/>
  <c r="H876" i="26"/>
  <c r="BJ875" i="26"/>
  <c r="AY875" i="26"/>
  <c r="AX875" i="26"/>
  <c r="AS875" i="26"/>
  <c r="BH875" i="26" s="1"/>
  <c r="BK875" i="26" s="1"/>
  <c r="AO875" i="26"/>
  <c r="AL875" i="26"/>
  <c r="BI875" i="26" s="1"/>
  <c r="L875" i="26"/>
  <c r="K875" i="26"/>
  <c r="J875" i="26"/>
  <c r="I875" i="26"/>
  <c r="H875" i="26"/>
  <c r="BH874" i="26"/>
  <c r="BB874" i="26"/>
  <c r="BD874" i="26" s="1"/>
  <c r="AZ874" i="26"/>
  <c r="AY874" i="26"/>
  <c r="BA874" i="26" s="1"/>
  <c r="AX874" i="26"/>
  <c r="BL874" i="26" s="1"/>
  <c r="AS874" i="26"/>
  <c r="AO874" i="26"/>
  <c r="AL874" i="26"/>
  <c r="BI874" i="26" s="1"/>
  <c r="L874" i="26"/>
  <c r="K874" i="26"/>
  <c r="J874" i="26"/>
  <c r="I874" i="26"/>
  <c r="H874" i="26"/>
  <c r="AY873" i="26"/>
  <c r="AX873" i="26"/>
  <c r="BJ873" i="26" s="1"/>
  <c r="AS873" i="26"/>
  <c r="BH873" i="26" s="1"/>
  <c r="AO873" i="26"/>
  <c r="AL873" i="26"/>
  <c r="BI873" i="26" s="1"/>
  <c r="L873" i="26"/>
  <c r="K873" i="26"/>
  <c r="J873" i="26"/>
  <c r="I873" i="26"/>
  <c r="H873" i="26"/>
  <c r="BH872" i="26"/>
  <c r="BB872" i="26"/>
  <c r="BD872" i="26" s="1"/>
  <c r="AZ872" i="26"/>
  <c r="AY872" i="26"/>
  <c r="BA872" i="26" s="1"/>
  <c r="AX872" i="26"/>
  <c r="BL872" i="26" s="1"/>
  <c r="AS872" i="26"/>
  <c r="AO872" i="26"/>
  <c r="AL872" i="26"/>
  <c r="BI872" i="26" s="1"/>
  <c r="L872" i="26"/>
  <c r="K872" i="26"/>
  <c r="J872" i="26"/>
  <c r="I872" i="26"/>
  <c r="H872" i="26"/>
  <c r="AY871" i="26"/>
  <c r="AX871" i="26"/>
  <c r="BJ871" i="26" s="1"/>
  <c r="AS871" i="26"/>
  <c r="BH871" i="26" s="1"/>
  <c r="AO871" i="26"/>
  <c r="AL871" i="26"/>
  <c r="BI871" i="26" s="1"/>
  <c r="L871" i="26"/>
  <c r="K871" i="26"/>
  <c r="J871" i="26"/>
  <c r="I871" i="26"/>
  <c r="H871" i="26"/>
  <c r="BH870" i="26"/>
  <c r="BB870" i="26"/>
  <c r="BD870" i="26" s="1"/>
  <c r="AZ870" i="26"/>
  <c r="AY870" i="26"/>
  <c r="BA870" i="26" s="1"/>
  <c r="AX870" i="26"/>
  <c r="BL870" i="26" s="1"/>
  <c r="AS870" i="26"/>
  <c r="AO870" i="26"/>
  <c r="AL870" i="26"/>
  <c r="BI870" i="26" s="1"/>
  <c r="L870" i="26"/>
  <c r="K870" i="26"/>
  <c r="J870" i="26"/>
  <c r="I870" i="26"/>
  <c r="H870" i="26"/>
  <c r="AY869" i="26"/>
  <c r="AX869" i="26"/>
  <c r="BJ869" i="26" s="1"/>
  <c r="AS869" i="26"/>
  <c r="BH869" i="26" s="1"/>
  <c r="AO869" i="26"/>
  <c r="AL869" i="26"/>
  <c r="BI869" i="26" s="1"/>
  <c r="L869" i="26"/>
  <c r="K869" i="26"/>
  <c r="J869" i="26"/>
  <c r="I869" i="26"/>
  <c r="H869" i="26"/>
  <c r="BH868" i="26"/>
  <c r="BB868" i="26"/>
  <c r="BD868" i="26" s="1"/>
  <c r="AZ868" i="26"/>
  <c r="AY868" i="26"/>
  <c r="BA868" i="26" s="1"/>
  <c r="AX868" i="26"/>
  <c r="BL868" i="26" s="1"/>
  <c r="AS868" i="26"/>
  <c r="AO868" i="26"/>
  <c r="AL868" i="26"/>
  <c r="BI868" i="26" s="1"/>
  <c r="L868" i="26"/>
  <c r="K868" i="26"/>
  <c r="J868" i="26"/>
  <c r="I868" i="26"/>
  <c r="H868" i="26"/>
  <c r="AY867" i="26"/>
  <c r="AX867" i="26"/>
  <c r="BJ867" i="26" s="1"/>
  <c r="AS867" i="26"/>
  <c r="BH867" i="26" s="1"/>
  <c r="AO867" i="26"/>
  <c r="AL867" i="26"/>
  <c r="BI867" i="26" s="1"/>
  <c r="L867" i="26"/>
  <c r="K867" i="26"/>
  <c r="J867" i="26"/>
  <c r="I867" i="26"/>
  <c r="H867" i="26"/>
  <c r="BH866" i="26"/>
  <c r="BB866" i="26"/>
  <c r="BD866" i="26" s="1"/>
  <c r="AZ866" i="26"/>
  <c r="AY866" i="26"/>
  <c r="BA866" i="26" s="1"/>
  <c r="AX866" i="26"/>
  <c r="BL866" i="26" s="1"/>
  <c r="AS866" i="26"/>
  <c r="AO866" i="26"/>
  <c r="AL866" i="26"/>
  <c r="BI866" i="26" s="1"/>
  <c r="L866" i="26"/>
  <c r="K866" i="26"/>
  <c r="J866" i="26"/>
  <c r="I866" i="26"/>
  <c r="H866" i="26"/>
  <c r="AY865" i="26"/>
  <c r="AX865" i="26"/>
  <c r="BJ865" i="26" s="1"/>
  <c r="AS865" i="26"/>
  <c r="BH865" i="26" s="1"/>
  <c r="AO865" i="26"/>
  <c r="AL865" i="26"/>
  <c r="BI865" i="26" s="1"/>
  <c r="L865" i="26"/>
  <c r="K865" i="26"/>
  <c r="J865" i="26"/>
  <c r="I865" i="26"/>
  <c r="H865" i="26"/>
  <c r="BH864" i="26"/>
  <c r="BB864" i="26"/>
  <c r="BD864" i="26" s="1"/>
  <c r="AZ864" i="26"/>
  <c r="AY864" i="26"/>
  <c r="BA864" i="26" s="1"/>
  <c r="AX864" i="26"/>
  <c r="BL864" i="26" s="1"/>
  <c r="AS864" i="26"/>
  <c r="AO864" i="26"/>
  <c r="AL864" i="26"/>
  <c r="BI864" i="26" s="1"/>
  <c r="L864" i="26"/>
  <c r="K864" i="26"/>
  <c r="J864" i="26"/>
  <c r="I864" i="26"/>
  <c r="H864" i="26"/>
  <c r="AY863" i="26"/>
  <c r="AX863" i="26"/>
  <c r="BJ863" i="26" s="1"/>
  <c r="AS863" i="26"/>
  <c r="BH863" i="26" s="1"/>
  <c r="AO863" i="26"/>
  <c r="AL863" i="26"/>
  <c r="BI863" i="26" s="1"/>
  <c r="L863" i="26"/>
  <c r="K863" i="26"/>
  <c r="J863" i="26"/>
  <c r="I863" i="26"/>
  <c r="H863" i="26"/>
  <c r="BH862" i="26"/>
  <c r="BB862" i="26"/>
  <c r="BD862" i="26" s="1"/>
  <c r="AZ862" i="26"/>
  <c r="AY862" i="26"/>
  <c r="BA862" i="26" s="1"/>
  <c r="AX862" i="26"/>
  <c r="BL862" i="26" s="1"/>
  <c r="AS862" i="26"/>
  <c r="AO862" i="26"/>
  <c r="AL862" i="26"/>
  <c r="BI862" i="26" s="1"/>
  <c r="L862" i="26"/>
  <c r="K862" i="26"/>
  <c r="J862" i="26"/>
  <c r="I862" i="26"/>
  <c r="H862" i="26"/>
  <c r="AY861" i="26"/>
  <c r="AX861" i="26"/>
  <c r="BJ861" i="26" s="1"/>
  <c r="AS861" i="26"/>
  <c r="BH861" i="26" s="1"/>
  <c r="AO861" i="26"/>
  <c r="AL861" i="26"/>
  <c r="BI861" i="26" s="1"/>
  <c r="L861" i="26"/>
  <c r="K861" i="26"/>
  <c r="J861" i="26"/>
  <c r="I861" i="26"/>
  <c r="H861" i="26"/>
  <c r="BH860" i="26"/>
  <c r="BB860" i="26"/>
  <c r="BD860" i="26" s="1"/>
  <c r="AZ860" i="26"/>
  <c r="AY860" i="26"/>
  <c r="BA860" i="26" s="1"/>
  <c r="AX860" i="26"/>
  <c r="BL860" i="26" s="1"/>
  <c r="AS860" i="26"/>
  <c r="AO860" i="26"/>
  <c r="AL860" i="26"/>
  <c r="BI860" i="26" s="1"/>
  <c r="L860" i="26"/>
  <c r="K860" i="26"/>
  <c r="J860" i="26"/>
  <c r="I860" i="26"/>
  <c r="H860" i="26"/>
  <c r="AY859" i="26"/>
  <c r="AX859" i="26"/>
  <c r="BJ859" i="26" s="1"/>
  <c r="AS859" i="26"/>
  <c r="BH859" i="26" s="1"/>
  <c r="AO859" i="26"/>
  <c r="AL859" i="26"/>
  <c r="BI859" i="26" s="1"/>
  <c r="L859" i="26"/>
  <c r="K859" i="26"/>
  <c r="J859" i="26"/>
  <c r="I859" i="26"/>
  <c r="H859" i="26"/>
  <c r="BH858" i="26"/>
  <c r="BB858" i="26"/>
  <c r="BD858" i="26" s="1"/>
  <c r="AZ858" i="26"/>
  <c r="AY858" i="26"/>
  <c r="BA858" i="26" s="1"/>
  <c r="AX858" i="26"/>
  <c r="BL858" i="26" s="1"/>
  <c r="AS858" i="26"/>
  <c r="AO858" i="26"/>
  <c r="AL858" i="26"/>
  <c r="BI858" i="26" s="1"/>
  <c r="L858" i="26"/>
  <c r="K858" i="26"/>
  <c r="J858" i="26"/>
  <c r="I858" i="26"/>
  <c r="H858" i="26"/>
  <c r="AY857" i="26"/>
  <c r="AX857" i="26"/>
  <c r="BJ857" i="26" s="1"/>
  <c r="AS857" i="26"/>
  <c r="BH857" i="26" s="1"/>
  <c r="AO857" i="26"/>
  <c r="AL857" i="26"/>
  <c r="BI857" i="26" s="1"/>
  <c r="L857" i="26"/>
  <c r="K857" i="26"/>
  <c r="J857" i="26"/>
  <c r="I857" i="26"/>
  <c r="H857" i="26"/>
  <c r="BH856" i="26"/>
  <c r="BB856" i="26"/>
  <c r="BD856" i="26" s="1"/>
  <c r="AZ856" i="26"/>
  <c r="AY856" i="26"/>
  <c r="BA856" i="26" s="1"/>
  <c r="AX856" i="26"/>
  <c r="BL856" i="26" s="1"/>
  <c r="AS856" i="26"/>
  <c r="AO856" i="26"/>
  <c r="AL856" i="26"/>
  <c r="BI856" i="26" s="1"/>
  <c r="L856" i="26"/>
  <c r="K856" i="26"/>
  <c r="J856" i="26"/>
  <c r="I856" i="26"/>
  <c r="H856" i="26"/>
  <c r="AY855" i="26"/>
  <c r="AX855" i="26"/>
  <c r="BJ855" i="26" s="1"/>
  <c r="AS855" i="26"/>
  <c r="BH855" i="26" s="1"/>
  <c r="AO855" i="26"/>
  <c r="AL855" i="26"/>
  <c r="BI855" i="26" s="1"/>
  <c r="L855" i="26"/>
  <c r="K855" i="26"/>
  <c r="J855" i="26"/>
  <c r="I855" i="26"/>
  <c r="H855" i="26"/>
  <c r="BH854" i="26"/>
  <c r="BB854" i="26"/>
  <c r="BD854" i="26" s="1"/>
  <c r="AZ854" i="26"/>
  <c r="AY854" i="26"/>
  <c r="BA854" i="26" s="1"/>
  <c r="AX854" i="26"/>
  <c r="BL854" i="26" s="1"/>
  <c r="AS854" i="26"/>
  <c r="AO854" i="26"/>
  <c r="AL854" i="26"/>
  <c r="BI854" i="26" s="1"/>
  <c r="L854" i="26"/>
  <c r="K854" i="26"/>
  <c r="J854" i="26"/>
  <c r="I854" i="26"/>
  <c r="H854" i="26"/>
  <c r="AY853" i="26"/>
  <c r="AX853" i="26"/>
  <c r="BJ853" i="26" s="1"/>
  <c r="AS853" i="26"/>
  <c r="BH853" i="26" s="1"/>
  <c r="AO853" i="26"/>
  <c r="AL853" i="26"/>
  <c r="BI853" i="26" s="1"/>
  <c r="L853" i="26"/>
  <c r="K853" i="26"/>
  <c r="J853" i="26"/>
  <c r="I853" i="26"/>
  <c r="H853" i="26"/>
  <c r="BH852" i="26"/>
  <c r="BB852" i="26"/>
  <c r="BD852" i="26" s="1"/>
  <c r="AZ852" i="26"/>
  <c r="AY852" i="26"/>
  <c r="BA852" i="26" s="1"/>
  <c r="AX852" i="26"/>
  <c r="BL852" i="26" s="1"/>
  <c r="AS852" i="26"/>
  <c r="AO852" i="26"/>
  <c r="AL852" i="26"/>
  <c r="BI852" i="26" s="1"/>
  <c r="L852" i="26"/>
  <c r="K852" i="26"/>
  <c r="J852" i="26"/>
  <c r="I852" i="26"/>
  <c r="H852" i="26"/>
  <c r="AY851" i="26"/>
  <c r="AX851" i="26"/>
  <c r="BJ851" i="26" s="1"/>
  <c r="AS851" i="26"/>
  <c r="BH851" i="26" s="1"/>
  <c r="AO851" i="26"/>
  <c r="AL851" i="26"/>
  <c r="BI851" i="26" s="1"/>
  <c r="L851" i="26"/>
  <c r="K851" i="26"/>
  <c r="J851" i="26"/>
  <c r="I851" i="26"/>
  <c r="H851" i="26"/>
  <c r="BH850" i="26"/>
  <c r="BB850" i="26"/>
  <c r="BD850" i="26" s="1"/>
  <c r="AZ850" i="26"/>
  <c r="AY850" i="26"/>
  <c r="BA850" i="26" s="1"/>
  <c r="AX850" i="26"/>
  <c r="BL850" i="26" s="1"/>
  <c r="AS850" i="26"/>
  <c r="AO850" i="26"/>
  <c r="AL850" i="26"/>
  <c r="BI850" i="26" s="1"/>
  <c r="L850" i="26"/>
  <c r="K850" i="26"/>
  <c r="J850" i="26"/>
  <c r="I850" i="26"/>
  <c r="H850" i="26"/>
  <c r="AY849" i="26"/>
  <c r="AX849" i="26"/>
  <c r="BJ849" i="26" s="1"/>
  <c r="AS849" i="26"/>
  <c r="BH849" i="26" s="1"/>
  <c r="AO849" i="26"/>
  <c r="AL849" i="26"/>
  <c r="BI849" i="26" s="1"/>
  <c r="L849" i="26"/>
  <c r="K849" i="26"/>
  <c r="J849" i="26"/>
  <c r="I849" i="26"/>
  <c r="H849" i="26"/>
  <c r="BH848" i="26"/>
  <c r="BB848" i="26"/>
  <c r="BD848" i="26" s="1"/>
  <c r="AZ848" i="26"/>
  <c r="AY848" i="26"/>
  <c r="BA848" i="26" s="1"/>
  <c r="AX848" i="26"/>
  <c r="BL848" i="26" s="1"/>
  <c r="AS848" i="26"/>
  <c r="AO848" i="26"/>
  <c r="AL848" i="26"/>
  <c r="BI848" i="26" s="1"/>
  <c r="L848" i="26"/>
  <c r="K848" i="26"/>
  <c r="J848" i="26"/>
  <c r="I848" i="26"/>
  <c r="H848" i="26"/>
  <c r="AY847" i="26"/>
  <c r="AX847" i="26"/>
  <c r="BJ847" i="26" s="1"/>
  <c r="AS847" i="26"/>
  <c r="BH847" i="26" s="1"/>
  <c r="AO847" i="26"/>
  <c r="AL847" i="26"/>
  <c r="BI847" i="26" s="1"/>
  <c r="L847" i="26"/>
  <c r="K847" i="26"/>
  <c r="J847" i="26"/>
  <c r="I847" i="26"/>
  <c r="H847" i="26"/>
  <c r="BH846" i="26"/>
  <c r="BB846" i="26"/>
  <c r="BD846" i="26" s="1"/>
  <c r="AZ846" i="26"/>
  <c r="AY846" i="26"/>
  <c r="BA846" i="26" s="1"/>
  <c r="AX846" i="26"/>
  <c r="BL846" i="26" s="1"/>
  <c r="AS846" i="26"/>
  <c r="AO846" i="26"/>
  <c r="AL846" i="26"/>
  <c r="BI846" i="26" s="1"/>
  <c r="L846" i="26"/>
  <c r="K846" i="26"/>
  <c r="J846" i="26"/>
  <c r="I846" i="26"/>
  <c r="H846" i="26"/>
  <c r="AY845" i="26"/>
  <c r="AX845" i="26"/>
  <c r="BJ845" i="26" s="1"/>
  <c r="AS845" i="26"/>
  <c r="BH845" i="26" s="1"/>
  <c r="AO845" i="26"/>
  <c r="AL845" i="26"/>
  <c r="BI845" i="26" s="1"/>
  <c r="L845" i="26"/>
  <c r="K845" i="26"/>
  <c r="J845" i="26"/>
  <c r="I845" i="26"/>
  <c r="H845" i="26"/>
  <c r="BH844" i="26"/>
  <c r="BB844" i="26"/>
  <c r="BD844" i="26" s="1"/>
  <c r="AZ844" i="26"/>
  <c r="AY844" i="26"/>
  <c r="BA844" i="26" s="1"/>
  <c r="AX844" i="26"/>
  <c r="BL844" i="26" s="1"/>
  <c r="AS844" i="26"/>
  <c r="AO844" i="26"/>
  <c r="AL844" i="26"/>
  <c r="BI844" i="26" s="1"/>
  <c r="L844" i="26"/>
  <c r="K844" i="26"/>
  <c r="J844" i="26"/>
  <c r="I844" i="26"/>
  <c r="H844" i="26"/>
  <c r="AY843" i="26"/>
  <c r="AX843" i="26"/>
  <c r="BJ843" i="26" s="1"/>
  <c r="AS843" i="26"/>
  <c r="BH843" i="26" s="1"/>
  <c r="AO843" i="26"/>
  <c r="AL843" i="26"/>
  <c r="BI843" i="26" s="1"/>
  <c r="L843" i="26"/>
  <c r="K843" i="26"/>
  <c r="J843" i="26"/>
  <c r="I843" i="26"/>
  <c r="H843" i="26"/>
  <c r="BH842" i="26"/>
  <c r="BB842" i="26"/>
  <c r="BD842" i="26" s="1"/>
  <c r="AZ842" i="26"/>
  <c r="AY842" i="26"/>
  <c r="BA842" i="26" s="1"/>
  <c r="AX842" i="26"/>
  <c r="BL842" i="26" s="1"/>
  <c r="AS842" i="26"/>
  <c r="AO842" i="26"/>
  <c r="AL842" i="26"/>
  <c r="BI842" i="26" s="1"/>
  <c r="L842" i="26"/>
  <c r="K842" i="26"/>
  <c r="J842" i="26"/>
  <c r="I842" i="26"/>
  <c r="H842" i="26"/>
  <c r="AY841" i="26"/>
  <c r="AX841" i="26"/>
  <c r="BJ841" i="26" s="1"/>
  <c r="AS841" i="26"/>
  <c r="BH841" i="26" s="1"/>
  <c r="AO841" i="26"/>
  <c r="AL841" i="26"/>
  <c r="BI841" i="26" s="1"/>
  <c r="L841" i="26"/>
  <c r="K841" i="26"/>
  <c r="J841" i="26"/>
  <c r="I841" i="26"/>
  <c r="H841" i="26"/>
  <c r="BJ840" i="26"/>
  <c r="BH840" i="26"/>
  <c r="BB840" i="26"/>
  <c r="BC840" i="26" s="1"/>
  <c r="AZ840" i="26"/>
  <c r="AY840" i="26"/>
  <c r="BA840" i="26" s="1"/>
  <c r="AX840" i="26"/>
  <c r="BL840" i="26" s="1"/>
  <c r="AS840" i="26"/>
  <c r="AO840" i="26"/>
  <c r="AL840" i="26"/>
  <c r="BI840" i="26" s="1"/>
  <c r="L840" i="26"/>
  <c r="K840" i="26"/>
  <c r="J840" i="26"/>
  <c r="I840" i="26"/>
  <c r="H840" i="26"/>
  <c r="AY839" i="26"/>
  <c r="AX839" i="26"/>
  <c r="BJ839" i="26" s="1"/>
  <c r="AS839" i="26"/>
  <c r="AO839" i="26"/>
  <c r="AL839" i="26"/>
  <c r="BI839" i="26" s="1"/>
  <c r="L839" i="26"/>
  <c r="K839" i="26"/>
  <c r="J839" i="26"/>
  <c r="I839" i="26"/>
  <c r="H839" i="26"/>
  <c r="BH838" i="26"/>
  <c r="BD838" i="26"/>
  <c r="BB838" i="26"/>
  <c r="BC838" i="26" s="1"/>
  <c r="AZ838" i="26"/>
  <c r="AY838" i="26"/>
  <c r="AX838" i="26"/>
  <c r="BL838" i="26" s="1"/>
  <c r="AS838" i="26"/>
  <c r="AO838" i="26"/>
  <c r="AL838" i="26"/>
  <c r="BI838" i="26" s="1"/>
  <c r="L838" i="26"/>
  <c r="K838" i="26"/>
  <c r="J838" i="26"/>
  <c r="I838" i="26"/>
  <c r="H838" i="26"/>
  <c r="BI837" i="26"/>
  <c r="BE837" i="26"/>
  <c r="BF837" i="26" s="1"/>
  <c r="AY837" i="26"/>
  <c r="AX837" i="26"/>
  <c r="BJ837" i="26" s="1"/>
  <c r="AS837" i="26"/>
  <c r="AO837" i="26"/>
  <c r="AL837" i="26"/>
  <c r="L837" i="26"/>
  <c r="K837" i="26"/>
  <c r="J837" i="26"/>
  <c r="I837" i="26"/>
  <c r="H837" i="26"/>
  <c r="BJ836" i="26"/>
  <c r="BH836" i="26"/>
  <c r="BB836" i="26"/>
  <c r="BC836" i="26" s="1"/>
  <c r="AZ836" i="26"/>
  <c r="AY836" i="26"/>
  <c r="BA836" i="26" s="1"/>
  <c r="AX836" i="26"/>
  <c r="BL836" i="26" s="1"/>
  <c r="AS836" i="26"/>
  <c r="AO836" i="26"/>
  <c r="AL836" i="26"/>
  <c r="BI836" i="26" s="1"/>
  <c r="L836" i="26"/>
  <c r="K836" i="26"/>
  <c r="J836" i="26"/>
  <c r="I836" i="26"/>
  <c r="H836" i="26"/>
  <c r="AY835" i="26"/>
  <c r="AX835" i="26"/>
  <c r="BJ835" i="26" s="1"/>
  <c r="AS835" i="26"/>
  <c r="AO835" i="26"/>
  <c r="AL835" i="26"/>
  <c r="BI835" i="26" s="1"/>
  <c r="L835" i="26"/>
  <c r="K835" i="26"/>
  <c r="J835" i="26"/>
  <c r="I835" i="26"/>
  <c r="H835" i="26"/>
  <c r="BH834" i="26"/>
  <c r="BD834" i="26"/>
  <c r="BB834" i="26"/>
  <c r="BC834" i="26" s="1"/>
  <c r="AZ834" i="26"/>
  <c r="AY834" i="26"/>
  <c r="AX834" i="26"/>
  <c r="BL834" i="26" s="1"/>
  <c r="AS834" i="26"/>
  <c r="AO834" i="26"/>
  <c r="AL834" i="26"/>
  <c r="BI834" i="26" s="1"/>
  <c r="L834" i="26"/>
  <c r="K834" i="26"/>
  <c r="J834" i="26"/>
  <c r="I834" i="26"/>
  <c r="H834" i="26"/>
  <c r="BI833" i="26"/>
  <c r="BE833" i="26"/>
  <c r="BF833" i="26" s="1"/>
  <c r="AY833" i="26"/>
  <c r="AX833" i="26"/>
  <c r="BJ833" i="26" s="1"/>
  <c r="AS833" i="26"/>
  <c r="AO833" i="26"/>
  <c r="AL833" i="26"/>
  <c r="L833" i="26"/>
  <c r="K833" i="26"/>
  <c r="J833" i="26"/>
  <c r="I833" i="26"/>
  <c r="H833" i="26"/>
  <c r="BJ832" i="26"/>
  <c r="BH832" i="26"/>
  <c r="BB832" i="26"/>
  <c r="BC832" i="26" s="1"/>
  <c r="AZ832" i="26"/>
  <c r="AY832" i="26"/>
  <c r="BA832" i="26" s="1"/>
  <c r="AX832" i="26"/>
  <c r="BL832" i="26" s="1"/>
  <c r="AS832" i="26"/>
  <c r="AO832" i="26"/>
  <c r="AL832" i="26"/>
  <c r="BI832" i="26" s="1"/>
  <c r="L832" i="26"/>
  <c r="K832" i="26"/>
  <c r="J832" i="26"/>
  <c r="I832" i="26"/>
  <c r="H832" i="26"/>
  <c r="AY831" i="26"/>
  <c r="AX831" i="26"/>
  <c r="BJ831" i="26" s="1"/>
  <c r="AS831" i="26"/>
  <c r="AO831" i="26"/>
  <c r="AL831" i="26"/>
  <c r="BI831" i="26" s="1"/>
  <c r="L831" i="26"/>
  <c r="K831" i="26"/>
  <c r="J831" i="26"/>
  <c r="I831" i="26"/>
  <c r="H831" i="26"/>
  <c r="BH830" i="26"/>
  <c r="BB830" i="26"/>
  <c r="BD830" i="26" s="1"/>
  <c r="AZ830" i="26"/>
  <c r="AY830" i="26"/>
  <c r="BA830" i="26" s="1"/>
  <c r="AX830" i="26"/>
  <c r="BL830" i="26" s="1"/>
  <c r="AS830" i="26"/>
  <c r="AO830" i="26"/>
  <c r="AL830" i="26"/>
  <c r="BI830" i="26" s="1"/>
  <c r="L830" i="26"/>
  <c r="K830" i="26"/>
  <c r="J830" i="26"/>
  <c r="I830" i="26"/>
  <c r="H830" i="26"/>
  <c r="AY829" i="26"/>
  <c r="AX829" i="26"/>
  <c r="BJ829" i="26" s="1"/>
  <c r="AS829" i="26"/>
  <c r="BH829" i="26" s="1"/>
  <c r="AO829" i="26"/>
  <c r="AL829" i="26"/>
  <c r="BI829" i="26" s="1"/>
  <c r="L829" i="26"/>
  <c r="K829" i="26"/>
  <c r="J829" i="26"/>
  <c r="I829" i="26"/>
  <c r="H829" i="26"/>
  <c r="BH828" i="26"/>
  <c r="BB828" i="26"/>
  <c r="BD828" i="26" s="1"/>
  <c r="AZ828" i="26"/>
  <c r="AY828" i="26"/>
  <c r="BA828" i="26" s="1"/>
  <c r="AX828" i="26"/>
  <c r="BL828" i="26" s="1"/>
  <c r="AS828" i="26"/>
  <c r="AO828" i="26"/>
  <c r="AL828" i="26"/>
  <c r="BI828" i="26" s="1"/>
  <c r="L828" i="26"/>
  <c r="K828" i="26"/>
  <c r="J828" i="26"/>
  <c r="I828" i="26"/>
  <c r="H828" i="26"/>
  <c r="AY827" i="26"/>
  <c r="AX827" i="26"/>
  <c r="BJ827" i="26" s="1"/>
  <c r="AS827" i="26"/>
  <c r="BH827" i="26" s="1"/>
  <c r="AO827" i="26"/>
  <c r="AL827" i="26"/>
  <c r="BI827" i="26" s="1"/>
  <c r="L827" i="26"/>
  <c r="K827" i="26"/>
  <c r="J827" i="26"/>
  <c r="I827" i="26"/>
  <c r="H827" i="26"/>
  <c r="BH826" i="26"/>
  <c r="BB826" i="26"/>
  <c r="BD826" i="26" s="1"/>
  <c r="AZ826" i="26"/>
  <c r="AY826" i="26"/>
  <c r="BA826" i="26" s="1"/>
  <c r="AX826" i="26"/>
  <c r="BL826" i="26" s="1"/>
  <c r="AS826" i="26"/>
  <c r="AO826" i="26"/>
  <c r="AL826" i="26"/>
  <c r="BI826" i="26" s="1"/>
  <c r="L826" i="26"/>
  <c r="K826" i="26"/>
  <c r="J826" i="26"/>
  <c r="I826" i="26"/>
  <c r="H826" i="26"/>
  <c r="AY825" i="26"/>
  <c r="AX825" i="26"/>
  <c r="BJ825" i="26" s="1"/>
  <c r="AS825" i="26"/>
  <c r="BH825" i="26" s="1"/>
  <c r="AO825" i="26"/>
  <c r="AL825" i="26"/>
  <c r="BI825" i="26" s="1"/>
  <c r="L825" i="26"/>
  <c r="K825" i="26"/>
  <c r="J825" i="26"/>
  <c r="I825" i="26"/>
  <c r="H825" i="26"/>
  <c r="BH824" i="26"/>
  <c r="BB824" i="26"/>
  <c r="BD824" i="26" s="1"/>
  <c r="AZ824" i="26"/>
  <c r="AY824" i="26"/>
  <c r="BA824" i="26" s="1"/>
  <c r="AX824" i="26"/>
  <c r="BL824" i="26" s="1"/>
  <c r="AS824" i="26"/>
  <c r="AO824" i="26"/>
  <c r="AL824" i="26"/>
  <c r="BI824" i="26" s="1"/>
  <c r="L824" i="26"/>
  <c r="K824" i="26"/>
  <c r="J824" i="26"/>
  <c r="I824" i="26"/>
  <c r="H824" i="26"/>
  <c r="AY823" i="26"/>
  <c r="AX823" i="26"/>
  <c r="BJ823" i="26" s="1"/>
  <c r="AS823" i="26"/>
  <c r="BH823" i="26" s="1"/>
  <c r="AO823" i="26"/>
  <c r="AL823" i="26"/>
  <c r="BI823" i="26" s="1"/>
  <c r="L823" i="26"/>
  <c r="K823" i="26"/>
  <c r="J823" i="26"/>
  <c r="I823" i="26"/>
  <c r="H823" i="26"/>
  <c r="BH822" i="26"/>
  <c r="BB822" i="26"/>
  <c r="BD822" i="26" s="1"/>
  <c r="AZ822" i="26"/>
  <c r="AY822" i="26"/>
  <c r="BA822" i="26" s="1"/>
  <c r="AX822" i="26"/>
  <c r="BL822" i="26" s="1"/>
  <c r="AS822" i="26"/>
  <c r="AO822" i="26"/>
  <c r="AL822" i="26"/>
  <c r="BI822" i="26" s="1"/>
  <c r="L822" i="26"/>
  <c r="K822" i="26"/>
  <c r="J822" i="26"/>
  <c r="I822" i="26"/>
  <c r="H822" i="26"/>
  <c r="AY821" i="26"/>
  <c r="AX821" i="26"/>
  <c r="BJ821" i="26" s="1"/>
  <c r="AS821" i="26"/>
  <c r="BH821" i="26" s="1"/>
  <c r="AO821" i="26"/>
  <c r="AL821" i="26"/>
  <c r="BI821" i="26" s="1"/>
  <c r="L821" i="26"/>
  <c r="K821" i="26"/>
  <c r="J821" i="26"/>
  <c r="I821" i="26"/>
  <c r="H821" i="26"/>
  <c r="BH820" i="26"/>
  <c r="BB820" i="26"/>
  <c r="BD820" i="26" s="1"/>
  <c r="AZ820" i="26"/>
  <c r="AY820" i="26"/>
  <c r="BA820" i="26" s="1"/>
  <c r="AX820" i="26"/>
  <c r="BL820" i="26" s="1"/>
  <c r="AS820" i="26"/>
  <c r="AO820" i="26"/>
  <c r="AL820" i="26"/>
  <c r="BI820" i="26" s="1"/>
  <c r="L820" i="26"/>
  <c r="K820" i="26"/>
  <c r="J820" i="26"/>
  <c r="I820" i="26"/>
  <c r="H820" i="26"/>
  <c r="AY819" i="26"/>
  <c r="AX819" i="26"/>
  <c r="BJ819" i="26" s="1"/>
  <c r="AS819" i="26"/>
  <c r="BH819" i="26" s="1"/>
  <c r="AO819" i="26"/>
  <c r="AL819" i="26"/>
  <c r="BI819" i="26" s="1"/>
  <c r="L819" i="26"/>
  <c r="K819" i="26"/>
  <c r="J819" i="26"/>
  <c r="I819" i="26"/>
  <c r="H819" i="26"/>
  <c r="BH818" i="26"/>
  <c r="BB818" i="26"/>
  <c r="BD818" i="26" s="1"/>
  <c r="AZ818" i="26"/>
  <c r="AY818" i="26"/>
  <c r="BA818" i="26" s="1"/>
  <c r="AX818" i="26"/>
  <c r="BL818" i="26" s="1"/>
  <c r="AS818" i="26"/>
  <c r="AO818" i="26"/>
  <c r="AL818" i="26"/>
  <c r="BI818" i="26" s="1"/>
  <c r="L818" i="26"/>
  <c r="K818" i="26"/>
  <c r="J818" i="26"/>
  <c r="I818" i="26"/>
  <c r="H818" i="26"/>
  <c r="AY817" i="26"/>
  <c r="AX817" i="26"/>
  <c r="BJ817" i="26" s="1"/>
  <c r="AS817" i="26"/>
  <c r="BH817" i="26" s="1"/>
  <c r="AO817" i="26"/>
  <c r="AL817" i="26"/>
  <c r="BI817" i="26" s="1"/>
  <c r="L817" i="26"/>
  <c r="K817" i="26"/>
  <c r="J817" i="26"/>
  <c r="I817" i="26"/>
  <c r="H817" i="26"/>
  <c r="BH816" i="26"/>
  <c r="BB816" i="26"/>
  <c r="BD816" i="26" s="1"/>
  <c r="AZ816" i="26"/>
  <c r="AY816" i="26"/>
  <c r="BA816" i="26" s="1"/>
  <c r="AX816" i="26"/>
  <c r="BL816" i="26" s="1"/>
  <c r="AS816" i="26"/>
  <c r="AO816" i="26"/>
  <c r="AL816" i="26"/>
  <c r="BI816" i="26" s="1"/>
  <c r="L816" i="26"/>
  <c r="K816" i="26"/>
  <c r="J816" i="26"/>
  <c r="I816" i="26"/>
  <c r="H816" i="26"/>
  <c r="AY815" i="26"/>
  <c r="AX815" i="26"/>
  <c r="BJ815" i="26" s="1"/>
  <c r="AS815" i="26"/>
  <c r="BH815" i="26" s="1"/>
  <c r="AO815" i="26"/>
  <c r="AL815" i="26"/>
  <c r="BI815" i="26" s="1"/>
  <c r="L815" i="26"/>
  <c r="K815" i="26"/>
  <c r="J815" i="26"/>
  <c r="I815" i="26"/>
  <c r="H815" i="26"/>
  <c r="BH814" i="26"/>
  <c r="BB814" i="26"/>
  <c r="BD814" i="26" s="1"/>
  <c r="AZ814" i="26"/>
  <c r="AY814" i="26"/>
  <c r="BA814" i="26" s="1"/>
  <c r="AX814" i="26"/>
  <c r="BL814" i="26" s="1"/>
  <c r="AS814" i="26"/>
  <c r="AO814" i="26"/>
  <c r="AL814" i="26"/>
  <c r="BI814" i="26" s="1"/>
  <c r="L814" i="26"/>
  <c r="K814" i="26"/>
  <c r="J814" i="26"/>
  <c r="I814" i="26"/>
  <c r="H814" i="26"/>
  <c r="AY813" i="26"/>
  <c r="AX813" i="26"/>
  <c r="BJ813" i="26" s="1"/>
  <c r="AS813" i="26"/>
  <c r="BH813" i="26" s="1"/>
  <c r="AO813" i="26"/>
  <c r="AL813" i="26"/>
  <c r="BI813" i="26" s="1"/>
  <c r="L813" i="26"/>
  <c r="K813" i="26"/>
  <c r="J813" i="26"/>
  <c r="I813" i="26"/>
  <c r="H813" i="26"/>
  <c r="BH812" i="26"/>
  <c r="BB812" i="26"/>
  <c r="BD812" i="26" s="1"/>
  <c r="AZ812" i="26"/>
  <c r="AY812" i="26"/>
  <c r="BA812" i="26" s="1"/>
  <c r="AX812" i="26"/>
  <c r="BL812" i="26" s="1"/>
  <c r="AS812" i="26"/>
  <c r="AO812" i="26"/>
  <c r="AL812" i="26"/>
  <c r="BI812" i="26" s="1"/>
  <c r="L812" i="26"/>
  <c r="K812" i="26"/>
  <c r="J812" i="26"/>
  <c r="I812" i="26"/>
  <c r="H812" i="26"/>
  <c r="AY811" i="26"/>
  <c r="AX811" i="26"/>
  <c r="BJ811" i="26" s="1"/>
  <c r="AS811" i="26"/>
  <c r="BH811" i="26" s="1"/>
  <c r="AO811" i="26"/>
  <c r="AL811" i="26"/>
  <c r="BI811" i="26" s="1"/>
  <c r="L811" i="26"/>
  <c r="K811" i="26"/>
  <c r="J811" i="26"/>
  <c r="I811" i="26"/>
  <c r="H811" i="26"/>
  <c r="BH810" i="26"/>
  <c r="BB810" i="26"/>
  <c r="BD810" i="26" s="1"/>
  <c r="AZ810" i="26"/>
  <c r="AY810" i="26"/>
  <c r="BA810" i="26" s="1"/>
  <c r="AX810" i="26"/>
  <c r="BL810" i="26" s="1"/>
  <c r="AS810" i="26"/>
  <c r="AO810" i="26"/>
  <c r="AL810" i="26"/>
  <c r="BI810" i="26" s="1"/>
  <c r="L810" i="26"/>
  <c r="K810" i="26"/>
  <c r="J810" i="26"/>
  <c r="I810" i="26"/>
  <c r="H810" i="26"/>
  <c r="AY809" i="26"/>
  <c r="AX809" i="26"/>
  <c r="BJ809" i="26" s="1"/>
  <c r="AS809" i="26"/>
  <c r="BH809" i="26" s="1"/>
  <c r="AO809" i="26"/>
  <c r="AL809" i="26"/>
  <c r="BI809" i="26" s="1"/>
  <c r="L809" i="26"/>
  <c r="K809" i="26"/>
  <c r="J809" i="26"/>
  <c r="I809" i="26"/>
  <c r="H809" i="26"/>
  <c r="BH808" i="26"/>
  <c r="BB808" i="26"/>
  <c r="BD808" i="26" s="1"/>
  <c r="AZ808" i="26"/>
  <c r="AY808" i="26"/>
  <c r="BA808" i="26" s="1"/>
  <c r="AX808" i="26"/>
  <c r="BL808" i="26" s="1"/>
  <c r="AS808" i="26"/>
  <c r="AO808" i="26"/>
  <c r="AL808" i="26"/>
  <c r="BI808" i="26" s="1"/>
  <c r="L808" i="26"/>
  <c r="K808" i="26"/>
  <c r="J808" i="26"/>
  <c r="I808" i="26"/>
  <c r="H808" i="26"/>
  <c r="AY807" i="26"/>
  <c r="AX807" i="26"/>
  <c r="BJ807" i="26" s="1"/>
  <c r="AS807" i="26"/>
  <c r="BH807" i="26" s="1"/>
  <c r="AO807" i="26"/>
  <c r="AL807" i="26"/>
  <c r="BI807" i="26" s="1"/>
  <c r="L807" i="26"/>
  <c r="K807" i="26"/>
  <c r="J807" i="26"/>
  <c r="I807" i="26"/>
  <c r="H807" i="26"/>
  <c r="BH806" i="26"/>
  <c r="BB806" i="26"/>
  <c r="BD806" i="26" s="1"/>
  <c r="AZ806" i="26"/>
  <c r="AY806" i="26"/>
  <c r="BA806" i="26" s="1"/>
  <c r="AX806" i="26"/>
  <c r="BL806" i="26" s="1"/>
  <c r="AS806" i="26"/>
  <c r="AO806" i="26"/>
  <c r="AL806" i="26"/>
  <c r="BI806" i="26" s="1"/>
  <c r="L806" i="26"/>
  <c r="K806" i="26"/>
  <c r="J806" i="26"/>
  <c r="I806" i="26"/>
  <c r="H806" i="26"/>
  <c r="AY805" i="26"/>
  <c r="AX805" i="26"/>
  <c r="BJ805" i="26" s="1"/>
  <c r="AS805" i="26"/>
  <c r="BH805" i="26" s="1"/>
  <c r="AO805" i="26"/>
  <c r="AL805" i="26"/>
  <c r="BI805" i="26" s="1"/>
  <c r="L805" i="26"/>
  <c r="K805" i="26"/>
  <c r="J805" i="26"/>
  <c r="I805" i="26"/>
  <c r="H805" i="26"/>
  <c r="BH804" i="26"/>
  <c r="BB804" i="26"/>
  <c r="BD804" i="26" s="1"/>
  <c r="AZ804" i="26"/>
  <c r="AY804" i="26"/>
  <c r="BA804" i="26" s="1"/>
  <c r="AX804" i="26"/>
  <c r="BL804" i="26" s="1"/>
  <c r="AS804" i="26"/>
  <c r="AO804" i="26"/>
  <c r="AL804" i="26"/>
  <c r="BI804" i="26" s="1"/>
  <c r="L804" i="26"/>
  <c r="K804" i="26"/>
  <c r="J804" i="26"/>
  <c r="I804" i="26"/>
  <c r="H804" i="26"/>
  <c r="AY803" i="26"/>
  <c r="AX803" i="26"/>
  <c r="BJ803" i="26" s="1"/>
  <c r="AS803" i="26"/>
  <c r="BH803" i="26" s="1"/>
  <c r="AO803" i="26"/>
  <c r="AL803" i="26"/>
  <c r="BI803" i="26" s="1"/>
  <c r="L803" i="26"/>
  <c r="K803" i="26"/>
  <c r="J803" i="26"/>
  <c r="I803" i="26"/>
  <c r="H803" i="26"/>
  <c r="BH802" i="26"/>
  <c r="BB802" i="26"/>
  <c r="BD802" i="26" s="1"/>
  <c r="AZ802" i="26"/>
  <c r="AY802" i="26"/>
  <c r="BA802" i="26" s="1"/>
  <c r="AX802" i="26"/>
  <c r="BL802" i="26" s="1"/>
  <c r="AS802" i="26"/>
  <c r="AO802" i="26"/>
  <c r="AL802" i="26"/>
  <c r="BI802" i="26" s="1"/>
  <c r="L802" i="26"/>
  <c r="K802" i="26"/>
  <c r="J802" i="26"/>
  <c r="I802" i="26"/>
  <c r="H802" i="26"/>
  <c r="AY801" i="26"/>
  <c r="AX801" i="26"/>
  <c r="BJ801" i="26" s="1"/>
  <c r="AS801" i="26"/>
  <c r="BH801" i="26" s="1"/>
  <c r="AO801" i="26"/>
  <c r="AL801" i="26"/>
  <c r="BI801" i="26" s="1"/>
  <c r="L801" i="26"/>
  <c r="K801" i="26"/>
  <c r="J801" i="26"/>
  <c r="I801" i="26"/>
  <c r="H801" i="26"/>
  <c r="BH800" i="26"/>
  <c r="BB800" i="26"/>
  <c r="BD800" i="26" s="1"/>
  <c r="AZ800" i="26"/>
  <c r="AY800" i="26"/>
  <c r="BA800" i="26" s="1"/>
  <c r="AX800" i="26"/>
  <c r="BL800" i="26" s="1"/>
  <c r="AS800" i="26"/>
  <c r="AO800" i="26"/>
  <c r="AL800" i="26"/>
  <c r="BI800" i="26" s="1"/>
  <c r="L800" i="26"/>
  <c r="K800" i="26"/>
  <c r="J800" i="26"/>
  <c r="I800" i="26"/>
  <c r="H800" i="26"/>
  <c r="AY799" i="26"/>
  <c r="AX799" i="26"/>
  <c r="BJ799" i="26" s="1"/>
  <c r="AS799" i="26"/>
  <c r="BH799" i="26" s="1"/>
  <c r="AO799" i="26"/>
  <c r="AL799" i="26"/>
  <c r="BI799" i="26" s="1"/>
  <c r="L799" i="26"/>
  <c r="K799" i="26"/>
  <c r="J799" i="26"/>
  <c r="I799" i="26"/>
  <c r="H799" i="26"/>
  <c r="BH798" i="26"/>
  <c r="BB798" i="26"/>
  <c r="BD798" i="26" s="1"/>
  <c r="AZ798" i="26"/>
  <c r="AY798" i="26"/>
  <c r="BA798" i="26" s="1"/>
  <c r="AX798" i="26"/>
  <c r="BL798" i="26" s="1"/>
  <c r="AS798" i="26"/>
  <c r="AO798" i="26"/>
  <c r="AL798" i="26"/>
  <c r="BI798" i="26" s="1"/>
  <c r="L798" i="26"/>
  <c r="K798" i="26"/>
  <c r="J798" i="26"/>
  <c r="I798" i="26"/>
  <c r="H798" i="26"/>
  <c r="AY797" i="26"/>
  <c r="AX797" i="26"/>
  <c r="BJ797" i="26" s="1"/>
  <c r="AS797" i="26"/>
  <c r="BH797" i="26" s="1"/>
  <c r="AO797" i="26"/>
  <c r="AL797" i="26"/>
  <c r="BI797" i="26" s="1"/>
  <c r="L797" i="26"/>
  <c r="K797" i="26"/>
  <c r="J797" i="26"/>
  <c r="I797" i="26"/>
  <c r="H797" i="26"/>
  <c r="BH796" i="26"/>
  <c r="BB796" i="26"/>
  <c r="BD796" i="26" s="1"/>
  <c r="AZ796" i="26"/>
  <c r="AY796" i="26"/>
  <c r="BA796" i="26" s="1"/>
  <c r="AX796" i="26"/>
  <c r="BL796" i="26" s="1"/>
  <c r="AS796" i="26"/>
  <c r="AO796" i="26"/>
  <c r="AL796" i="26"/>
  <c r="BI796" i="26" s="1"/>
  <c r="L796" i="26"/>
  <c r="K796" i="26"/>
  <c r="J796" i="26"/>
  <c r="I796" i="26"/>
  <c r="H796" i="26"/>
  <c r="AY795" i="26"/>
  <c r="AX795" i="26"/>
  <c r="BJ795" i="26" s="1"/>
  <c r="AS795" i="26"/>
  <c r="BH795" i="26" s="1"/>
  <c r="AO795" i="26"/>
  <c r="AL795" i="26"/>
  <c r="BI795" i="26" s="1"/>
  <c r="L795" i="26"/>
  <c r="K795" i="26"/>
  <c r="J795" i="26"/>
  <c r="I795" i="26"/>
  <c r="H795" i="26"/>
  <c r="BH794" i="26"/>
  <c r="BB794" i="26"/>
  <c r="BD794" i="26" s="1"/>
  <c r="AZ794" i="26"/>
  <c r="AY794" i="26"/>
  <c r="BA794" i="26" s="1"/>
  <c r="AX794" i="26"/>
  <c r="BL794" i="26" s="1"/>
  <c r="AS794" i="26"/>
  <c r="AO794" i="26"/>
  <c r="AL794" i="26"/>
  <c r="BI794" i="26" s="1"/>
  <c r="L794" i="26"/>
  <c r="K794" i="26"/>
  <c r="J794" i="26"/>
  <c r="I794" i="26"/>
  <c r="H794" i="26"/>
  <c r="AY793" i="26"/>
  <c r="AX793" i="26"/>
  <c r="BJ793" i="26" s="1"/>
  <c r="AS793" i="26"/>
  <c r="BH793" i="26" s="1"/>
  <c r="AO793" i="26"/>
  <c r="AL793" i="26"/>
  <c r="BI793" i="26" s="1"/>
  <c r="L793" i="26"/>
  <c r="K793" i="26"/>
  <c r="J793" i="26"/>
  <c r="I793" i="26"/>
  <c r="H793" i="26"/>
  <c r="BH792" i="26"/>
  <c r="BB792" i="26"/>
  <c r="BD792" i="26" s="1"/>
  <c r="AZ792" i="26"/>
  <c r="AY792" i="26"/>
  <c r="BA792" i="26" s="1"/>
  <c r="AX792" i="26"/>
  <c r="BL792" i="26" s="1"/>
  <c r="AS792" i="26"/>
  <c r="AO792" i="26"/>
  <c r="AL792" i="26"/>
  <c r="BI792" i="26" s="1"/>
  <c r="L792" i="26"/>
  <c r="K792" i="26"/>
  <c r="J792" i="26"/>
  <c r="I792" i="26"/>
  <c r="H792" i="26"/>
  <c r="AY791" i="26"/>
  <c r="AX791" i="26"/>
  <c r="BJ791" i="26" s="1"/>
  <c r="AS791" i="26"/>
  <c r="BH791" i="26" s="1"/>
  <c r="AO791" i="26"/>
  <c r="AL791" i="26"/>
  <c r="BI791" i="26" s="1"/>
  <c r="L791" i="26"/>
  <c r="K791" i="26"/>
  <c r="J791" i="26"/>
  <c r="I791" i="26"/>
  <c r="H791" i="26"/>
  <c r="BH790" i="26"/>
  <c r="BB790" i="26"/>
  <c r="BD790" i="26" s="1"/>
  <c r="AZ790" i="26"/>
  <c r="AY790" i="26"/>
  <c r="BA790" i="26" s="1"/>
  <c r="AX790" i="26"/>
  <c r="BL790" i="26" s="1"/>
  <c r="AS790" i="26"/>
  <c r="AO790" i="26"/>
  <c r="AL790" i="26"/>
  <c r="BI790" i="26" s="1"/>
  <c r="L790" i="26"/>
  <c r="K790" i="26"/>
  <c r="J790" i="26"/>
  <c r="I790" i="26"/>
  <c r="H790" i="26"/>
  <c r="AY789" i="26"/>
  <c r="AX789" i="26"/>
  <c r="BJ789" i="26" s="1"/>
  <c r="AS789" i="26"/>
  <c r="BH789" i="26" s="1"/>
  <c r="AO789" i="26"/>
  <c r="AL789" i="26"/>
  <c r="BI789" i="26" s="1"/>
  <c r="L789" i="26"/>
  <c r="K789" i="26"/>
  <c r="J789" i="26"/>
  <c r="I789" i="26"/>
  <c r="H789" i="26"/>
  <c r="BH788" i="26"/>
  <c r="BB788" i="26"/>
  <c r="BD788" i="26" s="1"/>
  <c r="AZ788" i="26"/>
  <c r="AY788" i="26"/>
  <c r="BA788" i="26" s="1"/>
  <c r="AX788" i="26"/>
  <c r="BL788" i="26" s="1"/>
  <c r="AS788" i="26"/>
  <c r="AO788" i="26"/>
  <c r="AL788" i="26"/>
  <c r="BI788" i="26" s="1"/>
  <c r="L788" i="26"/>
  <c r="K788" i="26"/>
  <c r="J788" i="26"/>
  <c r="I788" i="26"/>
  <c r="H788" i="26"/>
  <c r="AY787" i="26"/>
  <c r="AX787" i="26"/>
  <c r="BJ787" i="26" s="1"/>
  <c r="AS787" i="26"/>
  <c r="BH787" i="26" s="1"/>
  <c r="AO787" i="26"/>
  <c r="AL787" i="26"/>
  <c r="BI787" i="26" s="1"/>
  <c r="L787" i="26"/>
  <c r="K787" i="26"/>
  <c r="J787" i="26"/>
  <c r="I787" i="26"/>
  <c r="H787" i="26"/>
  <c r="BH786" i="26"/>
  <c r="BB786" i="26"/>
  <c r="BD786" i="26" s="1"/>
  <c r="AZ786" i="26"/>
  <c r="AY786" i="26"/>
  <c r="BA786" i="26" s="1"/>
  <c r="AX786" i="26"/>
  <c r="BL786" i="26" s="1"/>
  <c r="AS786" i="26"/>
  <c r="AO786" i="26"/>
  <c r="AL786" i="26"/>
  <c r="BI786" i="26" s="1"/>
  <c r="L786" i="26"/>
  <c r="K786" i="26"/>
  <c r="J786" i="26"/>
  <c r="I786" i="26"/>
  <c r="H786" i="26"/>
  <c r="AY785" i="26"/>
  <c r="AX785" i="26"/>
  <c r="BJ785" i="26" s="1"/>
  <c r="AS785" i="26"/>
  <c r="BH785" i="26" s="1"/>
  <c r="AO785" i="26"/>
  <c r="AL785" i="26"/>
  <c r="BI785" i="26" s="1"/>
  <c r="L785" i="26"/>
  <c r="K785" i="26"/>
  <c r="J785" i="26"/>
  <c r="I785" i="26"/>
  <c r="H785" i="26"/>
  <c r="BH784" i="26"/>
  <c r="BB784" i="26"/>
  <c r="BD784" i="26" s="1"/>
  <c r="AZ784" i="26"/>
  <c r="AY784" i="26"/>
  <c r="BA784" i="26" s="1"/>
  <c r="AX784" i="26"/>
  <c r="BL784" i="26" s="1"/>
  <c r="AS784" i="26"/>
  <c r="AO784" i="26"/>
  <c r="AL784" i="26"/>
  <c r="BI784" i="26" s="1"/>
  <c r="L784" i="26"/>
  <c r="K784" i="26"/>
  <c r="J784" i="26"/>
  <c r="I784" i="26"/>
  <c r="H784" i="26"/>
  <c r="AY783" i="26"/>
  <c r="AX783" i="26"/>
  <c r="BJ783" i="26" s="1"/>
  <c r="AS783" i="26"/>
  <c r="BH783" i="26" s="1"/>
  <c r="AO783" i="26"/>
  <c r="AL783" i="26"/>
  <c r="BI783" i="26" s="1"/>
  <c r="L783" i="26"/>
  <c r="K783" i="26"/>
  <c r="J783" i="26"/>
  <c r="I783" i="26"/>
  <c r="H783" i="26"/>
  <c r="BH782" i="26"/>
  <c r="BB782" i="26"/>
  <c r="BD782" i="26" s="1"/>
  <c r="AZ782" i="26"/>
  <c r="AY782" i="26"/>
  <c r="BA782" i="26" s="1"/>
  <c r="AX782" i="26"/>
  <c r="BL782" i="26" s="1"/>
  <c r="AS782" i="26"/>
  <c r="AO782" i="26"/>
  <c r="AL782" i="26"/>
  <c r="BI782" i="26" s="1"/>
  <c r="L782" i="26"/>
  <c r="K782" i="26"/>
  <c r="J782" i="26"/>
  <c r="I782" i="26"/>
  <c r="H782" i="26"/>
  <c r="AY781" i="26"/>
  <c r="AX781" i="26"/>
  <c r="BJ781" i="26" s="1"/>
  <c r="AS781" i="26"/>
  <c r="BH781" i="26" s="1"/>
  <c r="AO781" i="26"/>
  <c r="AL781" i="26"/>
  <c r="BI781" i="26" s="1"/>
  <c r="L781" i="26"/>
  <c r="K781" i="26"/>
  <c r="J781" i="26"/>
  <c r="I781" i="26"/>
  <c r="H781" i="26"/>
  <c r="BH780" i="26"/>
  <c r="BB780" i="26"/>
  <c r="BD780" i="26" s="1"/>
  <c r="AZ780" i="26"/>
  <c r="AY780" i="26"/>
  <c r="BA780" i="26" s="1"/>
  <c r="AX780" i="26"/>
  <c r="BL780" i="26" s="1"/>
  <c r="AS780" i="26"/>
  <c r="AO780" i="26"/>
  <c r="AL780" i="26"/>
  <c r="BI780" i="26" s="1"/>
  <c r="L780" i="26"/>
  <c r="K780" i="26"/>
  <c r="J780" i="26"/>
  <c r="I780" i="26"/>
  <c r="H780" i="26"/>
  <c r="AY779" i="26"/>
  <c r="AX779" i="26"/>
  <c r="BJ779" i="26" s="1"/>
  <c r="AS779" i="26"/>
  <c r="BH779" i="26" s="1"/>
  <c r="AO779" i="26"/>
  <c r="AL779" i="26"/>
  <c r="BI779" i="26" s="1"/>
  <c r="L779" i="26"/>
  <c r="K779" i="26"/>
  <c r="J779" i="26"/>
  <c r="I779" i="26"/>
  <c r="H779" i="26"/>
  <c r="BH778" i="26"/>
  <c r="BB778" i="26"/>
  <c r="BD778" i="26" s="1"/>
  <c r="AZ778" i="26"/>
  <c r="AY778" i="26"/>
  <c r="BA778" i="26" s="1"/>
  <c r="AX778" i="26"/>
  <c r="BL778" i="26" s="1"/>
  <c r="AS778" i="26"/>
  <c r="AO778" i="26"/>
  <c r="AL778" i="26"/>
  <c r="BI778" i="26" s="1"/>
  <c r="L778" i="26"/>
  <c r="K778" i="26"/>
  <c r="J778" i="26"/>
  <c r="I778" i="26"/>
  <c r="H778" i="26"/>
  <c r="AY777" i="26"/>
  <c r="AX777" i="26"/>
  <c r="BJ777" i="26" s="1"/>
  <c r="AS777" i="26"/>
  <c r="BH777" i="26" s="1"/>
  <c r="AO777" i="26"/>
  <c r="AL777" i="26"/>
  <c r="BI777" i="26" s="1"/>
  <c r="L777" i="26"/>
  <c r="K777" i="26"/>
  <c r="J777" i="26"/>
  <c r="I777" i="26"/>
  <c r="H777" i="26"/>
  <c r="BH776" i="26"/>
  <c r="BB776" i="26"/>
  <c r="BD776" i="26" s="1"/>
  <c r="AZ776" i="26"/>
  <c r="AY776" i="26"/>
  <c r="BA776" i="26" s="1"/>
  <c r="AX776" i="26"/>
  <c r="BL776" i="26" s="1"/>
  <c r="AS776" i="26"/>
  <c r="AO776" i="26"/>
  <c r="AL776" i="26"/>
  <c r="BI776" i="26" s="1"/>
  <c r="L776" i="26"/>
  <c r="K776" i="26"/>
  <c r="J776" i="26"/>
  <c r="I776" i="26"/>
  <c r="H776" i="26"/>
  <c r="AY775" i="26"/>
  <c r="AX775" i="26"/>
  <c r="BJ775" i="26" s="1"/>
  <c r="AS775" i="26"/>
  <c r="BH775" i="26" s="1"/>
  <c r="AO775" i="26"/>
  <c r="AL775" i="26"/>
  <c r="BI775" i="26" s="1"/>
  <c r="L775" i="26"/>
  <c r="K775" i="26"/>
  <c r="J775" i="26"/>
  <c r="I775" i="26"/>
  <c r="H775" i="26"/>
  <c r="BH774" i="26"/>
  <c r="BB774" i="26"/>
  <c r="BD774" i="26" s="1"/>
  <c r="AZ774" i="26"/>
  <c r="AY774" i="26"/>
  <c r="BA774" i="26" s="1"/>
  <c r="AX774" i="26"/>
  <c r="BL774" i="26" s="1"/>
  <c r="AS774" i="26"/>
  <c r="AO774" i="26"/>
  <c r="AL774" i="26"/>
  <c r="BI774" i="26" s="1"/>
  <c r="L774" i="26"/>
  <c r="K774" i="26"/>
  <c r="J774" i="26"/>
  <c r="I774" i="26"/>
  <c r="H774" i="26"/>
  <c r="AY773" i="26"/>
  <c r="AX773" i="26"/>
  <c r="BJ773" i="26" s="1"/>
  <c r="AS773" i="26"/>
  <c r="BH773" i="26" s="1"/>
  <c r="AO773" i="26"/>
  <c r="AL773" i="26"/>
  <c r="BI773" i="26" s="1"/>
  <c r="L773" i="26"/>
  <c r="K773" i="26"/>
  <c r="J773" i="26"/>
  <c r="I773" i="26"/>
  <c r="H773" i="26"/>
  <c r="BH772" i="26"/>
  <c r="BB772" i="26"/>
  <c r="BD772" i="26" s="1"/>
  <c r="AZ772" i="26"/>
  <c r="AY772" i="26"/>
  <c r="BA772" i="26" s="1"/>
  <c r="AX772" i="26"/>
  <c r="BL772" i="26" s="1"/>
  <c r="AS772" i="26"/>
  <c r="AO772" i="26"/>
  <c r="AL772" i="26"/>
  <c r="BI772" i="26" s="1"/>
  <c r="L772" i="26"/>
  <c r="K772" i="26"/>
  <c r="J772" i="26"/>
  <c r="I772" i="26"/>
  <c r="H772" i="26"/>
  <c r="AY771" i="26"/>
  <c r="AX771" i="26"/>
  <c r="BJ771" i="26" s="1"/>
  <c r="AS771" i="26"/>
  <c r="BH771" i="26" s="1"/>
  <c r="AO771" i="26"/>
  <c r="AL771" i="26"/>
  <c r="BI771" i="26" s="1"/>
  <c r="L771" i="26"/>
  <c r="K771" i="26"/>
  <c r="J771" i="26"/>
  <c r="I771" i="26"/>
  <c r="H771" i="26"/>
  <c r="BH770" i="26"/>
  <c r="BB770" i="26"/>
  <c r="BD770" i="26" s="1"/>
  <c r="AZ770" i="26"/>
  <c r="AY770" i="26"/>
  <c r="BA770" i="26" s="1"/>
  <c r="AX770" i="26"/>
  <c r="BL770" i="26" s="1"/>
  <c r="AS770" i="26"/>
  <c r="AO770" i="26"/>
  <c r="AL770" i="26"/>
  <c r="BI770" i="26" s="1"/>
  <c r="L770" i="26"/>
  <c r="K770" i="26"/>
  <c r="J770" i="26"/>
  <c r="I770" i="26"/>
  <c r="H770" i="26"/>
  <c r="AY769" i="26"/>
  <c r="AX769" i="26"/>
  <c r="BJ769" i="26" s="1"/>
  <c r="AS769" i="26"/>
  <c r="BH769" i="26" s="1"/>
  <c r="AO769" i="26"/>
  <c r="AL769" i="26"/>
  <c r="BI769" i="26" s="1"/>
  <c r="L769" i="26"/>
  <c r="K769" i="26"/>
  <c r="J769" i="26"/>
  <c r="I769" i="26"/>
  <c r="H769" i="26"/>
  <c r="BH768" i="26"/>
  <c r="BB768" i="26"/>
  <c r="BD768" i="26" s="1"/>
  <c r="AZ768" i="26"/>
  <c r="AY768" i="26"/>
  <c r="BA768" i="26" s="1"/>
  <c r="AX768" i="26"/>
  <c r="BL768" i="26" s="1"/>
  <c r="AS768" i="26"/>
  <c r="AO768" i="26"/>
  <c r="AL768" i="26"/>
  <c r="BI768" i="26" s="1"/>
  <c r="L768" i="26"/>
  <c r="K768" i="26"/>
  <c r="J768" i="26"/>
  <c r="I768" i="26"/>
  <c r="H768" i="26"/>
  <c r="AY767" i="26"/>
  <c r="AX767" i="26"/>
  <c r="BJ767" i="26" s="1"/>
  <c r="AS767" i="26"/>
  <c r="BH767" i="26" s="1"/>
  <c r="AO767" i="26"/>
  <c r="AL767" i="26"/>
  <c r="BI767" i="26" s="1"/>
  <c r="L767" i="26"/>
  <c r="K767" i="26"/>
  <c r="J767" i="26"/>
  <c r="I767" i="26"/>
  <c r="H767" i="26"/>
  <c r="BH766" i="26"/>
  <c r="BB766" i="26"/>
  <c r="BD766" i="26" s="1"/>
  <c r="AZ766" i="26"/>
  <c r="AY766" i="26"/>
  <c r="BA766" i="26" s="1"/>
  <c r="AX766" i="26"/>
  <c r="BL766" i="26" s="1"/>
  <c r="AS766" i="26"/>
  <c r="AO766" i="26"/>
  <c r="AL766" i="26"/>
  <c r="BI766" i="26" s="1"/>
  <c r="L766" i="26"/>
  <c r="K766" i="26"/>
  <c r="J766" i="26"/>
  <c r="I766" i="26"/>
  <c r="H766" i="26"/>
  <c r="AY765" i="26"/>
  <c r="AX765" i="26"/>
  <c r="BJ765" i="26" s="1"/>
  <c r="AS765" i="26"/>
  <c r="BH765" i="26" s="1"/>
  <c r="AO765" i="26"/>
  <c r="AL765" i="26"/>
  <c r="BI765" i="26" s="1"/>
  <c r="L765" i="26"/>
  <c r="K765" i="26"/>
  <c r="J765" i="26"/>
  <c r="I765" i="26"/>
  <c r="H765" i="26"/>
  <c r="BH764" i="26"/>
  <c r="BB764" i="26"/>
  <c r="BD764" i="26" s="1"/>
  <c r="AZ764" i="26"/>
  <c r="AY764" i="26"/>
  <c r="BA764" i="26" s="1"/>
  <c r="AX764" i="26"/>
  <c r="BL764" i="26" s="1"/>
  <c r="AS764" i="26"/>
  <c r="AO764" i="26"/>
  <c r="AL764" i="26"/>
  <c r="BI764" i="26" s="1"/>
  <c r="L764" i="26"/>
  <c r="K764" i="26"/>
  <c r="J764" i="26"/>
  <c r="I764" i="26"/>
  <c r="H764" i="26"/>
  <c r="AY763" i="26"/>
  <c r="AX763" i="26"/>
  <c r="BJ763" i="26" s="1"/>
  <c r="AS763" i="26"/>
  <c r="BH763" i="26" s="1"/>
  <c r="AO763" i="26"/>
  <c r="AL763" i="26"/>
  <c r="BI763" i="26" s="1"/>
  <c r="L763" i="26"/>
  <c r="K763" i="26"/>
  <c r="J763" i="26"/>
  <c r="I763" i="26"/>
  <c r="H763" i="26"/>
  <c r="BH762" i="26"/>
  <c r="BB762" i="26"/>
  <c r="BD762" i="26" s="1"/>
  <c r="AZ762" i="26"/>
  <c r="AY762" i="26"/>
  <c r="BA762" i="26" s="1"/>
  <c r="AX762" i="26"/>
  <c r="BL762" i="26" s="1"/>
  <c r="AS762" i="26"/>
  <c r="AO762" i="26"/>
  <c r="AL762" i="26"/>
  <c r="BI762" i="26" s="1"/>
  <c r="L762" i="26"/>
  <c r="K762" i="26"/>
  <c r="J762" i="26"/>
  <c r="I762" i="26"/>
  <c r="H762" i="26"/>
  <c r="AY761" i="26"/>
  <c r="AX761" i="26"/>
  <c r="BJ761" i="26" s="1"/>
  <c r="AS761" i="26"/>
  <c r="BH761" i="26" s="1"/>
  <c r="AO761" i="26"/>
  <c r="AL761" i="26"/>
  <c r="BI761" i="26" s="1"/>
  <c r="L761" i="26"/>
  <c r="K761" i="26"/>
  <c r="J761" i="26"/>
  <c r="I761" i="26"/>
  <c r="H761" i="26"/>
  <c r="BH760" i="26"/>
  <c r="BB760" i="26"/>
  <c r="BD760" i="26" s="1"/>
  <c r="AZ760" i="26"/>
  <c r="AY760" i="26"/>
  <c r="BA760" i="26" s="1"/>
  <c r="AX760" i="26"/>
  <c r="BL760" i="26" s="1"/>
  <c r="AS760" i="26"/>
  <c r="AO760" i="26"/>
  <c r="AL760" i="26"/>
  <c r="BI760" i="26" s="1"/>
  <c r="L760" i="26"/>
  <c r="K760" i="26"/>
  <c r="J760" i="26"/>
  <c r="I760" i="26"/>
  <c r="H760" i="26"/>
  <c r="AY759" i="26"/>
  <c r="AX759" i="26"/>
  <c r="BJ759" i="26" s="1"/>
  <c r="AS759" i="26"/>
  <c r="BH759" i="26" s="1"/>
  <c r="AO759" i="26"/>
  <c r="AL759" i="26"/>
  <c r="BI759" i="26" s="1"/>
  <c r="L759" i="26"/>
  <c r="K759" i="26"/>
  <c r="J759" i="26"/>
  <c r="I759" i="26"/>
  <c r="H759" i="26"/>
  <c r="BH758" i="26"/>
  <c r="BB758" i="26"/>
  <c r="BD758" i="26" s="1"/>
  <c r="AZ758" i="26"/>
  <c r="AY758" i="26"/>
  <c r="BA758" i="26" s="1"/>
  <c r="AX758" i="26"/>
  <c r="BL758" i="26" s="1"/>
  <c r="AS758" i="26"/>
  <c r="AO758" i="26"/>
  <c r="AL758" i="26"/>
  <c r="BI758" i="26" s="1"/>
  <c r="L758" i="26"/>
  <c r="K758" i="26"/>
  <c r="J758" i="26"/>
  <c r="I758" i="26"/>
  <c r="H758" i="26"/>
  <c r="AY757" i="26"/>
  <c r="AX757" i="26"/>
  <c r="BJ757" i="26" s="1"/>
  <c r="AS757" i="26"/>
  <c r="BH757" i="26" s="1"/>
  <c r="AO757" i="26"/>
  <c r="AL757" i="26"/>
  <c r="BI757" i="26" s="1"/>
  <c r="L757" i="26"/>
  <c r="K757" i="26"/>
  <c r="J757" i="26"/>
  <c r="I757" i="26"/>
  <c r="H757" i="26"/>
  <c r="BH756" i="26"/>
  <c r="BB756" i="26"/>
  <c r="BD756" i="26" s="1"/>
  <c r="AZ756" i="26"/>
  <c r="AY756" i="26"/>
  <c r="BA756" i="26" s="1"/>
  <c r="AX756" i="26"/>
  <c r="BL756" i="26" s="1"/>
  <c r="AS756" i="26"/>
  <c r="AO756" i="26"/>
  <c r="AL756" i="26"/>
  <c r="BI756" i="26" s="1"/>
  <c r="L756" i="26"/>
  <c r="K756" i="26"/>
  <c r="J756" i="26"/>
  <c r="I756" i="26"/>
  <c r="H756" i="26"/>
  <c r="AY755" i="26"/>
  <c r="AX755" i="26"/>
  <c r="BJ755" i="26" s="1"/>
  <c r="AS755" i="26"/>
  <c r="BH755" i="26" s="1"/>
  <c r="AO755" i="26"/>
  <c r="AL755" i="26"/>
  <c r="BI755" i="26" s="1"/>
  <c r="L755" i="26"/>
  <c r="K755" i="26"/>
  <c r="J755" i="26"/>
  <c r="I755" i="26"/>
  <c r="H755" i="26"/>
  <c r="BH754" i="26"/>
  <c r="BB754" i="26"/>
  <c r="BD754" i="26" s="1"/>
  <c r="AZ754" i="26"/>
  <c r="AY754" i="26"/>
  <c r="BA754" i="26" s="1"/>
  <c r="AX754" i="26"/>
  <c r="BL754" i="26" s="1"/>
  <c r="AS754" i="26"/>
  <c r="AO754" i="26"/>
  <c r="AL754" i="26"/>
  <c r="BI754" i="26" s="1"/>
  <c r="L754" i="26"/>
  <c r="K754" i="26"/>
  <c r="J754" i="26"/>
  <c r="I754" i="26"/>
  <c r="H754" i="26"/>
  <c r="AY753" i="26"/>
  <c r="AX753" i="26"/>
  <c r="BJ753" i="26" s="1"/>
  <c r="AS753" i="26"/>
  <c r="AO753" i="26"/>
  <c r="AL753" i="26"/>
  <c r="L753" i="26"/>
  <c r="K753" i="26"/>
  <c r="J753" i="26"/>
  <c r="I753" i="26"/>
  <c r="H753" i="26"/>
  <c r="BJ752" i="26"/>
  <c r="BH752" i="26"/>
  <c r="BB752" i="26"/>
  <c r="BC752" i="26" s="1"/>
  <c r="AZ752" i="26"/>
  <c r="AY752" i="26"/>
  <c r="BA752" i="26" s="1"/>
  <c r="AX752" i="26"/>
  <c r="BL752" i="26" s="1"/>
  <c r="AS752" i="26"/>
  <c r="AO752" i="26"/>
  <c r="AL752" i="26"/>
  <c r="BI752" i="26" s="1"/>
  <c r="L752" i="26"/>
  <c r="K752" i="26"/>
  <c r="J752" i="26"/>
  <c r="I752" i="26"/>
  <c r="H752" i="26"/>
  <c r="AY751" i="26"/>
  <c r="AX751" i="26"/>
  <c r="BJ751" i="26" s="1"/>
  <c r="AS751" i="26"/>
  <c r="AO751" i="26"/>
  <c r="AL751" i="26"/>
  <c r="BI751" i="26" s="1"/>
  <c r="L751" i="26"/>
  <c r="K751" i="26"/>
  <c r="J751" i="26"/>
  <c r="I751" i="26"/>
  <c r="H751" i="26"/>
  <c r="BH750" i="26"/>
  <c r="BD750" i="26"/>
  <c r="BB750" i="26"/>
  <c r="BC750" i="26" s="1"/>
  <c r="AZ750" i="26"/>
  <c r="AY750" i="26"/>
  <c r="AX750" i="26"/>
  <c r="BL750" i="26" s="1"/>
  <c r="AS750" i="26"/>
  <c r="AO750" i="26"/>
  <c r="AL750" i="26"/>
  <c r="BI750" i="26" s="1"/>
  <c r="L750" i="26"/>
  <c r="K750" i="26"/>
  <c r="J750" i="26"/>
  <c r="I750" i="26"/>
  <c r="H750" i="26"/>
  <c r="BI749" i="26"/>
  <c r="BE749" i="26"/>
  <c r="BF749" i="26" s="1"/>
  <c r="AY749" i="26"/>
  <c r="AX749" i="26"/>
  <c r="BJ749" i="26" s="1"/>
  <c r="AS749" i="26"/>
  <c r="AO749" i="26"/>
  <c r="AL749" i="26"/>
  <c r="L749" i="26"/>
  <c r="K749" i="26"/>
  <c r="J749" i="26"/>
  <c r="I749" i="26"/>
  <c r="H749" i="26"/>
  <c r="BJ748" i="26"/>
  <c r="BH748" i="26"/>
  <c r="BB748" i="26"/>
  <c r="BC748" i="26" s="1"/>
  <c r="AZ748" i="26"/>
  <c r="AY748" i="26"/>
  <c r="BA748" i="26" s="1"/>
  <c r="AX748" i="26"/>
  <c r="BL748" i="26" s="1"/>
  <c r="AS748" i="26"/>
  <c r="AO748" i="26"/>
  <c r="AL748" i="26"/>
  <c r="BI748" i="26" s="1"/>
  <c r="L748" i="26"/>
  <c r="K748" i="26"/>
  <c r="J748" i="26"/>
  <c r="I748" i="26"/>
  <c r="H748" i="26"/>
  <c r="AY747" i="26"/>
  <c r="AX747" i="26"/>
  <c r="BJ747" i="26" s="1"/>
  <c r="AS747" i="26"/>
  <c r="AO747" i="26"/>
  <c r="AL747" i="26"/>
  <c r="BI747" i="26" s="1"/>
  <c r="L747" i="26"/>
  <c r="K747" i="26"/>
  <c r="J747" i="26"/>
  <c r="I747" i="26"/>
  <c r="H747" i="26"/>
  <c r="BH746" i="26"/>
  <c r="BD746" i="26"/>
  <c r="BB746" i="26"/>
  <c r="BC746" i="26" s="1"/>
  <c r="AZ746" i="26"/>
  <c r="AY746" i="26"/>
  <c r="AX746" i="26"/>
  <c r="BL746" i="26" s="1"/>
  <c r="AS746" i="26"/>
  <c r="AO746" i="26"/>
  <c r="AL746" i="26"/>
  <c r="BI746" i="26" s="1"/>
  <c r="L746" i="26"/>
  <c r="K746" i="26"/>
  <c r="J746" i="26"/>
  <c r="I746" i="26"/>
  <c r="H746" i="26"/>
  <c r="BI745" i="26"/>
  <c r="BE745" i="26"/>
  <c r="BF745" i="26" s="1"/>
  <c r="AY745" i="26"/>
  <c r="AX745" i="26"/>
  <c r="BJ745" i="26" s="1"/>
  <c r="AS745" i="26"/>
  <c r="AO745" i="26"/>
  <c r="AL745" i="26"/>
  <c r="L745" i="26"/>
  <c r="K745" i="26"/>
  <c r="J745" i="26"/>
  <c r="I745" i="26"/>
  <c r="H745" i="26"/>
  <c r="BJ744" i="26"/>
  <c r="BH744" i="26"/>
  <c r="BB744" i="26"/>
  <c r="BC744" i="26" s="1"/>
  <c r="AZ744" i="26"/>
  <c r="AY744" i="26"/>
  <c r="BA744" i="26" s="1"/>
  <c r="AX744" i="26"/>
  <c r="BL744" i="26" s="1"/>
  <c r="AS744" i="26"/>
  <c r="AO744" i="26"/>
  <c r="AL744" i="26"/>
  <c r="BI744" i="26" s="1"/>
  <c r="L744" i="26"/>
  <c r="K744" i="26"/>
  <c r="J744" i="26"/>
  <c r="I744" i="26"/>
  <c r="H744" i="26"/>
  <c r="AY743" i="26"/>
  <c r="AX743" i="26"/>
  <c r="BJ743" i="26" s="1"/>
  <c r="AS743" i="26"/>
  <c r="AO743" i="26"/>
  <c r="AL743" i="26"/>
  <c r="BI743" i="26" s="1"/>
  <c r="L743" i="26"/>
  <c r="K743" i="26"/>
  <c r="J743" i="26"/>
  <c r="I743" i="26"/>
  <c r="H743" i="26"/>
  <c r="BH742" i="26"/>
  <c r="BD742" i="26"/>
  <c r="BB742" i="26"/>
  <c r="BC742" i="26" s="1"/>
  <c r="AZ742" i="26"/>
  <c r="AY742" i="26"/>
  <c r="AX742" i="26"/>
  <c r="BL742" i="26" s="1"/>
  <c r="AS742" i="26"/>
  <c r="AO742" i="26"/>
  <c r="AL742" i="26"/>
  <c r="BI742" i="26" s="1"/>
  <c r="L742" i="26"/>
  <c r="K742" i="26"/>
  <c r="J742" i="26"/>
  <c r="I742" i="26"/>
  <c r="H742" i="26"/>
  <c r="BI741" i="26"/>
  <c r="BE741" i="26"/>
  <c r="BF741" i="26" s="1"/>
  <c r="AY741" i="26"/>
  <c r="AX741" i="26"/>
  <c r="BJ741" i="26" s="1"/>
  <c r="AS741" i="26"/>
  <c r="AO741" i="26"/>
  <c r="AL741" i="26"/>
  <c r="L741" i="26"/>
  <c r="K741" i="26"/>
  <c r="J741" i="26"/>
  <c r="I741" i="26"/>
  <c r="H741" i="26"/>
  <c r="BJ740" i="26"/>
  <c r="BH740" i="26"/>
  <c r="BB740" i="26"/>
  <c r="BC740" i="26" s="1"/>
  <c r="AZ740" i="26"/>
  <c r="AY740" i="26"/>
  <c r="BA740" i="26" s="1"/>
  <c r="AX740" i="26"/>
  <c r="BL740" i="26" s="1"/>
  <c r="AS740" i="26"/>
  <c r="AO740" i="26"/>
  <c r="AL740" i="26"/>
  <c r="BI740" i="26" s="1"/>
  <c r="L740" i="26"/>
  <c r="K740" i="26"/>
  <c r="J740" i="26"/>
  <c r="I740" i="26"/>
  <c r="H740" i="26"/>
  <c r="AY739" i="26"/>
  <c r="AX739" i="26"/>
  <c r="BJ739" i="26" s="1"/>
  <c r="AS739" i="26"/>
  <c r="AO739" i="26"/>
  <c r="AL739" i="26"/>
  <c r="BI739" i="26" s="1"/>
  <c r="L739" i="26"/>
  <c r="K739" i="26"/>
  <c r="J739" i="26"/>
  <c r="I739" i="26"/>
  <c r="H739" i="26"/>
  <c r="BH738" i="26"/>
  <c r="BD738" i="26"/>
  <c r="BB738" i="26"/>
  <c r="BC738" i="26" s="1"/>
  <c r="AZ738" i="26"/>
  <c r="AY738" i="26"/>
  <c r="AX738" i="26"/>
  <c r="BL738" i="26" s="1"/>
  <c r="AS738" i="26"/>
  <c r="AO738" i="26"/>
  <c r="AL738" i="26"/>
  <c r="BI738" i="26" s="1"/>
  <c r="L738" i="26"/>
  <c r="K738" i="26"/>
  <c r="J738" i="26"/>
  <c r="I738" i="26"/>
  <c r="H738" i="26"/>
  <c r="BI737" i="26"/>
  <c r="BE737" i="26"/>
  <c r="BF737" i="26" s="1"/>
  <c r="AY737" i="26"/>
  <c r="AX737" i="26"/>
  <c r="BJ737" i="26" s="1"/>
  <c r="AS737" i="26"/>
  <c r="AO737" i="26"/>
  <c r="AL737" i="26"/>
  <c r="L737" i="26"/>
  <c r="K737" i="26"/>
  <c r="J737" i="26"/>
  <c r="I737" i="26"/>
  <c r="H737" i="26"/>
  <c r="BJ736" i="26"/>
  <c r="BH736" i="26"/>
  <c r="BB736" i="26"/>
  <c r="BC736" i="26" s="1"/>
  <c r="AZ736" i="26"/>
  <c r="AY736" i="26"/>
  <c r="BA736" i="26" s="1"/>
  <c r="AX736" i="26"/>
  <c r="BL736" i="26" s="1"/>
  <c r="AS736" i="26"/>
  <c r="AO736" i="26"/>
  <c r="AL736" i="26"/>
  <c r="BI736" i="26" s="1"/>
  <c r="L736" i="26"/>
  <c r="K736" i="26"/>
  <c r="J736" i="26"/>
  <c r="I736" i="26"/>
  <c r="H736" i="26"/>
  <c r="AZ735" i="26"/>
  <c r="AY735" i="26"/>
  <c r="BA735" i="26" s="1"/>
  <c r="AX735" i="26"/>
  <c r="BJ735" i="26" s="1"/>
  <c r="AS735" i="26"/>
  <c r="BH735" i="26" s="1"/>
  <c r="AO735" i="26"/>
  <c r="AL735" i="26"/>
  <c r="L735" i="26"/>
  <c r="K735" i="26"/>
  <c r="J735" i="26"/>
  <c r="I735" i="26"/>
  <c r="H735" i="26"/>
  <c r="AY734" i="26"/>
  <c r="AX734" i="26"/>
  <c r="BJ734" i="26" s="1"/>
  <c r="AS734" i="26"/>
  <c r="BH734" i="26" s="1"/>
  <c r="AO734" i="26"/>
  <c r="AL734" i="26"/>
  <c r="BI734" i="26" s="1"/>
  <c r="L734" i="26"/>
  <c r="K734" i="26"/>
  <c r="J734" i="26"/>
  <c r="I734" i="26"/>
  <c r="H734" i="26"/>
  <c r="BH733" i="26"/>
  <c r="BB733" i="26"/>
  <c r="BD733" i="26" s="1"/>
  <c r="AZ733" i="26"/>
  <c r="AY733" i="26"/>
  <c r="BA733" i="26" s="1"/>
  <c r="AX733" i="26"/>
  <c r="BL733" i="26" s="1"/>
  <c r="AS733" i="26"/>
  <c r="AO733" i="26"/>
  <c r="AL733" i="26"/>
  <c r="BI733" i="26" s="1"/>
  <c r="L733" i="26"/>
  <c r="K733" i="26"/>
  <c r="J733" i="26"/>
  <c r="I733" i="26"/>
  <c r="H733" i="26"/>
  <c r="AY732" i="26"/>
  <c r="AX732" i="26"/>
  <c r="BJ732" i="26" s="1"/>
  <c r="AS732" i="26"/>
  <c r="BH732" i="26" s="1"/>
  <c r="AO732" i="26"/>
  <c r="AL732" i="26"/>
  <c r="BI732" i="26" s="1"/>
  <c r="L732" i="26"/>
  <c r="K732" i="26"/>
  <c r="J732" i="26"/>
  <c r="I732" i="26"/>
  <c r="H732" i="26"/>
  <c r="BH731" i="26"/>
  <c r="BB731" i="26"/>
  <c r="BD731" i="26" s="1"/>
  <c r="AZ731" i="26"/>
  <c r="AY731" i="26"/>
  <c r="BA731" i="26" s="1"/>
  <c r="AX731" i="26"/>
  <c r="BL731" i="26" s="1"/>
  <c r="AS731" i="26"/>
  <c r="AO731" i="26"/>
  <c r="AL731" i="26"/>
  <c r="BI731" i="26" s="1"/>
  <c r="L731" i="26"/>
  <c r="K731" i="26"/>
  <c r="J731" i="26"/>
  <c r="I731" i="26"/>
  <c r="H731" i="26"/>
  <c r="AY730" i="26"/>
  <c r="AX730" i="26"/>
  <c r="BJ730" i="26" s="1"/>
  <c r="AS730" i="26"/>
  <c r="BH730" i="26" s="1"/>
  <c r="AO730" i="26"/>
  <c r="AL730" i="26"/>
  <c r="BI730" i="26" s="1"/>
  <c r="L730" i="26"/>
  <c r="K730" i="26"/>
  <c r="J730" i="26"/>
  <c r="I730" i="26"/>
  <c r="H730" i="26"/>
  <c r="BH729" i="26"/>
  <c r="BB729" i="26"/>
  <c r="BD729" i="26" s="1"/>
  <c r="AZ729" i="26"/>
  <c r="AY729" i="26"/>
  <c r="BA729" i="26" s="1"/>
  <c r="AX729" i="26"/>
  <c r="BL729" i="26" s="1"/>
  <c r="AS729" i="26"/>
  <c r="AO729" i="26"/>
  <c r="AL729" i="26"/>
  <c r="BI729" i="26" s="1"/>
  <c r="L729" i="26"/>
  <c r="K729" i="26"/>
  <c r="J729" i="26"/>
  <c r="I729" i="26"/>
  <c r="H729" i="26"/>
  <c r="AY728" i="26"/>
  <c r="AX728" i="26"/>
  <c r="BJ728" i="26" s="1"/>
  <c r="AS728" i="26"/>
  <c r="BH728" i="26" s="1"/>
  <c r="AO728" i="26"/>
  <c r="AL728" i="26"/>
  <c r="BI728" i="26" s="1"/>
  <c r="L728" i="26"/>
  <c r="K728" i="26"/>
  <c r="J728" i="26"/>
  <c r="I728" i="26"/>
  <c r="H728" i="26"/>
  <c r="BH727" i="26"/>
  <c r="BB727" i="26"/>
  <c r="BD727" i="26" s="1"/>
  <c r="AZ727" i="26"/>
  <c r="AY727" i="26"/>
  <c r="BA727" i="26" s="1"/>
  <c r="AX727" i="26"/>
  <c r="BL727" i="26" s="1"/>
  <c r="AS727" i="26"/>
  <c r="AO727" i="26"/>
  <c r="AL727" i="26"/>
  <c r="BI727" i="26" s="1"/>
  <c r="L727" i="26"/>
  <c r="K727" i="26"/>
  <c r="J727" i="26"/>
  <c r="I727" i="26"/>
  <c r="H727" i="26"/>
  <c r="AY726" i="26"/>
  <c r="AX726" i="26"/>
  <c r="BJ726" i="26" s="1"/>
  <c r="AS726" i="26"/>
  <c r="BH726" i="26" s="1"/>
  <c r="AO726" i="26"/>
  <c r="AL726" i="26"/>
  <c r="BI726" i="26" s="1"/>
  <c r="L726" i="26"/>
  <c r="K726" i="26"/>
  <c r="J726" i="26"/>
  <c r="I726" i="26"/>
  <c r="H726" i="26"/>
  <c r="BH725" i="26"/>
  <c r="BB725" i="26"/>
  <c r="BD725" i="26" s="1"/>
  <c r="AZ725" i="26"/>
  <c r="AY725" i="26"/>
  <c r="BA725" i="26" s="1"/>
  <c r="AX725" i="26"/>
  <c r="BL725" i="26" s="1"/>
  <c r="AS725" i="26"/>
  <c r="AO725" i="26"/>
  <c r="AL725" i="26"/>
  <c r="BI725" i="26" s="1"/>
  <c r="L725" i="26"/>
  <c r="K725" i="26"/>
  <c r="J725" i="26"/>
  <c r="I725" i="26"/>
  <c r="H725" i="26"/>
  <c r="AY724" i="26"/>
  <c r="AX724" i="26"/>
  <c r="BJ724" i="26" s="1"/>
  <c r="AS724" i="26"/>
  <c r="BH724" i="26" s="1"/>
  <c r="AO724" i="26"/>
  <c r="AL724" i="26"/>
  <c r="BI724" i="26" s="1"/>
  <c r="L724" i="26"/>
  <c r="K724" i="26"/>
  <c r="J724" i="26"/>
  <c r="I724" i="26"/>
  <c r="H724" i="26"/>
  <c r="BH723" i="26"/>
  <c r="BB723" i="26"/>
  <c r="BD723" i="26" s="1"/>
  <c r="AZ723" i="26"/>
  <c r="AY723" i="26"/>
  <c r="BA723" i="26" s="1"/>
  <c r="AX723" i="26"/>
  <c r="BL723" i="26" s="1"/>
  <c r="AS723" i="26"/>
  <c r="AO723" i="26"/>
  <c r="AL723" i="26"/>
  <c r="BI723" i="26" s="1"/>
  <c r="L723" i="26"/>
  <c r="K723" i="26"/>
  <c r="J723" i="26"/>
  <c r="I723" i="26"/>
  <c r="H723" i="26"/>
  <c r="AY722" i="26"/>
  <c r="AX722" i="26"/>
  <c r="BJ722" i="26" s="1"/>
  <c r="AS722" i="26"/>
  <c r="BH722" i="26" s="1"/>
  <c r="AO722" i="26"/>
  <c r="AL722" i="26"/>
  <c r="BI722" i="26" s="1"/>
  <c r="L722" i="26"/>
  <c r="K722" i="26"/>
  <c r="J722" i="26"/>
  <c r="I722" i="26"/>
  <c r="H722" i="26"/>
  <c r="BH721" i="26"/>
  <c r="BB721" i="26"/>
  <c r="BD721" i="26" s="1"/>
  <c r="AZ721" i="26"/>
  <c r="AY721" i="26"/>
  <c r="BA721" i="26" s="1"/>
  <c r="AX721" i="26"/>
  <c r="BL721" i="26" s="1"/>
  <c r="AS721" i="26"/>
  <c r="AO721" i="26"/>
  <c r="AL721" i="26"/>
  <c r="BI721" i="26" s="1"/>
  <c r="L721" i="26"/>
  <c r="K721" i="26"/>
  <c r="J721" i="26"/>
  <c r="I721" i="26"/>
  <c r="H721" i="26"/>
  <c r="AY720" i="26"/>
  <c r="AX720" i="26"/>
  <c r="BJ720" i="26" s="1"/>
  <c r="AS720" i="26"/>
  <c r="BH720" i="26" s="1"/>
  <c r="AO720" i="26"/>
  <c r="AL720" i="26"/>
  <c r="BI720" i="26" s="1"/>
  <c r="L720" i="26"/>
  <c r="K720" i="26"/>
  <c r="J720" i="26"/>
  <c r="I720" i="26"/>
  <c r="H720" i="26"/>
  <c r="BH719" i="26"/>
  <c r="BB719" i="26"/>
  <c r="BD719" i="26" s="1"/>
  <c r="AZ719" i="26"/>
  <c r="AY719" i="26"/>
  <c r="BA719" i="26" s="1"/>
  <c r="AX719" i="26"/>
  <c r="BL719" i="26" s="1"/>
  <c r="AS719" i="26"/>
  <c r="AO719" i="26"/>
  <c r="AL719" i="26"/>
  <c r="BI719" i="26" s="1"/>
  <c r="L719" i="26"/>
  <c r="K719" i="26"/>
  <c r="J719" i="26"/>
  <c r="I719" i="26"/>
  <c r="H719" i="26"/>
  <c r="AY718" i="26"/>
  <c r="AX718" i="26"/>
  <c r="BJ718" i="26" s="1"/>
  <c r="AS718" i="26"/>
  <c r="BH718" i="26" s="1"/>
  <c r="AO718" i="26"/>
  <c r="AL718" i="26"/>
  <c r="BI718" i="26" s="1"/>
  <c r="L718" i="26"/>
  <c r="K718" i="26"/>
  <c r="J718" i="26"/>
  <c r="I718" i="26"/>
  <c r="H718" i="26"/>
  <c r="BH717" i="26"/>
  <c r="BB717" i="26"/>
  <c r="BD717" i="26" s="1"/>
  <c r="AZ717" i="26"/>
  <c r="AY717" i="26"/>
  <c r="BA717" i="26" s="1"/>
  <c r="AX717" i="26"/>
  <c r="BL717" i="26" s="1"/>
  <c r="AS717" i="26"/>
  <c r="AO717" i="26"/>
  <c r="AL717" i="26"/>
  <c r="BI717" i="26" s="1"/>
  <c r="L717" i="26"/>
  <c r="K717" i="26"/>
  <c r="J717" i="26"/>
  <c r="I717" i="26"/>
  <c r="H717" i="26"/>
  <c r="AY716" i="26"/>
  <c r="AX716" i="26"/>
  <c r="BJ716" i="26" s="1"/>
  <c r="AS716" i="26"/>
  <c r="BH716" i="26" s="1"/>
  <c r="AO716" i="26"/>
  <c r="AL716" i="26"/>
  <c r="BI716" i="26" s="1"/>
  <c r="L716" i="26"/>
  <c r="K716" i="26"/>
  <c r="J716" i="26"/>
  <c r="I716" i="26"/>
  <c r="H716" i="26"/>
  <c r="BH715" i="26"/>
  <c r="BB715" i="26"/>
  <c r="BD715" i="26" s="1"/>
  <c r="AZ715" i="26"/>
  <c r="AY715" i="26"/>
  <c r="BA715" i="26" s="1"/>
  <c r="AX715" i="26"/>
  <c r="BL715" i="26" s="1"/>
  <c r="AS715" i="26"/>
  <c r="AO715" i="26"/>
  <c r="AL715" i="26"/>
  <c r="BI715" i="26" s="1"/>
  <c r="L715" i="26"/>
  <c r="K715" i="26"/>
  <c r="J715" i="26"/>
  <c r="I715" i="26"/>
  <c r="H715" i="26"/>
  <c r="AY714" i="26"/>
  <c r="AX714" i="26"/>
  <c r="BJ714" i="26" s="1"/>
  <c r="AS714" i="26"/>
  <c r="BH714" i="26" s="1"/>
  <c r="AO714" i="26"/>
  <c r="AL714" i="26"/>
  <c r="BI714" i="26" s="1"/>
  <c r="L714" i="26"/>
  <c r="K714" i="26"/>
  <c r="J714" i="26"/>
  <c r="I714" i="26"/>
  <c r="H714" i="26"/>
  <c r="BH713" i="26"/>
  <c r="BB713" i="26"/>
  <c r="BD713" i="26" s="1"/>
  <c r="AZ713" i="26"/>
  <c r="AY713" i="26"/>
  <c r="BA713" i="26" s="1"/>
  <c r="AX713" i="26"/>
  <c r="BL713" i="26" s="1"/>
  <c r="AS713" i="26"/>
  <c r="AO713" i="26"/>
  <c r="AL713" i="26"/>
  <c r="BI713" i="26" s="1"/>
  <c r="L713" i="26"/>
  <c r="K713" i="26"/>
  <c r="J713" i="26"/>
  <c r="I713" i="26"/>
  <c r="H713" i="26"/>
  <c r="AY712" i="26"/>
  <c r="AX712" i="26"/>
  <c r="BJ712" i="26" s="1"/>
  <c r="AS712" i="26"/>
  <c r="BH712" i="26" s="1"/>
  <c r="AO712" i="26"/>
  <c r="AL712" i="26"/>
  <c r="BI712" i="26" s="1"/>
  <c r="L712" i="26"/>
  <c r="K712" i="26"/>
  <c r="J712" i="26"/>
  <c r="I712" i="26"/>
  <c r="H712" i="26"/>
  <c r="BH711" i="26"/>
  <c r="BB711" i="26"/>
  <c r="BD711" i="26" s="1"/>
  <c r="AZ711" i="26"/>
  <c r="AY711" i="26"/>
  <c r="BA711" i="26" s="1"/>
  <c r="AX711" i="26"/>
  <c r="BL711" i="26" s="1"/>
  <c r="AS711" i="26"/>
  <c r="AO711" i="26"/>
  <c r="AL711" i="26"/>
  <c r="BI711" i="26" s="1"/>
  <c r="L711" i="26"/>
  <c r="K711" i="26"/>
  <c r="J711" i="26"/>
  <c r="I711" i="26"/>
  <c r="H711" i="26"/>
  <c r="AY710" i="26"/>
  <c r="AX710" i="26"/>
  <c r="BJ710" i="26" s="1"/>
  <c r="AS710" i="26"/>
  <c r="BH710" i="26" s="1"/>
  <c r="AO710" i="26"/>
  <c r="AL710" i="26"/>
  <c r="BI710" i="26" s="1"/>
  <c r="L710" i="26"/>
  <c r="K710" i="26"/>
  <c r="J710" i="26"/>
  <c r="I710" i="26"/>
  <c r="H710" i="26"/>
  <c r="BH709" i="26"/>
  <c r="BB709" i="26"/>
  <c r="BD709" i="26" s="1"/>
  <c r="AZ709" i="26"/>
  <c r="AY709" i="26"/>
  <c r="BA709" i="26" s="1"/>
  <c r="AX709" i="26"/>
  <c r="BL709" i="26" s="1"/>
  <c r="AS709" i="26"/>
  <c r="AO709" i="26"/>
  <c r="AL709" i="26"/>
  <c r="BI709" i="26" s="1"/>
  <c r="L709" i="26"/>
  <c r="K709" i="26"/>
  <c r="J709" i="26"/>
  <c r="I709" i="26"/>
  <c r="H709" i="26"/>
  <c r="AY708" i="26"/>
  <c r="AX708" i="26"/>
  <c r="BJ708" i="26" s="1"/>
  <c r="AS708" i="26"/>
  <c r="BH708" i="26" s="1"/>
  <c r="AO708" i="26"/>
  <c r="AL708" i="26"/>
  <c r="BI708" i="26" s="1"/>
  <c r="L708" i="26"/>
  <c r="K708" i="26"/>
  <c r="J708" i="26"/>
  <c r="I708" i="26"/>
  <c r="H708" i="26"/>
  <c r="BH707" i="26"/>
  <c r="BB707" i="26"/>
  <c r="BD707" i="26" s="1"/>
  <c r="AZ707" i="26"/>
  <c r="AY707" i="26"/>
  <c r="BA707" i="26" s="1"/>
  <c r="AX707" i="26"/>
  <c r="BL707" i="26" s="1"/>
  <c r="AS707" i="26"/>
  <c r="AO707" i="26"/>
  <c r="AL707" i="26"/>
  <c r="BI707" i="26" s="1"/>
  <c r="L707" i="26"/>
  <c r="K707" i="26"/>
  <c r="J707" i="26"/>
  <c r="I707" i="26"/>
  <c r="H707" i="26"/>
  <c r="AY706" i="26"/>
  <c r="AX706" i="26"/>
  <c r="BJ706" i="26" s="1"/>
  <c r="AS706" i="26"/>
  <c r="BH706" i="26" s="1"/>
  <c r="AO706" i="26"/>
  <c r="AL706" i="26"/>
  <c r="BI706" i="26" s="1"/>
  <c r="L706" i="26"/>
  <c r="K706" i="26"/>
  <c r="J706" i="26"/>
  <c r="I706" i="26"/>
  <c r="H706" i="26"/>
  <c r="BH705" i="26"/>
  <c r="BB705" i="26"/>
  <c r="BD705" i="26" s="1"/>
  <c r="AZ705" i="26"/>
  <c r="AY705" i="26"/>
  <c r="BA705" i="26" s="1"/>
  <c r="AX705" i="26"/>
  <c r="BL705" i="26" s="1"/>
  <c r="AS705" i="26"/>
  <c r="AO705" i="26"/>
  <c r="AL705" i="26"/>
  <c r="BI705" i="26" s="1"/>
  <c r="L705" i="26"/>
  <c r="K705" i="26"/>
  <c r="J705" i="26"/>
  <c r="I705" i="26"/>
  <c r="H705" i="26"/>
  <c r="AY704" i="26"/>
  <c r="AX704" i="26"/>
  <c r="BJ704" i="26" s="1"/>
  <c r="AS704" i="26"/>
  <c r="BH704" i="26" s="1"/>
  <c r="AO704" i="26"/>
  <c r="AL704" i="26"/>
  <c r="BI704" i="26" s="1"/>
  <c r="L704" i="26"/>
  <c r="K704" i="26"/>
  <c r="J704" i="26"/>
  <c r="I704" i="26"/>
  <c r="H704" i="26"/>
  <c r="BH703" i="26"/>
  <c r="BB703" i="26"/>
  <c r="BD703" i="26" s="1"/>
  <c r="AZ703" i="26"/>
  <c r="AY703" i="26"/>
  <c r="BA703" i="26" s="1"/>
  <c r="AX703" i="26"/>
  <c r="BL703" i="26" s="1"/>
  <c r="AS703" i="26"/>
  <c r="AO703" i="26"/>
  <c r="AL703" i="26"/>
  <c r="BI703" i="26" s="1"/>
  <c r="L703" i="26"/>
  <c r="K703" i="26"/>
  <c r="J703" i="26"/>
  <c r="I703" i="26"/>
  <c r="H703" i="26"/>
  <c r="AY702" i="26"/>
  <c r="AX702" i="26"/>
  <c r="BJ702" i="26" s="1"/>
  <c r="AS702" i="26"/>
  <c r="BH702" i="26" s="1"/>
  <c r="AO702" i="26"/>
  <c r="AL702" i="26"/>
  <c r="BI702" i="26" s="1"/>
  <c r="L702" i="26"/>
  <c r="K702" i="26"/>
  <c r="J702" i="26"/>
  <c r="I702" i="26"/>
  <c r="H702" i="26"/>
  <c r="BH701" i="26"/>
  <c r="BB701" i="26"/>
  <c r="BD701" i="26" s="1"/>
  <c r="AZ701" i="26"/>
  <c r="AY701" i="26"/>
  <c r="BA701" i="26" s="1"/>
  <c r="AX701" i="26"/>
  <c r="BL701" i="26" s="1"/>
  <c r="AS701" i="26"/>
  <c r="AO701" i="26"/>
  <c r="AL701" i="26"/>
  <c r="BI701" i="26" s="1"/>
  <c r="L701" i="26"/>
  <c r="K701" i="26"/>
  <c r="J701" i="26"/>
  <c r="I701" i="26"/>
  <c r="H701" i="26"/>
  <c r="AY700" i="26"/>
  <c r="AX700" i="26"/>
  <c r="BJ700" i="26" s="1"/>
  <c r="AS700" i="26"/>
  <c r="BH700" i="26" s="1"/>
  <c r="AO700" i="26"/>
  <c r="AL700" i="26"/>
  <c r="BI700" i="26" s="1"/>
  <c r="L700" i="26"/>
  <c r="K700" i="26"/>
  <c r="J700" i="26"/>
  <c r="I700" i="26"/>
  <c r="H700" i="26"/>
  <c r="BH699" i="26"/>
  <c r="BB699" i="26"/>
  <c r="BD699" i="26" s="1"/>
  <c r="AZ699" i="26"/>
  <c r="AY699" i="26"/>
  <c r="BA699" i="26" s="1"/>
  <c r="AX699" i="26"/>
  <c r="BL699" i="26" s="1"/>
  <c r="AS699" i="26"/>
  <c r="AO699" i="26"/>
  <c r="AL699" i="26"/>
  <c r="BI699" i="26" s="1"/>
  <c r="L699" i="26"/>
  <c r="K699" i="26"/>
  <c r="J699" i="26"/>
  <c r="I699" i="26"/>
  <c r="H699" i="26"/>
  <c r="AY698" i="26"/>
  <c r="AX698" i="26"/>
  <c r="BJ698" i="26" s="1"/>
  <c r="AS698" i="26"/>
  <c r="BH698" i="26" s="1"/>
  <c r="AO698" i="26"/>
  <c r="AL698" i="26"/>
  <c r="BI698" i="26" s="1"/>
  <c r="L698" i="26"/>
  <c r="K698" i="26"/>
  <c r="J698" i="26"/>
  <c r="I698" i="26"/>
  <c r="H698" i="26"/>
  <c r="BH697" i="26"/>
  <c r="BB697" i="26"/>
  <c r="BD697" i="26" s="1"/>
  <c r="AZ697" i="26"/>
  <c r="AY697" i="26"/>
  <c r="BA697" i="26" s="1"/>
  <c r="AX697" i="26"/>
  <c r="BL697" i="26" s="1"/>
  <c r="AS697" i="26"/>
  <c r="AO697" i="26"/>
  <c r="AL697" i="26"/>
  <c r="BI697" i="26" s="1"/>
  <c r="L697" i="26"/>
  <c r="K697" i="26"/>
  <c r="J697" i="26"/>
  <c r="I697" i="26"/>
  <c r="H697" i="26"/>
  <c r="AY696" i="26"/>
  <c r="AX696" i="26"/>
  <c r="BJ696" i="26" s="1"/>
  <c r="AS696" i="26"/>
  <c r="BH696" i="26" s="1"/>
  <c r="AO696" i="26"/>
  <c r="AL696" i="26"/>
  <c r="BI696" i="26" s="1"/>
  <c r="L696" i="26"/>
  <c r="K696" i="26"/>
  <c r="J696" i="26"/>
  <c r="I696" i="26"/>
  <c r="H696" i="26"/>
  <c r="BH695" i="26"/>
  <c r="BB695" i="26"/>
  <c r="BD695" i="26" s="1"/>
  <c r="AZ695" i="26"/>
  <c r="AY695" i="26"/>
  <c r="BA695" i="26" s="1"/>
  <c r="AX695" i="26"/>
  <c r="BL695" i="26" s="1"/>
  <c r="AS695" i="26"/>
  <c r="AO695" i="26"/>
  <c r="AL695" i="26"/>
  <c r="BI695" i="26" s="1"/>
  <c r="L695" i="26"/>
  <c r="K695" i="26"/>
  <c r="J695" i="26"/>
  <c r="I695" i="26"/>
  <c r="H695" i="26"/>
  <c r="AY694" i="26"/>
  <c r="AX694" i="26"/>
  <c r="BJ694" i="26" s="1"/>
  <c r="AS694" i="26"/>
  <c r="BH694" i="26" s="1"/>
  <c r="AO694" i="26"/>
  <c r="AL694" i="26"/>
  <c r="BI694" i="26" s="1"/>
  <c r="L694" i="26"/>
  <c r="K694" i="26"/>
  <c r="J694" i="26"/>
  <c r="I694" i="26"/>
  <c r="H694" i="26"/>
  <c r="BH693" i="26"/>
  <c r="BB693" i="26"/>
  <c r="BD693" i="26" s="1"/>
  <c r="AZ693" i="26"/>
  <c r="AY693" i="26"/>
  <c r="BA693" i="26" s="1"/>
  <c r="AX693" i="26"/>
  <c r="BL693" i="26" s="1"/>
  <c r="AS693" i="26"/>
  <c r="AO693" i="26"/>
  <c r="AL693" i="26"/>
  <c r="BI693" i="26" s="1"/>
  <c r="L693" i="26"/>
  <c r="K693" i="26"/>
  <c r="J693" i="26"/>
  <c r="I693" i="26"/>
  <c r="H693" i="26"/>
  <c r="AY692" i="26"/>
  <c r="AX692" i="26"/>
  <c r="BJ692" i="26" s="1"/>
  <c r="AS692" i="26"/>
  <c r="BH692" i="26" s="1"/>
  <c r="AO692" i="26"/>
  <c r="AL692" i="26"/>
  <c r="BI692" i="26" s="1"/>
  <c r="L692" i="26"/>
  <c r="K692" i="26"/>
  <c r="J692" i="26"/>
  <c r="I692" i="26"/>
  <c r="H692" i="26"/>
  <c r="BH691" i="26"/>
  <c r="BB691" i="26"/>
  <c r="BD691" i="26" s="1"/>
  <c r="AZ691" i="26"/>
  <c r="AY691" i="26"/>
  <c r="BA691" i="26" s="1"/>
  <c r="AX691" i="26"/>
  <c r="BL691" i="26" s="1"/>
  <c r="AS691" i="26"/>
  <c r="AO691" i="26"/>
  <c r="AL691" i="26"/>
  <c r="BI691" i="26" s="1"/>
  <c r="L691" i="26"/>
  <c r="K691" i="26"/>
  <c r="J691" i="26"/>
  <c r="I691" i="26"/>
  <c r="H691" i="26"/>
  <c r="AY690" i="26"/>
  <c r="AX690" i="26"/>
  <c r="BJ690" i="26" s="1"/>
  <c r="AS690" i="26"/>
  <c r="BH690" i="26" s="1"/>
  <c r="AO690" i="26"/>
  <c r="AL690" i="26"/>
  <c r="BI690" i="26" s="1"/>
  <c r="L690" i="26"/>
  <c r="K690" i="26"/>
  <c r="J690" i="26"/>
  <c r="I690" i="26"/>
  <c r="H690" i="26"/>
  <c r="BH689" i="26"/>
  <c r="BB689" i="26"/>
  <c r="BD689" i="26" s="1"/>
  <c r="AZ689" i="26"/>
  <c r="AY689" i="26"/>
  <c r="BA689" i="26" s="1"/>
  <c r="AX689" i="26"/>
  <c r="BL689" i="26" s="1"/>
  <c r="AS689" i="26"/>
  <c r="AO689" i="26"/>
  <c r="AL689" i="26"/>
  <c r="BI689" i="26" s="1"/>
  <c r="L689" i="26"/>
  <c r="K689" i="26"/>
  <c r="J689" i="26"/>
  <c r="I689" i="26"/>
  <c r="H689" i="26"/>
  <c r="AY688" i="26"/>
  <c r="AX688" i="26"/>
  <c r="BJ688" i="26" s="1"/>
  <c r="AS688" i="26"/>
  <c r="BH688" i="26" s="1"/>
  <c r="AO688" i="26"/>
  <c r="AL688" i="26"/>
  <c r="BI688" i="26" s="1"/>
  <c r="L688" i="26"/>
  <c r="K688" i="26"/>
  <c r="J688" i="26"/>
  <c r="I688" i="26"/>
  <c r="H688" i="26"/>
  <c r="BH687" i="26"/>
  <c r="BB687" i="26"/>
  <c r="BD687" i="26" s="1"/>
  <c r="AZ687" i="26"/>
  <c r="AY687" i="26"/>
  <c r="BA687" i="26" s="1"/>
  <c r="AX687" i="26"/>
  <c r="BL687" i="26" s="1"/>
  <c r="AS687" i="26"/>
  <c r="AO687" i="26"/>
  <c r="AL687" i="26"/>
  <c r="BI687" i="26" s="1"/>
  <c r="L687" i="26"/>
  <c r="K687" i="26"/>
  <c r="J687" i="26"/>
  <c r="I687" i="26"/>
  <c r="H687" i="26"/>
  <c r="AY686" i="26"/>
  <c r="AX686" i="26"/>
  <c r="BJ686" i="26" s="1"/>
  <c r="AS686" i="26"/>
  <c r="BH686" i="26" s="1"/>
  <c r="AO686" i="26"/>
  <c r="AL686" i="26"/>
  <c r="BI686" i="26" s="1"/>
  <c r="L686" i="26"/>
  <c r="K686" i="26"/>
  <c r="J686" i="26"/>
  <c r="I686" i="26"/>
  <c r="H686" i="26"/>
  <c r="BH685" i="26"/>
  <c r="BB685" i="26"/>
  <c r="BD685" i="26" s="1"/>
  <c r="AZ685" i="26"/>
  <c r="AY685" i="26"/>
  <c r="BA685" i="26" s="1"/>
  <c r="AX685" i="26"/>
  <c r="BL685" i="26" s="1"/>
  <c r="AS685" i="26"/>
  <c r="AO685" i="26"/>
  <c r="AL685" i="26"/>
  <c r="BI685" i="26" s="1"/>
  <c r="L685" i="26"/>
  <c r="K685" i="26"/>
  <c r="J685" i="26"/>
  <c r="I685" i="26"/>
  <c r="H685" i="26"/>
  <c r="AY684" i="26"/>
  <c r="AX684" i="26"/>
  <c r="BJ684" i="26" s="1"/>
  <c r="AS684" i="26"/>
  <c r="BH684" i="26" s="1"/>
  <c r="AO684" i="26"/>
  <c r="AL684" i="26"/>
  <c r="BI684" i="26" s="1"/>
  <c r="L684" i="26"/>
  <c r="K684" i="26"/>
  <c r="J684" i="26"/>
  <c r="I684" i="26"/>
  <c r="H684" i="26"/>
  <c r="BH683" i="26"/>
  <c r="BB683" i="26"/>
  <c r="BD683" i="26" s="1"/>
  <c r="AZ683" i="26"/>
  <c r="AY683" i="26"/>
  <c r="BA683" i="26" s="1"/>
  <c r="AX683" i="26"/>
  <c r="BL683" i="26" s="1"/>
  <c r="AS683" i="26"/>
  <c r="AO683" i="26"/>
  <c r="AL683" i="26"/>
  <c r="BI683" i="26" s="1"/>
  <c r="L683" i="26"/>
  <c r="K683" i="26"/>
  <c r="J683" i="26"/>
  <c r="I683" i="26"/>
  <c r="H683" i="26"/>
  <c r="AY682" i="26"/>
  <c r="AX682" i="26"/>
  <c r="BJ682" i="26" s="1"/>
  <c r="AS682" i="26"/>
  <c r="BH682" i="26" s="1"/>
  <c r="AO682" i="26"/>
  <c r="AL682" i="26"/>
  <c r="BI682" i="26" s="1"/>
  <c r="L682" i="26"/>
  <c r="K682" i="26"/>
  <c r="J682" i="26"/>
  <c r="I682" i="26"/>
  <c r="H682" i="26"/>
  <c r="BH681" i="26"/>
  <c r="BB681" i="26"/>
  <c r="BD681" i="26" s="1"/>
  <c r="AZ681" i="26"/>
  <c r="AY681" i="26"/>
  <c r="BA681" i="26" s="1"/>
  <c r="AX681" i="26"/>
  <c r="BL681" i="26" s="1"/>
  <c r="AS681" i="26"/>
  <c r="AO681" i="26"/>
  <c r="AL681" i="26"/>
  <c r="BI681" i="26" s="1"/>
  <c r="L681" i="26"/>
  <c r="K681" i="26"/>
  <c r="J681" i="26"/>
  <c r="I681" i="26"/>
  <c r="H681" i="26"/>
  <c r="AY680" i="26"/>
  <c r="AX680" i="26"/>
  <c r="BJ680" i="26" s="1"/>
  <c r="AS680" i="26"/>
  <c r="BH680" i="26" s="1"/>
  <c r="AO680" i="26"/>
  <c r="AL680" i="26"/>
  <c r="BI680" i="26" s="1"/>
  <c r="L680" i="26"/>
  <c r="K680" i="26"/>
  <c r="J680" i="26"/>
  <c r="I680" i="26"/>
  <c r="H680" i="26"/>
  <c r="BH679" i="26"/>
  <c r="BB679" i="26"/>
  <c r="BD679" i="26" s="1"/>
  <c r="AZ679" i="26"/>
  <c r="AY679" i="26"/>
  <c r="BA679" i="26" s="1"/>
  <c r="AX679" i="26"/>
  <c r="BL679" i="26" s="1"/>
  <c r="AS679" i="26"/>
  <c r="AO679" i="26"/>
  <c r="AL679" i="26"/>
  <c r="BI679" i="26" s="1"/>
  <c r="L679" i="26"/>
  <c r="K679" i="26"/>
  <c r="J679" i="26"/>
  <c r="I679" i="26"/>
  <c r="H679" i="26"/>
  <c r="AY678" i="26"/>
  <c r="AX678" i="26"/>
  <c r="BJ678" i="26" s="1"/>
  <c r="AS678" i="26"/>
  <c r="BH678" i="26" s="1"/>
  <c r="AO678" i="26"/>
  <c r="AL678" i="26"/>
  <c r="BI678" i="26" s="1"/>
  <c r="L678" i="26"/>
  <c r="K678" i="26"/>
  <c r="J678" i="26"/>
  <c r="I678" i="26"/>
  <c r="H678" i="26"/>
  <c r="BH677" i="26"/>
  <c r="BB677" i="26"/>
  <c r="BD677" i="26" s="1"/>
  <c r="AZ677" i="26"/>
  <c r="AY677" i="26"/>
  <c r="BA677" i="26" s="1"/>
  <c r="AX677" i="26"/>
  <c r="BL677" i="26" s="1"/>
  <c r="AS677" i="26"/>
  <c r="AO677" i="26"/>
  <c r="AL677" i="26"/>
  <c r="BI677" i="26" s="1"/>
  <c r="L677" i="26"/>
  <c r="K677" i="26"/>
  <c r="J677" i="26"/>
  <c r="I677" i="26"/>
  <c r="H677" i="26"/>
  <c r="AY676" i="26"/>
  <c r="AX676" i="26"/>
  <c r="BJ676" i="26" s="1"/>
  <c r="AS676" i="26"/>
  <c r="BH676" i="26" s="1"/>
  <c r="AO676" i="26"/>
  <c r="AL676" i="26"/>
  <c r="BI676" i="26" s="1"/>
  <c r="L676" i="26"/>
  <c r="K676" i="26"/>
  <c r="J676" i="26"/>
  <c r="I676" i="26"/>
  <c r="H676" i="26"/>
  <c r="BH675" i="26"/>
  <c r="BB675" i="26"/>
  <c r="BD675" i="26" s="1"/>
  <c r="AZ675" i="26"/>
  <c r="AY675" i="26"/>
  <c r="BA675" i="26" s="1"/>
  <c r="AX675" i="26"/>
  <c r="BL675" i="26" s="1"/>
  <c r="AS675" i="26"/>
  <c r="AO675" i="26"/>
  <c r="AL675" i="26"/>
  <c r="BI675" i="26" s="1"/>
  <c r="L675" i="26"/>
  <c r="K675" i="26"/>
  <c r="J675" i="26"/>
  <c r="I675" i="26"/>
  <c r="H675" i="26"/>
  <c r="AY674" i="26"/>
  <c r="AX674" i="26"/>
  <c r="BJ674" i="26" s="1"/>
  <c r="AS674" i="26"/>
  <c r="BH674" i="26" s="1"/>
  <c r="AO674" i="26"/>
  <c r="AL674" i="26"/>
  <c r="BI674" i="26" s="1"/>
  <c r="L674" i="26"/>
  <c r="K674" i="26"/>
  <c r="J674" i="26"/>
  <c r="I674" i="26"/>
  <c r="H674" i="26"/>
  <c r="BH673" i="26"/>
  <c r="BB673" i="26"/>
  <c r="BD673" i="26" s="1"/>
  <c r="AZ673" i="26"/>
  <c r="AY673" i="26"/>
  <c r="BA673" i="26" s="1"/>
  <c r="AX673" i="26"/>
  <c r="BL673" i="26" s="1"/>
  <c r="AS673" i="26"/>
  <c r="AO673" i="26"/>
  <c r="AL673" i="26"/>
  <c r="BI673" i="26" s="1"/>
  <c r="L673" i="26"/>
  <c r="K673" i="26"/>
  <c r="J673" i="26"/>
  <c r="I673" i="26"/>
  <c r="H673" i="26"/>
  <c r="AY672" i="26"/>
  <c r="AX672" i="26"/>
  <c r="BJ672" i="26" s="1"/>
  <c r="AS672" i="26"/>
  <c r="BH672" i="26" s="1"/>
  <c r="AO672" i="26"/>
  <c r="AL672" i="26"/>
  <c r="BI672" i="26" s="1"/>
  <c r="L672" i="26"/>
  <c r="K672" i="26"/>
  <c r="J672" i="26"/>
  <c r="I672" i="26"/>
  <c r="H672" i="26"/>
  <c r="BH671" i="26"/>
  <c r="BB671" i="26"/>
  <c r="BD671" i="26" s="1"/>
  <c r="AZ671" i="26"/>
  <c r="AY671" i="26"/>
  <c r="BA671" i="26" s="1"/>
  <c r="AX671" i="26"/>
  <c r="BL671" i="26" s="1"/>
  <c r="AS671" i="26"/>
  <c r="AO671" i="26"/>
  <c r="AL671" i="26"/>
  <c r="BI671" i="26" s="1"/>
  <c r="L671" i="26"/>
  <c r="K671" i="26"/>
  <c r="J671" i="26"/>
  <c r="I671" i="26"/>
  <c r="H671" i="26"/>
  <c r="AY670" i="26"/>
  <c r="AX670" i="26"/>
  <c r="BJ670" i="26" s="1"/>
  <c r="AS670" i="26"/>
  <c r="BH670" i="26" s="1"/>
  <c r="AO670" i="26"/>
  <c r="AL670" i="26"/>
  <c r="BI670" i="26" s="1"/>
  <c r="L670" i="26"/>
  <c r="K670" i="26"/>
  <c r="J670" i="26"/>
  <c r="I670" i="26"/>
  <c r="H670" i="26"/>
  <c r="BH669" i="26"/>
  <c r="BB669" i="26"/>
  <c r="BD669" i="26" s="1"/>
  <c r="AZ669" i="26"/>
  <c r="AY669" i="26"/>
  <c r="BA669" i="26" s="1"/>
  <c r="AX669" i="26"/>
  <c r="BL669" i="26" s="1"/>
  <c r="AS669" i="26"/>
  <c r="AO669" i="26"/>
  <c r="AL669" i="26"/>
  <c r="BI669" i="26" s="1"/>
  <c r="L669" i="26"/>
  <c r="K669" i="26"/>
  <c r="J669" i="26"/>
  <c r="I669" i="26"/>
  <c r="H669" i="26"/>
  <c r="AY668" i="26"/>
  <c r="AX668" i="26"/>
  <c r="BJ668" i="26" s="1"/>
  <c r="AS668" i="26"/>
  <c r="BH668" i="26" s="1"/>
  <c r="AO668" i="26"/>
  <c r="AL668" i="26"/>
  <c r="BI668" i="26" s="1"/>
  <c r="L668" i="26"/>
  <c r="K668" i="26"/>
  <c r="J668" i="26"/>
  <c r="I668" i="26"/>
  <c r="H668" i="26"/>
  <c r="BH667" i="26"/>
  <c r="BB667" i="26"/>
  <c r="BD667" i="26" s="1"/>
  <c r="AZ667" i="26"/>
  <c r="AY667" i="26"/>
  <c r="BA667" i="26" s="1"/>
  <c r="AX667" i="26"/>
  <c r="BL667" i="26" s="1"/>
  <c r="AS667" i="26"/>
  <c r="AO667" i="26"/>
  <c r="AL667" i="26"/>
  <c r="BI667" i="26" s="1"/>
  <c r="L667" i="26"/>
  <c r="K667" i="26"/>
  <c r="J667" i="26"/>
  <c r="I667" i="26"/>
  <c r="H667" i="26"/>
  <c r="AY666" i="26"/>
  <c r="AX666" i="26"/>
  <c r="BJ666" i="26" s="1"/>
  <c r="AS666" i="26"/>
  <c r="BH666" i="26" s="1"/>
  <c r="AO666" i="26"/>
  <c r="AL666" i="26"/>
  <c r="BI666" i="26" s="1"/>
  <c r="L666" i="26"/>
  <c r="K666" i="26"/>
  <c r="J666" i="26"/>
  <c r="I666" i="26"/>
  <c r="H666" i="26"/>
  <c r="BH665" i="26"/>
  <c r="BB665" i="26"/>
  <c r="BD665" i="26" s="1"/>
  <c r="AZ665" i="26"/>
  <c r="AY665" i="26"/>
  <c r="BA665" i="26" s="1"/>
  <c r="AX665" i="26"/>
  <c r="BL665" i="26" s="1"/>
  <c r="AS665" i="26"/>
  <c r="AO665" i="26"/>
  <c r="AL665" i="26"/>
  <c r="BI665" i="26" s="1"/>
  <c r="L665" i="26"/>
  <c r="K665" i="26"/>
  <c r="J665" i="26"/>
  <c r="I665" i="26"/>
  <c r="H665" i="26"/>
  <c r="AY664" i="26"/>
  <c r="AX664" i="26"/>
  <c r="BJ664" i="26" s="1"/>
  <c r="AS664" i="26"/>
  <c r="BH664" i="26" s="1"/>
  <c r="AO664" i="26"/>
  <c r="AL664" i="26"/>
  <c r="BI664" i="26" s="1"/>
  <c r="L664" i="26"/>
  <c r="K664" i="26"/>
  <c r="J664" i="26"/>
  <c r="I664" i="26"/>
  <c r="H664" i="26"/>
  <c r="BH663" i="26"/>
  <c r="BB663" i="26"/>
  <c r="BD663" i="26" s="1"/>
  <c r="AZ663" i="26"/>
  <c r="AY663" i="26"/>
  <c r="BA663" i="26" s="1"/>
  <c r="AX663" i="26"/>
  <c r="BL663" i="26" s="1"/>
  <c r="AS663" i="26"/>
  <c r="AO663" i="26"/>
  <c r="AL663" i="26"/>
  <c r="BI663" i="26" s="1"/>
  <c r="L663" i="26"/>
  <c r="K663" i="26"/>
  <c r="J663" i="26"/>
  <c r="I663" i="26"/>
  <c r="H663" i="26"/>
  <c r="AY662" i="26"/>
  <c r="AX662" i="26"/>
  <c r="BJ662" i="26" s="1"/>
  <c r="AS662" i="26"/>
  <c r="BH662" i="26" s="1"/>
  <c r="AO662" i="26"/>
  <c r="AL662" i="26"/>
  <c r="BI662" i="26" s="1"/>
  <c r="L662" i="26"/>
  <c r="K662" i="26"/>
  <c r="J662" i="26"/>
  <c r="I662" i="26"/>
  <c r="H662" i="26"/>
  <c r="BH661" i="26"/>
  <c r="BB661" i="26"/>
  <c r="BD661" i="26" s="1"/>
  <c r="AZ661" i="26"/>
  <c r="AY661" i="26"/>
  <c r="BA661" i="26" s="1"/>
  <c r="AX661" i="26"/>
  <c r="BL661" i="26" s="1"/>
  <c r="AS661" i="26"/>
  <c r="AO661" i="26"/>
  <c r="AL661" i="26"/>
  <c r="BI661" i="26" s="1"/>
  <c r="L661" i="26"/>
  <c r="K661" i="26"/>
  <c r="J661" i="26"/>
  <c r="I661" i="26"/>
  <c r="H661" i="26"/>
  <c r="AY660" i="26"/>
  <c r="AX660" i="26"/>
  <c r="BJ660" i="26" s="1"/>
  <c r="AS660" i="26"/>
  <c r="BH660" i="26" s="1"/>
  <c r="AO660" i="26"/>
  <c r="AL660" i="26"/>
  <c r="BI660" i="26" s="1"/>
  <c r="L660" i="26"/>
  <c r="K660" i="26"/>
  <c r="J660" i="26"/>
  <c r="I660" i="26"/>
  <c r="H660" i="26"/>
  <c r="BH659" i="26"/>
  <c r="BB659" i="26"/>
  <c r="BD659" i="26" s="1"/>
  <c r="AZ659" i="26"/>
  <c r="AY659" i="26"/>
  <c r="BA659" i="26" s="1"/>
  <c r="AX659" i="26"/>
  <c r="BL659" i="26" s="1"/>
  <c r="AS659" i="26"/>
  <c r="AO659" i="26"/>
  <c r="AL659" i="26"/>
  <c r="BI659" i="26" s="1"/>
  <c r="L659" i="26"/>
  <c r="K659" i="26"/>
  <c r="J659" i="26"/>
  <c r="I659" i="26"/>
  <c r="H659" i="26"/>
  <c r="AY658" i="26"/>
  <c r="AX658" i="26"/>
  <c r="BJ658" i="26" s="1"/>
  <c r="AS658" i="26"/>
  <c r="BH658" i="26" s="1"/>
  <c r="AO658" i="26"/>
  <c r="AL658" i="26"/>
  <c r="BI658" i="26" s="1"/>
  <c r="L658" i="26"/>
  <c r="K658" i="26"/>
  <c r="J658" i="26"/>
  <c r="I658" i="26"/>
  <c r="H658" i="26"/>
  <c r="BH657" i="26"/>
  <c r="BB657" i="26"/>
  <c r="BD657" i="26" s="1"/>
  <c r="AZ657" i="26"/>
  <c r="AY657" i="26"/>
  <c r="BA657" i="26" s="1"/>
  <c r="AX657" i="26"/>
  <c r="BL657" i="26" s="1"/>
  <c r="AS657" i="26"/>
  <c r="AO657" i="26"/>
  <c r="AL657" i="26"/>
  <c r="BI657" i="26" s="1"/>
  <c r="L657" i="26"/>
  <c r="K657" i="26"/>
  <c r="J657" i="26"/>
  <c r="I657" i="26"/>
  <c r="H657" i="26"/>
  <c r="AY656" i="26"/>
  <c r="AX656" i="26"/>
  <c r="BJ656" i="26" s="1"/>
  <c r="AS656" i="26"/>
  <c r="BH656" i="26" s="1"/>
  <c r="AO656" i="26"/>
  <c r="AL656" i="26"/>
  <c r="BI656" i="26" s="1"/>
  <c r="L656" i="26"/>
  <c r="K656" i="26"/>
  <c r="J656" i="26"/>
  <c r="I656" i="26"/>
  <c r="H656" i="26"/>
  <c r="BH655" i="26"/>
  <c r="BB655" i="26"/>
  <c r="BD655" i="26" s="1"/>
  <c r="AZ655" i="26"/>
  <c r="AY655" i="26"/>
  <c r="BA655" i="26" s="1"/>
  <c r="AX655" i="26"/>
  <c r="BL655" i="26" s="1"/>
  <c r="AS655" i="26"/>
  <c r="AO655" i="26"/>
  <c r="AL655" i="26"/>
  <c r="BI655" i="26" s="1"/>
  <c r="L655" i="26"/>
  <c r="K655" i="26"/>
  <c r="J655" i="26"/>
  <c r="I655" i="26"/>
  <c r="H655" i="26"/>
  <c r="AY654" i="26"/>
  <c r="AX654" i="26"/>
  <c r="BJ654" i="26" s="1"/>
  <c r="AS654" i="26"/>
  <c r="BH654" i="26" s="1"/>
  <c r="AO654" i="26"/>
  <c r="AL654" i="26"/>
  <c r="BI654" i="26" s="1"/>
  <c r="L654" i="26"/>
  <c r="K654" i="26"/>
  <c r="J654" i="26"/>
  <c r="I654" i="26"/>
  <c r="H654" i="26"/>
  <c r="BH653" i="26"/>
  <c r="BB653" i="26"/>
  <c r="BD653" i="26" s="1"/>
  <c r="AZ653" i="26"/>
  <c r="AY653" i="26"/>
  <c r="BA653" i="26" s="1"/>
  <c r="AX653" i="26"/>
  <c r="BL653" i="26" s="1"/>
  <c r="AS653" i="26"/>
  <c r="AO653" i="26"/>
  <c r="AL653" i="26"/>
  <c r="BI653" i="26" s="1"/>
  <c r="L653" i="26"/>
  <c r="K653" i="26"/>
  <c r="J653" i="26"/>
  <c r="I653" i="26"/>
  <c r="H653" i="26"/>
  <c r="AY652" i="26"/>
  <c r="AX652" i="26"/>
  <c r="BJ652" i="26" s="1"/>
  <c r="AS652" i="26"/>
  <c r="BH652" i="26" s="1"/>
  <c r="AO652" i="26"/>
  <c r="AL652" i="26"/>
  <c r="BI652" i="26" s="1"/>
  <c r="L652" i="26"/>
  <c r="K652" i="26"/>
  <c r="J652" i="26"/>
  <c r="I652" i="26"/>
  <c r="H652" i="26"/>
  <c r="BH651" i="26"/>
  <c r="BB651" i="26"/>
  <c r="BD651" i="26" s="1"/>
  <c r="AZ651" i="26"/>
  <c r="AY651" i="26"/>
  <c r="BA651" i="26" s="1"/>
  <c r="AX651" i="26"/>
  <c r="BL651" i="26" s="1"/>
  <c r="AS651" i="26"/>
  <c r="AO651" i="26"/>
  <c r="AL651" i="26"/>
  <c r="BI651" i="26" s="1"/>
  <c r="L651" i="26"/>
  <c r="K651" i="26"/>
  <c r="J651" i="26"/>
  <c r="I651" i="26"/>
  <c r="H651" i="26"/>
  <c r="AY650" i="26"/>
  <c r="AX650" i="26"/>
  <c r="BJ650" i="26" s="1"/>
  <c r="AS650" i="26"/>
  <c r="BH650" i="26" s="1"/>
  <c r="AO650" i="26"/>
  <c r="AL650" i="26"/>
  <c r="BI650" i="26" s="1"/>
  <c r="L650" i="26"/>
  <c r="K650" i="26"/>
  <c r="J650" i="26"/>
  <c r="I650" i="26"/>
  <c r="H650" i="26"/>
  <c r="BH649" i="26"/>
  <c r="BB649" i="26"/>
  <c r="BD649" i="26" s="1"/>
  <c r="AZ649" i="26"/>
  <c r="AY649" i="26"/>
  <c r="BA649" i="26" s="1"/>
  <c r="AX649" i="26"/>
  <c r="BL649" i="26" s="1"/>
  <c r="AS649" i="26"/>
  <c r="AO649" i="26"/>
  <c r="AL649" i="26"/>
  <c r="BI649" i="26" s="1"/>
  <c r="L649" i="26"/>
  <c r="K649" i="26"/>
  <c r="J649" i="26"/>
  <c r="I649" i="26"/>
  <c r="H649" i="26"/>
  <c r="AY648" i="26"/>
  <c r="AX648" i="26"/>
  <c r="BJ648" i="26" s="1"/>
  <c r="AS648" i="26"/>
  <c r="BH648" i="26" s="1"/>
  <c r="AO648" i="26"/>
  <c r="AL648" i="26"/>
  <c r="BI648" i="26" s="1"/>
  <c r="L648" i="26"/>
  <c r="K648" i="26"/>
  <c r="J648" i="26"/>
  <c r="I648" i="26"/>
  <c r="H648" i="26"/>
  <c r="BH647" i="26"/>
  <c r="BB647" i="26"/>
  <c r="BD647" i="26" s="1"/>
  <c r="AZ647" i="26"/>
  <c r="AY647" i="26"/>
  <c r="BA647" i="26" s="1"/>
  <c r="AX647" i="26"/>
  <c r="BL647" i="26" s="1"/>
  <c r="AS647" i="26"/>
  <c r="AO647" i="26"/>
  <c r="AL647" i="26"/>
  <c r="BI647" i="26" s="1"/>
  <c r="L647" i="26"/>
  <c r="K647" i="26"/>
  <c r="J647" i="26"/>
  <c r="I647" i="26"/>
  <c r="H647" i="26"/>
  <c r="AY646" i="26"/>
  <c r="AX646" i="26"/>
  <c r="BJ646" i="26" s="1"/>
  <c r="AS646" i="26"/>
  <c r="BH646" i="26" s="1"/>
  <c r="AO646" i="26"/>
  <c r="AL646" i="26"/>
  <c r="BI646" i="26" s="1"/>
  <c r="L646" i="26"/>
  <c r="K646" i="26"/>
  <c r="J646" i="26"/>
  <c r="I646" i="26"/>
  <c r="H646" i="26"/>
  <c r="BH645" i="26"/>
  <c r="BB645" i="26"/>
  <c r="BD645" i="26" s="1"/>
  <c r="AZ645" i="26"/>
  <c r="AY645" i="26"/>
  <c r="BA645" i="26" s="1"/>
  <c r="AX645" i="26"/>
  <c r="BL645" i="26" s="1"/>
  <c r="AS645" i="26"/>
  <c r="AO645" i="26"/>
  <c r="AL645" i="26"/>
  <c r="BI645" i="26" s="1"/>
  <c r="L645" i="26"/>
  <c r="K645" i="26"/>
  <c r="J645" i="26"/>
  <c r="I645" i="26"/>
  <c r="H645" i="26"/>
  <c r="AY644" i="26"/>
  <c r="AX644" i="26"/>
  <c r="BJ644" i="26" s="1"/>
  <c r="AS644" i="26"/>
  <c r="BH644" i="26" s="1"/>
  <c r="AO644" i="26"/>
  <c r="AL644" i="26"/>
  <c r="BI644" i="26" s="1"/>
  <c r="L644" i="26"/>
  <c r="K644" i="26"/>
  <c r="J644" i="26"/>
  <c r="I644" i="26"/>
  <c r="H644" i="26"/>
  <c r="BH643" i="26"/>
  <c r="BB643" i="26"/>
  <c r="BD643" i="26" s="1"/>
  <c r="AZ643" i="26"/>
  <c r="AY643" i="26"/>
  <c r="BA643" i="26" s="1"/>
  <c r="AX643" i="26"/>
  <c r="BL643" i="26" s="1"/>
  <c r="AS643" i="26"/>
  <c r="AO643" i="26"/>
  <c r="AL643" i="26"/>
  <c r="BI643" i="26" s="1"/>
  <c r="L643" i="26"/>
  <c r="K643" i="26"/>
  <c r="J643" i="26"/>
  <c r="I643" i="26"/>
  <c r="H643" i="26"/>
  <c r="AY642" i="26"/>
  <c r="AX642" i="26"/>
  <c r="BJ642" i="26" s="1"/>
  <c r="AS642" i="26"/>
  <c r="BH642" i="26" s="1"/>
  <c r="AO642" i="26"/>
  <c r="AL642" i="26"/>
  <c r="BI642" i="26" s="1"/>
  <c r="L642" i="26"/>
  <c r="K642" i="26"/>
  <c r="J642" i="26"/>
  <c r="I642" i="26"/>
  <c r="H642" i="26"/>
  <c r="BH641" i="26"/>
  <c r="BB641" i="26"/>
  <c r="BD641" i="26" s="1"/>
  <c r="AZ641" i="26"/>
  <c r="AY641" i="26"/>
  <c r="BA641" i="26" s="1"/>
  <c r="AX641" i="26"/>
  <c r="BL641" i="26" s="1"/>
  <c r="AS641" i="26"/>
  <c r="AO641" i="26"/>
  <c r="AL641" i="26"/>
  <c r="BI641" i="26" s="1"/>
  <c r="L641" i="26"/>
  <c r="K641" i="26"/>
  <c r="J641" i="26"/>
  <c r="I641" i="26"/>
  <c r="H641" i="26"/>
  <c r="AY640" i="26"/>
  <c r="AX640" i="26"/>
  <c r="BJ640" i="26" s="1"/>
  <c r="AS640" i="26"/>
  <c r="BH640" i="26" s="1"/>
  <c r="AO640" i="26"/>
  <c r="AL640" i="26"/>
  <c r="BI640" i="26" s="1"/>
  <c r="L640" i="26"/>
  <c r="K640" i="26"/>
  <c r="J640" i="26"/>
  <c r="I640" i="26"/>
  <c r="H640" i="26"/>
  <c r="BH639" i="26"/>
  <c r="BB639" i="26"/>
  <c r="BD639" i="26" s="1"/>
  <c r="AZ639" i="26"/>
  <c r="AY639" i="26"/>
  <c r="BA639" i="26" s="1"/>
  <c r="AX639" i="26"/>
  <c r="BL639" i="26" s="1"/>
  <c r="AS639" i="26"/>
  <c r="AO639" i="26"/>
  <c r="AL639" i="26"/>
  <c r="BI639" i="26" s="1"/>
  <c r="L639" i="26"/>
  <c r="K639" i="26"/>
  <c r="J639" i="26"/>
  <c r="I639" i="26"/>
  <c r="H639" i="26"/>
  <c r="AY638" i="26"/>
  <c r="AX638" i="26"/>
  <c r="BJ638" i="26" s="1"/>
  <c r="AS638" i="26"/>
  <c r="BH638" i="26" s="1"/>
  <c r="AO638" i="26"/>
  <c r="AL638" i="26"/>
  <c r="BI638" i="26" s="1"/>
  <c r="L638" i="26"/>
  <c r="K638" i="26"/>
  <c r="J638" i="26"/>
  <c r="I638" i="26"/>
  <c r="H638" i="26"/>
  <c r="BH637" i="26"/>
  <c r="BB637" i="26"/>
  <c r="BD637" i="26" s="1"/>
  <c r="AZ637" i="26"/>
  <c r="AY637" i="26"/>
  <c r="BA637" i="26" s="1"/>
  <c r="AX637" i="26"/>
  <c r="BL637" i="26" s="1"/>
  <c r="AS637" i="26"/>
  <c r="AO637" i="26"/>
  <c r="AL637" i="26"/>
  <c r="BI637" i="26" s="1"/>
  <c r="L637" i="26"/>
  <c r="K637" i="26"/>
  <c r="J637" i="26"/>
  <c r="I637" i="26"/>
  <c r="H637" i="26"/>
  <c r="AY636" i="26"/>
  <c r="AX636" i="26"/>
  <c r="BJ636" i="26" s="1"/>
  <c r="AS636" i="26"/>
  <c r="BH636" i="26" s="1"/>
  <c r="AO636" i="26"/>
  <c r="AL636" i="26"/>
  <c r="BI636" i="26" s="1"/>
  <c r="L636" i="26"/>
  <c r="K636" i="26"/>
  <c r="J636" i="26"/>
  <c r="I636" i="26"/>
  <c r="H636" i="26"/>
  <c r="BH635" i="26"/>
  <c r="BB635" i="26"/>
  <c r="BD635" i="26" s="1"/>
  <c r="AZ635" i="26"/>
  <c r="AY635" i="26"/>
  <c r="BA635" i="26" s="1"/>
  <c r="AX635" i="26"/>
  <c r="BL635" i="26" s="1"/>
  <c r="AS635" i="26"/>
  <c r="AO635" i="26"/>
  <c r="AL635" i="26"/>
  <c r="BI635" i="26" s="1"/>
  <c r="L635" i="26"/>
  <c r="K635" i="26"/>
  <c r="J635" i="26"/>
  <c r="I635" i="26"/>
  <c r="H635" i="26"/>
  <c r="AY634" i="26"/>
  <c r="AX634" i="26"/>
  <c r="BJ634" i="26" s="1"/>
  <c r="AS634" i="26"/>
  <c r="BH634" i="26" s="1"/>
  <c r="AO634" i="26"/>
  <c r="AL634" i="26"/>
  <c r="BI634" i="26" s="1"/>
  <c r="L634" i="26"/>
  <c r="K634" i="26"/>
  <c r="J634" i="26"/>
  <c r="I634" i="26"/>
  <c r="H634" i="26"/>
  <c r="BH633" i="26"/>
  <c r="BB633" i="26"/>
  <c r="BD633" i="26" s="1"/>
  <c r="AZ633" i="26"/>
  <c r="AY633" i="26"/>
  <c r="BA633" i="26" s="1"/>
  <c r="AX633" i="26"/>
  <c r="BL633" i="26" s="1"/>
  <c r="AS633" i="26"/>
  <c r="AO633" i="26"/>
  <c r="AL633" i="26"/>
  <c r="BI633" i="26" s="1"/>
  <c r="L633" i="26"/>
  <c r="K633" i="26"/>
  <c r="J633" i="26"/>
  <c r="I633" i="26"/>
  <c r="H633" i="26"/>
  <c r="AY632" i="26"/>
  <c r="AX632" i="26"/>
  <c r="BJ632" i="26" s="1"/>
  <c r="AS632" i="26"/>
  <c r="BH632" i="26" s="1"/>
  <c r="AO632" i="26"/>
  <c r="AL632" i="26"/>
  <c r="BI632" i="26" s="1"/>
  <c r="L632" i="26"/>
  <c r="K632" i="26"/>
  <c r="J632" i="26"/>
  <c r="I632" i="26"/>
  <c r="H632" i="26"/>
  <c r="BH631" i="26"/>
  <c r="BB631" i="26"/>
  <c r="BD631" i="26" s="1"/>
  <c r="AZ631" i="26"/>
  <c r="AY631" i="26"/>
  <c r="BA631" i="26" s="1"/>
  <c r="AX631" i="26"/>
  <c r="BL631" i="26" s="1"/>
  <c r="AS631" i="26"/>
  <c r="AO631" i="26"/>
  <c r="AL631" i="26"/>
  <c r="BI631" i="26" s="1"/>
  <c r="L631" i="26"/>
  <c r="K631" i="26"/>
  <c r="J631" i="26"/>
  <c r="I631" i="26"/>
  <c r="H631" i="26"/>
  <c r="AY630" i="26"/>
  <c r="AX630" i="26"/>
  <c r="BJ630" i="26" s="1"/>
  <c r="AS630" i="26"/>
  <c r="BH630" i="26" s="1"/>
  <c r="AO630" i="26"/>
  <c r="AL630" i="26"/>
  <c r="BI630" i="26" s="1"/>
  <c r="L630" i="26"/>
  <c r="K630" i="26"/>
  <c r="J630" i="26"/>
  <c r="I630" i="26"/>
  <c r="H630" i="26"/>
  <c r="BH629" i="26"/>
  <c r="BB629" i="26"/>
  <c r="BD629" i="26" s="1"/>
  <c r="AZ629" i="26"/>
  <c r="AY629" i="26"/>
  <c r="BA629" i="26" s="1"/>
  <c r="AX629" i="26"/>
  <c r="BL629" i="26" s="1"/>
  <c r="AS629" i="26"/>
  <c r="AO629" i="26"/>
  <c r="AL629" i="26"/>
  <c r="BI629" i="26" s="1"/>
  <c r="L629" i="26"/>
  <c r="K629" i="26"/>
  <c r="J629" i="26"/>
  <c r="I629" i="26"/>
  <c r="H629" i="26"/>
  <c r="AY628" i="26"/>
  <c r="AX628" i="26"/>
  <c r="BJ628" i="26" s="1"/>
  <c r="AS628" i="26"/>
  <c r="BH628" i="26" s="1"/>
  <c r="AO628" i="26"/>
  <c r="AL628" i="26"/>
  <c r="BI628" i="26" s="1"/>
  <c r="L628" i="26"/>
  <c r="K628" i="26"/>
  <c r="J628" i="26"/>
  <c r="I628" i="26"/>
  <c r="H628" i="26"/>
  <c r="BH627" i="26"/>
  <c r="BB627" i="26"/>
  <c r="BD627" i="26" s="1"/>
  <c r="AZ627" i="26"/>
  <c r="AY627" i="26"/>
  <c r="BA627" i="26" s="1"/>
  <c r="AX627" i="26"/>
  <c r="BL627" i="26" s="1"/>
  <c r="AS627" i="26"/>
  <c r="AO627" i="26"/>
  <c r="AL627" i="26"/>
  <c r="BI627" i="26" s="1"/>
  <c r="L627" i="26"/>
  <c r="K627" i="26"/>
  <c r="J627" i="26"/>
  <c r="I627" i="26"/>
  <c r="H627" i="26"/>
  <c r="AY626" i="26"/>
  <c r="AX626" i="26"/>
  <c r="BJ626" i="26" s="1"/>
  <c r="AS626" i="26"/>
  <c r="BH626" i="26" s="1"/>
  <c r="AO626" i="26"/>
  <c r="AL626" i="26"/>
  <c r="BI626" i="26" s="1"/>
  <c r="L626" i="26"/>
  <c r="K626" i="26"/>
  <c r="J626" i="26"/>
  <c r="I626" i="26"/>
  <c r="H626" i="26"/>
  <c r="BH625" i="26"/>
  <c r="BB625" i="26"/>
  <c r="BD625" i="26" s="1"/>
  <c r="AZ625" i="26"/>
  <c r="AY625" i="26"/>
  <c r="BA625" i="26" s="1"/>
  <c r="AX625" i="26"/>
  <c r="BL625" i="26" s="1"/>
  <c r="AS625" i="26"/>
  <c r="AO625" i="26"/>
  <c r="AL625" i="26"/>
  <c r="BI625" i="26" s="1"/>
  <c r="L625" i="26"/>
  <c r="K625" i="26"/>
  <c r="J625" i="26"/>
  <c r="I625" i="26"/>
  <c r="H625" i="26"/>
  <c r="AY624" i="26"/>
  <c r="AX624" i="26"/>
  <c r="BJ624" i="26" s="1"/>
  <c r="AS624" i="26"/>
  <c r="BH624" i="26" s="1"/>
  <c r="AO624" i="26"/>
  <c r="AL624" i="26"/>
  <c r="BI624" i="26" s="1"/>
  <c r="L624" i="26"/>
  <c r="K624" i="26"/>
  <c r="J624" i="26"/>
  <c r="I624" i="26"/>
  <c r="H624" i="26"/>
  <c r="BH623" i="26"/>
  <c r="BB623" i="26"/>
  <c r="BD623" i="26" s="1"/>
  <c r="AZ623" i="26"/>
  <c r="AY623" i="26"/>
  <c r="BA623" i="26" s="1"/>
  <c r="AX623" i="26"/>
  <c r="BL623" i="26" s="1"/>
  <c r="AS623" i="26"/>
  <c r="AO623" i="26"/>
  <c r="AL623" i="26"/>
  <c r="BI623" i="26" s="1"/>
  <c r="L623" i="26"/>
  <c r="K623" i="26"/>
  <c r="J623" i="26"/>
  <c r="I623" i="26"/>
  <c r="H623" i="26"/>
  <c r="AY622" i="26"/>
  <c r="AX622" i="26"/>
  <c r="BJ622" i="26" s="1"/>
  <c r="AS622" i="26"/>
  <c r="BH622" i="26" s="1"/>
  <c r="AO622" i="26"/>
  <c r="AL622" i="26"/>
  <c r="BI622" i="26" s="1"/>
  <c r="L622" i="26"/>
  <c r="K622" i="26"/>
  <c r="J622" i="26"/>
  <c r="I622" i="26"/>
  <c r="H622" i="26"/>
  <c r="BH621" i="26"/>
  <c r="BB621" i="26"/>
  <c r="BD621" i="26" s="1"/>
  <c r="AZ621" i="26"/>
  <c r="AY621" i="26"/>
  <c r="BA621" i="26" s="1"/>
  <c r="AX621" i="26"/>
  <c r="BL621" i="26" s="1"/>
  <c r="AS621" i="26"/>
  <c r="AO621" i="26"/>
  <c r="AL621" i="26"/>
  <c r="BI621" i="26" s="1"/>
  <c r="L621" i="26"/>
  <c r="K621" i="26"/>
  <c r="J621" i="26"/>
  <c r="I621" i="26"/>
  <c r="H621" i="26"/>
  <c r="AY620" i="26"/>
  <c r="AX620" i="26"/>
  <c r="BJ620" i="26" s="1"/>
  <c r="AS620" i="26"/>
  <c r="BH620" i="26" s="1"/>
  <c r="AO620" i="26"/>
  <c r="AL620" i="26"/>
  <c r="BI620" i="26" s="1"/>
  <c r="L620" i="26"/>
  <c r="K620" i="26"/>
  <c r="J620" i="26"/>
  <c r="I620" i="26"/>
  <c r="H620" i="26"/>
  <c r="BH619" i="26"/>
  <c r="BB619" i="26"/>
  <c r="BD619" i="26" s="1"/>
  <c r="AZ619" i="26"/>
  <c r="AY619" i="26"/>
  <c r="BA619" i="26" s="1"/>
  <c r="AX619" i="26"/>
  <c r="BL619" i="26" s="1"/>
  <c r="AS619" i="26"/>
  <c r="AO619" i="26"/>
  <c r="AL619" i="26"/>
  <c r="BI619" i="26" s="1"/>
  <c r="L619" i="26"/>
  <c r="K619" i="26"/>
  <c r="J619" i="26"/>
  <c r="I619" i="26"/>
  <c r="H619" i="26"/>
  <c r="AY618" i="26"/>
  <c r="AX618" i="26"/>
  <c r="BJ618" i="26" s="1"/>
  <c r="AS618" i="26"/>
  <c r="BH618" i="26" s="1"/>
  <c r="AO618" i="26"/>
  <c r="AL618" i="26"/>
  <c r="BI618" i="26" s="1"/>
  <c r="L618" i="26"/>
  <c r="K618" i="26"/>
  <c r="J618" i="26"/>
  <c r="I618" i="26"/>
  <c r="H618" i="26"/>
  <c r="BH617" i="26"/>
  <c r="BB617" i="26"/>
  <c r="AZ617" i="26"/>
  <c r="AY617" i="26"/>
  <c r="BA617" i="26" s="1"/>
  <c r="AX617" i="26"/>
  <c r="AS617" i="26"/>
  <c r="AO617" i="26"/>
  <c r="AL617" i="26"/>
  <c r="BI617" i="26" s="1"/>
  <c r="L617" i="26"/>
  <c r="K617" i="26"/>
  <c r="J617" i="26"/>
  <c r="I617" i="26"/>
  <c r="H617" i="26"/>
  <c r="AY616" i="26"/>
  <c r="AX616" i="26"/>
  <c r="BJ616" i="26" s="1"/>
  <c r="AS616" i="26"/>
  <c r="AO616" i="26"/>
  <c r="AL616" i="26"/>
  <c r="BI616" i="26" s="1"/>
  <c r="L616" i="26"/>
  <c r="K616" i="26"/>
  <c r="J616" i="26"/>
  <c r="I616" i="26"/>
  <c r="H616" i="26"/>
  <c r="BH615" i="26"/>
  <c r="BD615" i="26"/>
  <c r="BB615" i="26"/>
  <c r="BC615" i="26" s="1"/>
  <c r="AZ615" i="26"/>
  <c r="AY615" i="26"/>
  <c r="AX615" i="26"/>
  <c r="BL615" i="26" s="1"/>
  <c r="AS615" i="26"/>
  <c r="AO615" i="26"/>
  <c r="AL615" i="26"/>
  <c r="BI615" i="26" s="1"/>
  <c r="L615" i="26"/>
  <c r="K615" i="26"/>
  <c r="J615" i="26"/>
  <c r="I615" i="26"/>
  <c r="H615" i="26"/>
  <c r="BI614" i="26"/>
  <c r="BE614" i="26"/>
  <c r="BF614" i="26" s="1"/>
  <c r="AY614" i="26"/>
  <c r="AX614" i="26"/>
  <c r="BJ614" i="26" s="1"/>
  <c r="AS614" i="26"/>
  <c r="AO614" i="26"/>
  <c r="AL614" i="26"/>
  <c r="L614" i="26"/>
  <c r="K614" i="26"/>
  <c r="J614" i="26"/>
  <c r="I614" i="26"/>
  <c r="H614" i="26"/>
  <c r="BJ613" i="26"/>
  <c r="BH613" i="26"/>
  <c r="BB613" i="26"/>
  <c r="BC613" i="26" s="1"/>
  <c r="AZ613" i="26"/>
  <c r="AY613" i="26"/>
  <c r="BA613" i="26" s="1"/>
  <c r="AX613" i="26"/>
  <c r="BL613" i="26" s="1"/>
  <c r="AS613" i="26"/>
  <c r="AO613" i="26"/>
  <c r="AL613" i="26"/>
  <c r="BI613" i="26" s="1"/>
  <c r="L613" i="26"/>
  <c r="K613" i="26"/>
  <c r="J613" i="26"/>
  <c r="I613" i="26"/>
  <c r="H613" i="26"/>
  <c r="AY612" i="26"/>
  <c r="AX612" i="26"/>
  <c r="BJ612" i="26" s="1"/>
  <c r="AS612" i="26"/>
  <c r="AO612" i="26"/>
  <c r="AL612" i="26"/>
  <c r="BI612" i="26" s="1"/>
  <c r="L612" i="26"/>
  <c r="K612" i="26"/>
  <c r="J612" i="26"/>
  <c r="I612" i="26"/>
  <c r="H612" i="26"/>
  <c r="BH611" i="26"/>
  <c r="BD611" i="26"/>
  <c r="BB611" i="26"/>
  <c r="BC611" i="26" s="1"/>
  <c r="AZ611" i="26"/>
  <c r="AY611" i="26"/>
  <c r="AX611" i="26"/>
  <c r="BL611" i="26" s="1"/>
  <c r="AS611" i="26"/>
  <c r="AO611" i="26"/>
  <c r="AL611" i="26"/>
  <c r="BI611" i="26" s="1"/>
  <c r="L611" i="26"/>
  <c r="K611" i="26"/>
  <c r="J611" i="26"/>
  <c r="I611" i="26"/>
  <c r="H611" i="26"/>
  <c r="BI610" i="26"/>
  <c r="BE610" i="26"/>
  <c r="BF610" i="26" s="1"/>
  <c r="AY610" i="26"/>
  <c r="AX610" i="26"/>
  <c r="BJ610" i="26" s="1"/>
  <c r="AS610" i="26"/>
  <c r="AO610" i="26"/>
  <c r="AL610" i="26"/>
  <c r="L610" i="26"/>
  <c r="K610" i="26"/>
  <c r="J610" i="26"/>
  <c r="I610" i="26"/>
  <c r="H610" i="26"/>
  <c r="BJ609" i="26"/>
  <c r="BH609" i="26"/>
  <c r="BB609" i="26"/>
  <c r="BC609" i="26" s="1"/>
  <c r="AZ609" i="26"/>
  <c r="AY609" i="26"/>
  <c r="BA609" i="26" s="1"/>
  <c r="AX609" i="26"/>
  <c r="BL609" i="26" s="1"/>
  <c r="AS609" i="26"/>
  <c r="AO609" i="26"/>
  <c r="AL609" i="26"/>
  <c r="BI609" i="26" s="1"/>
  <c r="L609" i="26"/>
  <c r="K609" i="26"/>
  <c r="J609" i="26"/>
  <c r="I609" i="26"/>
  <c r="H609" i="26"/>
  <c r="AY608" i="26"/>
  <c r="AX608" i="26"/>
  <c r="BJ608" i="26" s="1"/>
  <c r="AS608" i="26"/>
  <c r="AO608" i="26"/>
  <c r="AL608" i="26"/>
  <c r="BI608" i="26" s="1"/>
  <c r="L608" i="26"/>
  <c r="K608" i="26"/>
  <c r="J608" i="26"/>
  <c r="I608" i="26"/>
  <c r="H608" i="26"/>
  <c r="BH607" i="26"/>
  <c r="BD607" i="26"/>
  <c r="BB607" i="26"/>
  <c r="BC607" i="26" s="1"/>
  <c r="AZ607" i="26"/>
  <c r="AY607" i="26"/>
  <c r="AX607" i="26"/>
  <c r="BL607" i="26" s="1"/>
  <c r="AS607" i="26"/>
  <c r="AO607" i="26"/>
  <c r="AL607" i="26"/>
  <c r="BI607" i="26" s="1"/>
  <c r="L607" i="26"/>
  <c r="K607" i="26"/>
  <c r="J607" i="26"/>
  <c r="I607" i="26"/>
  <c r="H607" i="26"/>
  <c r="BI606" i="26"/>
  <c r="BE606" i="26"/>
  <c r="BF606" i="26" s="1"/>
  <c r="AY606" i="26"/>
  <c r="AX606" i="26"/>
  <c r="BJ606" i="26" s="1"/>
  <c r="AS606" i="26"/>
  <c r="AO606" i="26"/>
  <c r="AL606" i="26"/>
  <c r="L606" i="26"/>
  <c r="K606" i="26"/>
  <c r="J606" i="26"/>
  <c r="I606" i="26"/>
  <c r="H606" i="26"/>
  <c r="BJ605" i="26"/>
  <c r="BH605" i="26"/>
  <c r="BB605" i="26"/>
  <c r="BC605" i="26" s="1"/>
  <c r="AZ605" i="26"/>
  <c r="AY605" i="26"/>
  <c r="BA605" i="26" s="1"/>
  <c r="AX605" i="26"/>
  <c r="BL605" i="26" s="1"/>
  <c r="AS605" i="26"/>
  <c r="AO605" i="26"/>
  <c r="AL605" i="26"/>
  <c r="BI605" i="26" s="1"/>
  <c r="L605" i="26"/>
  <c r="K605" i="26"/>
  <c r="J605" i="26"/>
  <c r="I605" i="26"/>
  <c r="H605" i="26"/>
  <c r="AY604" i="26"/>
  <c r="AX604" i="26"/>
  <c r="BJ604" i="26" s="1"/>
  <c r="AS604" i="26"/>
  <c r="AO604" i="26"/>
  <c r="AL604" i="26"/>
  <c r="BI604" i="26" s="1"/>
  <c r="L604" i="26"/>
  <c r="K604" i="26"/>
  <c r="J604" i="26"/>
  <c r="I604" i="26"/>
  <c r="H604" i="26"/>
  <c r="BH603" i="26"/>
  <c r="BD603" i="26"/>
  <c r="BB603" i="26"/>
  <c r="BC603" i="26" s="1"/>
  <c r="AZ603" i="26"/>
  <c r="AY603" i="26"/>
  <c r="AX603" i="26"/>
  <c r="BL603" i="26" s="1"/>
  <c r="AS603" i="26"/>
  <c r="AO603" i="26"/>
  <c r="AL603" i="26"/>
  <c r="BI603" i="26" s="1"/>
  <c r="L603" i="26"/>
  <c r="K603" i="26"/>
  <c r="J603" i="26"/>
  <c r="I603" i="26"/>
  <c r="H603" i="26"/>
  <c r="BI602" i="26"/>
  <c r="BE602" i="26"/>
  <c r="BF602" i="26" s="1"/>
  <c r="AY602" i="26"/>
  <c r="AX602" i="26"/>
  <c r="BJ602" i="26" s="1"/>
  <c r="AS602" i="26"/>
  <c r="AO602" i="26"/>
  <c r="AL602" i="26"/>
  <c r="L602" i="26"/>
  <c r="K602" i="26"/>
  <c r="J602" i="26"/>
  <c r="I602" i="26"/>
  <c r="H602" i="26"/>
  <c r="BJ601" i="26"/>
  <c r="BH601" i="26"/>
  <c r="BB601" i="26"/>
  <c r="BC601" i="26" s="1"/>
  <c r="AZ601" i="26"/>
  <c r="AY601" i="26"/>
  <c r="BA601" i="26" s="1"/>
  <c r="AX601" i="26"/>
  <c r="BL601" i="26" s="1"/>
  <c r="AS601" i="26"/>
  <c r="AO601" i="26"/>
  <c r="AL601" i="26"/>
  <c r="BI601" i="26" s="1"/>
  <c r="L601" i="26"/>
  <c r="K601" i="26"/>
  <c r="J601" i="26"/>
  <c r="I601" i="26"/>
  <c r="H601" i="26"/>
  <c r="AY600" i="26"/>
  <c r="AX600" i="26"/>
  <c r="BJ600" i="26" s="1"/>
  <c r="AS600" i="26"/>
  <c r="AO600" i="26"/>
  <c r="AL600" i="26"/>
  <c r="BI600" i="26" s="1"/>
  <c r="L600" i="26"/>
  <c r="K600" i="26"/>
  <c r="J600" i="26"/>
  <c r="I600" i="26"/>
  <c r="H600" i="26"/>
  <c r="BH599" i="26"/>
  <c r="BD599" i="26"/>
  <c r="BB599" i="26"/>
  <c r="BC599" i="26" s="1"/>
  <c r="AZ599" i="26"/>
  <c r="AY599" i="26"/>
  <c r="AX599" i="26"/>
  <c r="BL599" i="26" s="1"/>
  <c r="AS599" i="26"/>
  <c r="AO599" i="26"/>
  <c r="AL599" i="26"/>
  <c r="BI599" i="26" s="1"/>
  <c r="L599" i="26"/>
  <c r="K599" i="26"/>
  <c r="J599" i="26"/>
  <c r="I599" i="26"/>
  <c r="H599" i="26"/>
  <c r="BI598" i="26"/>
  <c r="BE598" i="26"/>
  <c r="BF598" i="26" s="1"/>
  <c r="AY598" i="26"/>
  <c r="AX598" i="26"/>
  <c r="BJ598" i="26" s="1"/>
  <c r="AS598" i="26"/>
  <c r="AO598" i="26"/>
  <c r="AL598" i="26"/>
  <c r="L598" i="26"/>
  <c r="K598" i="26"/>
  <c r="J598" i="26"/>
  <c r="I598" i="26"/>
  <c r="H598" i="26"/>
  <c r="BJ597" i="26"/>
  <c r="BH597" i="26"/>
  <c r="BB597" i="26"/>
  <c r="BC597" i="26" s="1"/>
  <c r="AZ597" i="26"/>
  <c r="AY597" i="26"/>
  <c r="BA597" i="26" s="1"/>
  <c r="AX597" i="26"/>
  <c r="BL597" i="26" s="1"/>
  <c r="AS597" i="26"/>
  <c r="AO597" i="26"/>
  <c r="AL597" i="26"/>
  <c r="BI597" i="26" s="1"/>
  <c r="L597" i="26"/>
  <c r="K597" i="26"/>
  <c r="J597" i="26"/>
  <c r="I597" i="26"/>
  <c r="H597" i="26"/>
  <c r="AY596" i="26"/>
  <c r="AX596" i="26"/>
  <c r="BJ596" i="26" s="1"/>
  <c r="AS596" i="26"/>
  <c r="AO596" i="26"/>
  <c r="AL596" i="26"/>
  <c r="BI596" i="26" s="1"/>
  <c r="L596" i="26"/>
  <c r="K596" i="26"/>
  <c r="J596" i="26"/>
  <c r="I596" i="26"/>
  <c r="H596" i="26"/>
  <c r="BH595" i="26"/>
  <c r="BD595" i="26"/>
  <c r="BB595" i="26"/>
  <c r="BC595" i="26" s="1"/>
  <c r="AZ595" i="26"/>
  <c r="AY595" i="26"/>
  <c r="AX595" i="26"/>
  <c r="BL595" i="26" s="1"/>
  <c r="AS595" i="26"/>
  <c r="AO595" i="26"/>
  <c r="AL595" i="26"/>
  <c r="BI595" i="26" s="1"/>
  <c r="L595" i="26"/>
  <c r="K595" i="26"/>
  <c r="J595" i="26"/>
  <c r="I595" i="26"/>
  <c r="H595" i="26"/>
  <c r="BI594" i="26"/>
  <c r="BE594" i="26"/>
  <c r="BF594" i="26" s="1"/>
  <c r="AY594" i="26"/>
  <c r="AX594" i="26"/>
  <c r="BJ594" i="26" s="1"/>
  <c r="AS594" i="26"/>
  <c r="AO594" i="26"/>
  <c r="AL594" i="26"/>
  <c r="L594" i="26"/>
  <c r="K594" i="26"/>
  <c r="J594" i="26"/>
  <c r="I594" i="26"/>
  <c r="H594" i="26"/>
  <c r="BJ593" i="26"/>
  <c r="BH593" i="26"/>
  <c r="BB593" i="26"/>
  <c r="BC593" i="26" s="1"/>
  <c r="AZ593" i="26"/>
  <c r="AY593" i="26"/>
  <c r="BA593" i="26" s="1"/>
  <c r="AX593" i="26"/>
  <c r="BL593" i="26" s="1"/>
  <c r="AS593" i="26"/>
  <c r="AO593" i="26"/>
  <c r="AL593" i="26"/>
  <c r="BI593" i="26" s="1"/>
  <c r="L593" i="26"/>
  <c r="K593" i="26"/>
  <c r="J593" i="26"/>
  <c r="I593" i="26"/>
  <c r="H593" i="26"/>
  <c r="AY592" i="26"/>
  <c r="AX592" i="26"/>
  <c r="BJ592" i="26" s="1"/>
  <c r="AS592" i="26"/>
  <c r="AO592" i="26"/>
  <c r="AL592" i="26"/>
  <c r="BI592" i="26" s="1"/>
  <c r="L592" i="26"/>
  <c r="K592" i="26"/>
  <c r="J592" i="26"/>
  <c r="I592" i="26"/>
  <c r="H592" i="26"/>
  <c r="BH591" i="26"/>
  <c r="BD591" i="26"/>
  <c r="BB591" i="26"/>
  <c r="BC591" i="26" s="1"/>
  <c r="AZ591" i="26"/>
  <c r="AY591" i="26"/>
  <c r="AX591" i="26"/>
  <c r="BL591" i="26" s="1"/>
  <c r="AS591" i="26"/>
  <c r="AO591" i="26"/>
  <c r="AL591" i="26"/>
  <c r="BI591" i="26" s="1"/>
  <c r="L591" i="26"/>
  <c r="K591" i="26"/>
  <c r="J591" i="26"/>
  <c r="I591" i="26"/>
  <c r="H591" i="26"/>
  <c r="BI590" i="26"/>
  <c r="BE590" i="26"/>
  <c r="BF590" i="26" s="1"/>
  <c r="AY590" i="26"/>
  <c r="AX590" i="26"/>
  <c r="BJ590" i="26" s="1"/>
  <c r="AS590" i="26"/>
  <c r="AO590" i="26"/>
  <c r="AL590" i="26"/>
  <c r="L590" i="26"/>
  <c r="K590" i="26"/>
  <c r="J590" i="26"/>
  <c r="I590" i="26"/>
  <c r="H590" i="26"/>
  <c r="BJ589" i="26"/>
  <c r="BH589" i="26"/>
  <c r="BB589" i="26"/>
  <c r="BC589" i="26" s="1"/>
  <c r="AZ589" i="26"/>
  <c r="AY589" i="26"/>
  <c r="BA589" i="26" s="1"/>
  <c r="AX589" i="26"/>
  <c r="BL589" i="26" s="1"/>
  <c r="AS589" i="26"/>
  <c r="AO589" i="26"/>
  <c r="AL589" i="26"/>
  <c r="BI589" i="26" s="1"/>
  <c r="L589" i="26"/>
  <c r="K589" i="26"/>
  <c r="J589" i="26"/>
  <c r="I589" i="26"/>
  <c r="H589" i="26"/>
  <c r="AY588" i="26"/>
  <c r="AX588" i="26"/>
  <c r="BJ588" i="26" s="1"/>
  <c r="AS588" i="26"/>
  <c r="AO588" i="26"/>
  <c r="AL588" i="26"/>
  <c r="BI588" i="26" s="1"/>
  <c r="L588" i="26"/>
  <c r="K588" i="26"/>
  <c r="J588" i="26"/>
  <c r="I588" i="26"/>
  <c r="H588" i="26"/>
  <c r="BH587" i="26"/>
  <c r="BD587" i="26"/>
  <c r="BB587" i="26"/>
  <c r="BC587" i="26" s="1"/>
  <c r="AZ587" i="26"/>
  <c r="AY587" i="26"/>
  <c r="AX587" i="26"/>
  <c r="BL587" i="26" s="1"/>
  <c r="AS587" i="26"/>
  <c r="AO587" i="26"/>
  <c r="AL587" i="26"/>
  <c r="BI587" i="26" s="1"/>
  <c r="L587" i="26"/>
  <c r="K587" i="26"/>
  <c r="J587" i="26"/>
  <c r="I587" i="26"/>
  <c r="H587" i="26"/>
  <c r="BI586" i="26"/>
  <c r="BE586" i="26"/>
  <c r="BF586" i="26" s="1"/>
  <c r="AY586" i="26"/>
  <c r="AX586" i="26"/>
  <c r="BJ586" i="26" s="1"/>
  <c r="AS586" i="26"/>
  <c r="AO586" i="26"/>
  <c r="AL586" i="26"/>
  <c r="L586" i="26"/>
  <c r="K586" i="26"/>
  <c r="J586" i="26"/>
  <c r="I586" i="26"/>
  <c r="H586" i="26"/>
  <c r="AY585" i="26"/>
  <c r="AX585" i="26"/>
  <c r="BJ585" i="26" s="1"/>
  <c r="AS585" i="26"/>
  <c r="BH585" i="26" s="1"/>
  <c r="AO585" i="26"/>
  <c r="AL585" i="26"/>
  <c r="BI585" i="26" s="1"/>
  <c r="L585" i="26"/>
  <c r="K585" i="26"/>
  <c r="J585" i="26"/>
  <c r="I585" i="26"/>
  <c r="H585" i="26"/>
  <c r="BH584" i="26"/>
  <c r="BB584" i="26"/>
  <c r="BD584" i="26" s="1"/>
  <c r="AZ584" i="26"/>
  <c r="AY584" i="26"/>
  <c r="BA584" i="26" s="1"/>
  <c r="AX584" i="26"/>
  <c r="BL584" i="26" s="1"/>
  <c r="AS584" i="26"/>
  <c r="AO584" i="26"/>
  <c r="AL584" i="26"/>
  <c r="BI584" i="26" s="1"/>
  <c r="L584" i="26"/>
  <c r="K584" i="26"/>
  <c r="J584" i="26"/>
  <c r="I584" i="26"/>
  <c r="H584" i="26"/>
  <c r="AY583" i="26"/>
  <c r="AX583" i="26"/>
  <c r="BJ583" i="26" s="1"/>
  <c r="AS583" i="26"/>
  <c r="BH583" i="26" s="1"/>
  <c r="AO583" i="26"/>
  <c r="AL583" i="26"/>
  <c r="BI583" i="26" s="1"/>
  <c r="L583" i="26"/>
  <c r="K583" i="26"/>
  <c r="J583" i="26"/>
  <c r="I583" i="26"/>
  <c r="H583" i="26"/>
  <c r="BH582" i="26"/>
  <c r="BB582" i="26"/>
  <c r="BD582" i="26" s="1"/>
  <c r="AZ582" i="26"/>
  <c r="AY582" i="26"/>
  <c r="BA582" i="26" s="1"/>
  <c r="AX582" i="26"/>
  <c r="BL582" i="26" s="1"/>
  <c r="AS582" i="26"/>
  <c r="AO582" i="26"/>
  <c r="AL582" i="26"/>
  <c r="BI582" i="26" s="1"/>
  <c r="L582" i="26"/>
  <c r="K582" i="26"/>
  <c r="J582" i="26"/>
  <c r="I582" i="26"/>
  <c r="H582" i="26"/>
  <c r="AY581" i="26"/>
  <c r="AX581" i="26"/>
  <c r="BJ581" i="26" s="1"/>
  <c r="AS581" i="26"/>
  <c r="BH581" i="26" s="1"/>
  <c r="AO581" i="26"/>
  <c r="AL581" i="26"/>
  <c r="BI581" i="26" s="1"/>
  <c r="L581" i="26"/>
  <c r="K581" i="26"/>
  <c r="J581" i="26"/>
  <c r="I581" i="26"/>
  <c r="H581" i="26"/>
  <c r="BH580" i="26"/>
  <c r="BB580" i="26"/>
  <c r="BD580" i="26" s="1"/>
  <c r="AZ580" i="26"/>
  <c r="AY580" i="26"/>
  <c r="BA580" i="26" s="1"/>
  <c r="AX580" i="26"/>
  <c r="BL580" i="26" s="1"/>
  <c r="AS580" i="26"/>
  <c r="AO580" i="26"/>
  <c r="AL580" i="26"/>
  <c r="BI580" i="26" s="1"/>
  <c r="L580" i="26"/>
  <c r="K580" i="26"/>
  <c r="J580" i="26"/>
  <c r="I580" i="26"/>
  <c r="H580" i="26"/>
  <c r="AY579" i="26"/>
  <c r="AX579" i="26"/>
  <c r="BJ579" i="26" s="1"/>
  <c r="AS579" i="26"/>
  <c r="BH579" i="26" s="1"/>
  <c r="AO579" i="26"/>
  <c r="AL579" i="26"/>
  <c r="BI579" i="26" s="1"/>
  <c r="L579" i="26"/>
  <c r="K579" i="26"/>
  <c r="J579" i="26"/>
  <c r="I579" i="26"/>
  <c r="H579" i="26"/>
  <c r="BH578" i="26"/>
  <c r="BB578" i="26"/>
  <c r="BD578" i="26" s="1"/>
  <c r="AZ578" i="26"/>
  <c r="AY578" i="26"/>
  <c r="BA578" i="26" s="1"/>
  <c r="AX578" i="26"/>
  <c r="BL578" i="26" s="1"/>
  <c r="AS578" i="26"/>
  <c r="AO578" i="26"/>
  <c r="AL578" i="26"/>
  <c r="BI578" i="26" s="1"/>
  <c r="L578" i="26"/>
  <c r="K578" i="26"/>
  <c r="J578" i="26"/>
  <c r="I578" i="26"/>
  <c r="H578" i="26"/>
  <c r="AY577" i="26"/>
  <c r="AX577" i="26"/>
  <c r="BJ577" i="26" s="1"/>
  <c r="AS577" i="26"/>
  <c r="BH577" i="26" s="1"/>
  <c r="AO577" i="26"/>
  <c r="AL577" i="26"/>
  <c r="BI577" i="26" s="1"/>
  <c r="L577" i="26"/>
  <c r="K577" i="26"/>
  <c r="J577" i="26"/>
  <c r="I577" i="26"/>
  <c r="H577" i="26"/>
  <c r="BH576" i="26"/>
  <c r="BB576" i="26"/>
  <c r="BD576" i="26" s="1"/>
  <c r="AZ576" i="26"/>
  <c r="AY576" i="26"/>
  <c r="BA576" i="26" s="1"/>
  <c r="AX576" i="26"/>
  <c r="BL576" i="26" s="1"/>
  <c r="AS576" i="26"/>
  <c r="AO576" i="26"/>
  <c r="AL576" i="26"/>
  <c r="BI576" i="26" s="1"/>
  <c r="L576" i="26"/>
  <c r="K576" i="26"/>
  <c r="J576" i="26"/>
  <c r="I576" i="26"/>
  <c r="H576" i="26"/>
  <c r="AY575" i="26"/>
  <c r="AX575" i="26"/>
  <c r="BJ575" i="26" s="1"/>
  <c r="AS575" i="26"/>
  <c r="BH575" i="26" s="1"/>
  <c r="AO575" i="26"/>
  <c r="AL575" i="26"/>
  <c r="BI575" i="26" s="1"/>
  <c r="L575" i="26"/>
  <c r="K575" i="26"/>
  <c r="J575" i="26"/>
  <c r="I575" i="26"/>
  <c r="H575" i="26"/>
  <c r="BH574" i="26"/>
  <c r="BB574" i="26"/>
  <c r="BD574" i="26" s="1"/>
  <c r="AZ574" i="26"/>
  <c r="AY574" i="26"/>
  <c r="BA574" i="26" s="1"/>
  <c r="AX574" i="26"/>
  <c r="BL574" i="26" s="1"/>
  <c r="AS574" i="26"/>
  <c r="AO574" i="26"/>
  <c r="AL574" i="26"/>
  <c r="BI574" i="26" s="1"/>
  <c r="L574" i="26"/>
  <c r="K574" i="26"/>
  <c r="J574" i="26"/>
  <c r="I574" i="26"/>
  <c r="H574" i="26"/>
  <c r="AY573" i="26"/>
  <c r="AX573" i="26"/>
  <c r="BJ573" i="26" s="1"/>
  <c r="AS573" i="26"/>
  <c r="BH573" i="26" s="1"/>
  <c r="AO573" i="26"/>
  <c r="AL573" i="26"/>
  <c r="BI573" i="26" s="1"/>
  <c r="L573" i="26"/>
  <c r="K573" i="26"/>
  <c r="J573" i="26"/>
  <c r="I573" i="26"/>
  <c r="H573" i="26"/>
  <c r="BH572" i="26"/>
  <c r="BB572" i="26"/>
  <c r="BD572" i="26" s="1"/>
  <c r="AZ572" i="26"/>
  <c r="AY572" i="26"/>
  <c r="BA572" i="26" s="1"/>
  <c r="AX572" i="26"/>
  <c r="BL572" i="26" s="1"/>
  <c r="AS572" i="26"/>
  <c r="AO572" i="26"/>
  <c r="AL572" i="26"/>
  <c r="BI572" i="26" s="1"/>
  <c r="L572" i="26"/>
  <c r="K572" i="26"/>
  <c r="J572" i="26"/>
  <c r="I572" i="26"/>
  <c r="H572" i="26"/>
  <c r="AY571" i="26"/>
  <c r="AX571" i="26"/>
  <c r="BJ571" i="26" s="1"/>
  <c r="AS571" i="26"/>
  <c r="BH571" i="26" s="1"/>
  <c r="AO571" i="26"/>
  <c r="AL571" i="26"/>
  <c r="BI571" i="26" s="1"/>
  <c r="L571" i="26"/>
  <c r="K571" i="26"/>
  <c r="J571" i="26"/>
  <c r="I571" i="26"/>
  <c r="H571" i="26"/>
  <c r="BH570" i="26"/>
  <c r="BB570" i="26"/>
  <c r="BD570" i="26" s="1"/>
  <c r="AZ570" i="26"/>
  <c r="AY570" i="26"/>
  <c r="BA570" i="26" s="1"/>
  <c r="AX570" i="26"/>
  <c r="BL570" i="26" s="1"/>
  <c r="AS570" i="26"/>
  <c r="AO570" i="26"/>
  <c r="AL570" i="26"/>
  <c r="BI570" i="26" s="1"/>
  <c r="L570" i="26"/>
  <c r="K570" i="26"/>
  <c r="J570" i="26"/>
  <c r="I570" i="26"/>
  <c r="H570" i="26"/>
  <c r="AY569" i="26"/>
  <c r="AX569" i="26"/>
  <c r="BJ569" i="26" s="1"/>
  <c r="AS569" i="26"/>
  <c r="BH569" i="26" s="1"/>
  <c r="AO569" i="26"/>
  <c r="AL569" i="26"/>
  <c r="BI569" i="26" s="1"/>
  <c r="L569" i="26"/>
  <c r="K569" i="26"/>
  <c r="J569" i="26"/>
  <c r="I569" i="26"/>
  <c r="H569" i="26"/>
  <c r="BH568" i="26"/>
  <c r="BB568" i="26"/>
  <c r="BD568" i="26" s="1"/>
  <c r="AZ568" i="26"/>
  <c r="AY568" i="26"/>
  <c r="BA568" i="26" s="1"/>
  <c r="AX568" i="26"/>
  <c r="BL568" i="26" s="1"/>
  <c r="AS568" i="26"/>
  <c r="AO568" i="26"/>
  <c r="AL568" i="26"/>
  <c r="BI568" i="26" s="1"/>
  <c r="L568" i="26"/>
  <c r="K568" i="26"/>
  <c r="J568" i="26"/>
  <c r="I568" i="26"/>
  <c r="H568" i="26"/>
  <c r="AY567" i="26"/>
  <c r="AX567" i="26"/>
  <c r="BJ567" i="26" s="1"/>
  <c r="AS567" i="26"/>
  <c r="BH567" i="26" s="1"/>
  <c r="AO567" i="26"/>
  <c r="AL567" i="26"/>
  <c r="BI567" i="26" s="1"/>
  <c r="L567" i="26"/>
  <c r="K567" i="26"/>
  <c r="J567" i="26"/>
  <c r="I567" i="26"/>
  <c r="H567" i="26"/>
  <c r="BH566" i="26"/>
  <c r="BB566" i="26"/>
  <c r="BD566" i="26" s="1"/>
  <c r="AZ566" i="26"/>
  <c r="AY566" i="26"/>
  <c r="BA566" i="26" s="1"/>
  <c r="AX566" i="26"/>
  <c r="BL566" i="26" s="1"/>
  <c r="AS566" i="26"/>
  <c r="AO566" i="26"/>
  <c r="AL566" i="26"/>
  <c r="BI566" i="26" s="1"/>
  <c r="L566" i="26"/>
  <c r="K566" i="26"/>
  <c r="J566" i="26"/>
  <c r="I566" i="26"/>
  <c r="H566" i="26"/>
  <c r="AY565" i="26"/>
  <c r="AX565" i="26"/>
  <c r="BJ565" i="26" s="1"/>
  <c r="AS565" i="26"/>
  <c r="BH565" i="26" s="1"/>
  <c r="AO565" i="26"/>
  <c r="AL565" i="26"/>
  <c r="BI565" i="26" s="1"/>
  <c r="L565" i="26"/>
  <c r="K565" i="26"/>
  <c r="J565" i="26"/>
  <c r="I565" i="26"/>
  <c r="H565" i="26"/>
  <c r="BH564" i="26"/>
  <c r="BB564" i="26"/>
  <c r="BD564" i="26" s="1"/>
  <c r="AZ564" i="26"/>
  <c r="AY564" i="26"/>
  <c r="BA564" i="26" s="1"/>
  <c r="AX564" i="26"/>
  <c r="BL564" i="26" s="1"/>
  <c r="AS564" i="26"/>
  <c r="AO564" i="26"/>
  <c r="AL564" i="26"/>
  <c r="BI564" i="26" s="1"/>
  <c r="L564" i="26"/>
  <c r="K564" i="26"/>
  <c r="J564" i="26"/>
  <c r="I564" i="26"/>
  <c r="H564" i="26"/>
  <c r="AY563" i="26"/>
  <c r="AX563" i="26"/>
  <c r="BJ563" i="26" s="1"/>
  <c r="AS563" i="26"/>
  <c r="BH563" i="26" s="1"/>
  <c r="AO563" i="26"/>
  <c r="AL563" i="26"/>
  <c r="BI563" i="26" s="1"/>
  <c r="L563" i="26"/>
  <c r="K563" i="26"/>
  <c r="J563" i="26"/>
  <c r="I563" i="26"/>
  <c r="H563" i="26"/>
  <c r="BH562" i="26"/>
  <c r="BB562" i="26"/>
  <c r="BD562" i="26" s="1"/>
  <c r="AZ562" i="26"/>
  <c r="AY562" i="26"/>
  <c r="BA562" i="26" s="1"/>
  <c r="AX562" i="26"/>
  <c r="BL562" i="26" s="1"/>
  <c r="AS562" i="26"/>
  <c r="AO562" i="26"/>
  <c r="AL562" i="26"/>
  <c r="BI562" i="26" s="1"/>
  <c r="L562" i="26"/>
  <c r="K562" i="26"/>
  <c r="J562" i="26"/>
  <c r="I562" i="26"/>
  <c r="H562" i="26"/>
  <c r="AY561" i="26"/>
  <c r="AX561" i="26"/>
  <c r="BJ561" i="26" s="1"/>
  <c r="AS561" i="26"/>
  <c r="BH561" i="26" s="1"/>
  <c r="AO561" i="26"/>
  <c r="AL561" i="26"/>
  <c r="BI561" i="26" s="1"/>
  <c r="L561" i="26"/>
  <c r="K561" i="26"/>
  <c r="J561" i="26"/>
  <c r="I561" i="26"/>
  <c r="H561" i="26"/>
  <c r="BH560" i="26"/>
  <c r="BB560" i="26"/>
  <c r="BD560" i="26" s="1"/>
  <c r="AZ560" i="26"/>
  <c r="AY560" i="26"/>
  <c r="BA560" i="26" s="1"/>
  <c r="AX560" i="26"/>
  <c r="BL560" i="26" s="1"/>
  <c r="AS560" i="26"/>
  <c r="AO560" i="26"/>
  <c r="AL560" i="26"/>
  <c r="BI560" i="26" s="1"/>
  <c r="L560" i="26"/>
  <c r="K560" i="26"/>
  <c r="J560" i="26"/>
  <c r="I560" i="26"/>
  <c r="H560" i="26"/>
  <c r="AY559" i="26"/>
  <c r="AX559" i="26"/>
  <c r="BJ559" i="26" s="1"/>
  <c r="AS559" i="26"/>
  <c r="BH559" i="26" s="1"/>
  <c r="AO559" i="26"/>
  <c r="AL559" i="26"/>
  <c r="BI559" i="26" s="1"/>
  <c r="L559" i="26"/>
  <c r="K559" i="26"/>
  <c r="J559" i="26"/>
  <c r="I559" i="26"/>
  <c r="H559" i="26"/>
  <c r="BH558" i="26"/>
  <c r="BB558" i="26"/>
  <c r="BD558" i="26" s="1"/>
  <c r="AZ558" i="26"/>
  <c r="AY558" i="26"/>
  <c r="BA558" i="26" s="1"/>
  <c r="AX558" i="26"/>
  <c r="BL558" i="26" s="1"/>
  <c r="AS558" i="26"/>
  <c r="AO558" i="26"/>
  <c r="AL558" i="26"/>
  <c r="BI558" i="26" s="1"/>
  <c r="L558" i="26"/>
  <c r="K558" i="26"/>
  <c r="J558" i="26"/>
  <c r="I558" i="26"/>
  <c r="H558" i="26"/>
  <c r="AY557" i="26"/>
  <c r="AX557" i="26"/>
  <c r="BJ557" i="26" s="1"/>
  <c r="AS557" i="26"/>
  <c r="BH557" i="26" s="1"/>
  <c r="AO557" i="26"/>
  <c r="AL557" i="26"/>
  <c r="BI557" i="26" s="1"/>
  <c r="L557" i="26"/>
  <c r="K557" i="26"/>
  <c r="J557" i="26"/>
  <c r="I557" i="26"/>
  <c r="H557" i="26"/>
  <c r="BH556" i="26"/>
  <c r="BB556" i="26"/>
  <c r="BD556" i="26" s="1"/>
  <c r="AZ556" i="26"/>
  <c r="AY556" i="26"/>
  <c r="BA556" i="26" s="1"/>
  <c r="AX556" i="26"/>
  <c r="BL556" i="26" s="1"/>
  <c r="AS556" i="26"/>
  <c r="AO556" i="26"/>
  <c r="AL556" i="26"/>
  <c r="BI556" i="26" s="1"/>
  <c r="L556" i="26"/>
  <c r="K556" i="26"/>
  <c r="J556" i="26"/>
  <c r="I556" i="26"/>
  <c r="H556" i="26"/>
  <c r="AY555" i="26"/>
  <c r="AX555" i="26"/>
  <c r="BJ555" i="26" s="1"/>
  <c r="AS555" i="26"/>
  <c r="BH555" i="26" s="1"/>
  <c r="AO555" i="26"/>
  <c r="AL555" i="26"/>
  <c r="BI555" i="26" s="1"/>
  <c r="L555" i="26"/>
  <c r="K555" i="26"/>
  <c r="J555" i="26"/>
  <c r="I555" i="26"/>
  <c r="H555" i="26"/>
  <c r="BH554" i="26"/>
  <c r="BB554" i="26"/>
  <c r="BD554" i="26" s="1"/>
  <c r="AZ554" i="26"/>
  <c r="AY554" i="26"/>
  <c r="BA554" i="26" s="1"/>
  <c r="AX554" i="26"/>
  <c r="BL554" i="26" s="1"/>
  <c r="AS554" i="26"/>
  <c r="AO554" i="26"/>
  <c r="AL554" i="26"/>
  <c r="BI554" i="26" s="1"/>
  <c r="L554" i="26"/>
  <c r="K554" i="26"/>
  <c r="J554" i="26"/>
  <c r="I554" i="26"/>
  <c r="H554" i="26"/>
  <c r="AY553" i="26"/>
  <c r="AX553" i="26"/>
  <c r="BJ553" i="26" s="1"/>
  <c r="AS553" i="26"/>
  <c r="BH553" i="26" s="1"/>
  <c r="AO553" i="26"/>
  <c r="AL553" i="26"/>
  <c r="BI553" i="26" s="1"/>
  <c r="L553" i="26"/>
  <c r="K553" i="26"/>
  <c r="J553" i="26"/>
  <c r="I553" i="26"/>
  <c r="H553" i="26"/>
  <c r="BH552" i="26"/>
  <c r="BB552" i="26"/>
  <c r="BD552" i="26" s="1"/>
  <c r="AZ552" i="26"/>
  <c r="AY552" i="26"/>
  <c r="BA552" i="26" s="1"/>
  <c r="AX552" i="26"/>
  <c r="BL552" i="26" s="1"/>
  <c r="AS552" i="26"/>
  <c r="AO552" i="26"/>
  <c r="AL552" i="26"/>
  <c r="BI552" i="26" s="1"/>
  <c r="L552" i="26"/>
  <c r="K552" i="26"/>
  <c r="J552" i="26"/>
  <c r="I552" i="26"/>
  <c r="H552" i="26"/>
  <c r="BJ551" i="26"/>
  <c r="BH551" i="26"/>
  <c r="BB551" i="26"/>
  <c r="AZ551" i="26"/>
  <c r="AY551" i="26"/>
  <c r="BA551" i="26" s="1"/>
  <c r="AX551" i="26"/>
  <c r="BL551" i="26" s="1"/>
  <c r="AS551" i="26"/>
  <c r="AO551" i="26"/>
  <c r="AL551" i="26"/>
  <c r="BI551" i="26" s="1"/>
  <c r="L551" i="26"/>
  <c r="K551" i="26"/>
  <c r="J551" i="26"/>
  <c r="I551" i="26"/>
  <c r="H551" i="26"/>
  <c r="AY550" i="26"/>
  <c r="AX550" i="26"/>
  <c r="BJ550" i="26" s="1"/>
  <c r="AS550" i="26"/>
  <c r="AO550" i="26"/>
  <c r="AL550" i="26"/>
  <c r="L550" i="26"/>
  <c r="K550" i="26"/>
  <c r="J550" i="26"/>
  <c r="I550" i="26"/>
  <c r="H550" i="26"/>
  <c r="BH549" i="26"/>
  <c r="BD549" i="26"/>
  <c r="BB549" i="26"/>
  <c r="BC549" i="26" s="1"/>
  <c r="AZ549" i="26"/>
  <c r="AY549" i="26"/>
  <c r="AX549" i="26"/>
  <c r="BJ549" i="26" s="1"/>
  <c r="AS549" i="26"/>
  <c r="AO549" i="26"/>
  <c r="AL549" i="26"/>
  <c r="BI549" i="26" s="1"/>
  <c r="L549" i="26"/>
  <c r="K549" i="26"/>
  <c r="J549" i="26"/>
  <c r="I549" i="26"/>
  <c r="H549" i="26"/>
  <c r="BI548" i="26"/>
  <c r="BE548" i="26"/>
  <c r="AY548" i="26"/>
  <c r="AX548" i="26"/>
  <c r="BJ548" i="26" s="1"/>
  <c r="AS548" i="26"/>
  <c r="AO548" i="26"/>
  <c r="AL548" i="26"/>
  <c r="L548" i="26"/>
  <c r="K548" i="26"/>
  <c r="J548" i="26"/>
  <c r="I548" i="26"/>
  <c r="H548" i="26"/>
  <c r="BJ547" i="26"/>
  <c r="BH547" i="26"/>
  <c r="BB547" i="26"/>
  <c r="AZ547" i="26"/>
  <c r="AY547" i="26"/>
  <c r="BA547" i="26" s="1"/>
  <c r="AX547" i="26"/>
  <c r="BL547" i="26" s="1"/>
  <c r="AS547" i="26"/>
  <c r="AO547" i="26"/>
  <c r="AL547" i="26"/>
  <c r="BI547" i="26" s="1"/>
  <c r="L547" i="26"/>
  <c r="K547" i="26"/>
  <c r="J547" i="26"/>
  <c r="I547" i="26"/>
  <c r="H547" i="26"/>
  <c r="AY546" i="26"/>
  <c r="AX546" i="26"/>
  <c r="BJ546" i="26" s="1"/>
  <c r="AS546" i="26"/>
  <c r="AO546" i="26"/>
  <c r="AL546" i="26"/>
  <c r="L546" i="26"/>
  <c r="K546" i="26"/>
  <c r="J546" i="26"/>
  <c r="I546" i="26"/>
  <c r="H546" i="26"/>
  <c r="BH545" i="26"/>
  <c r="BD545" i="26"/>
  <c r="BB545" i="26"/>
  <c r="BC545" i="26" s="1"/>
  <c r="AZ545" i="26"/>
  <c r="AY545" i="26"/>
  <c r="AX545" i="26"/>
  <c r="BJ545" i="26" s="1"/>
  <c r="AS545" i="26"/>
  <c r="AO545" i="26"/>
  <c r="AL545" i="26"/>
  <c r="BI545" i="26" s="1"/>
  <c r="L545" i="26"/>
  <c r="K545" i="26"/>
  <c r="J545" i="26"/>
  <c r="I545" i="26"/>
  <c r="H545" i="26"/>
  <c r="BI544" i="26"/>
  <c r="BE544" i="26"/>
  <c r="AY544" i="26"/>
  <c r="AX544" i="26"/>
  <c r="BJ544" i="26" s="1"/>
  <c r="AS544" i="26"/>
  <c r="AO544" i="26"/>
  <c r="AL544" i="26"/>
  <c r="L544" i="26"/>
  <c r="K544" i="26"/>
  <c r="J544" i="26"/>
  <c r="I544" i="26"/>
  <c r="H544" i="26"/>
  <c r="BJ543" i="26"/>
  <c r="BH543" i="26"/>
  <c r="BB543" i="26"/>
  <c r="AZ543" i="26"/>
  <c r="AY543" i="26"/>
  <c r="BA543" i="26" s="1"/>
  <c r="AX543" i="26"/>
  <c r="BL543" i="26" s="1"/>
  <c r="AS543" i="26"/>
  <c r="AO543" i="26"/>
  <c r="AL543" i="26"/>
  <c r="BI543" i="26" s="1"/>
  <c r="L543" i="26"/>
  <c r="K543" i="26"/>
  <c r="J543" i="26"/>
  <c r="I543" i="26"/>
  <c r="H543" i="26"/>
  <c r="AY542" i="26"/>
  <c r="AX542" i="26"/>
  <c r="BJ542" i="26" s="1"/>
  <c r="AS542" i="26"/>
  <c r="AO542" i="26"/>
  <c r="AL542" i="26"/>
  <c r="L542" i="26"/>
  <c r="K542" i="26"/>
  <c r="J542" i="26"/>
  <c r="I542" i="26"/>
  <c r="H542" i="26"/>
  <c r="BH541" i="26"/>
  <c r="BD541" i="26"/>
  <c r="BB541" i="26"/>
  <c r="BC541" i="26" s="1"/>
  <c r="AZ541" i="26"/>
  <c r="AY541" i="26"/>
  <c r="AX541" i="26"/>
  <c r="BJ541" i="26" s="1"/>
  <c r="AS541" i="26"/>
  <c r="AO541" i="26"/>
  <c r="AL541" i="26"/>
  <c r="BI541" i="26" s="1"/>
  <c r="L541" i="26"/>
  <c r="K541" i="26"/>
  <c r="J541" i="26"/>
  <c r="I541" i="26"/>
  <c r="H541" i="26"/>
  <c r="BI540" i="26"/>
  <c r="BE540" i="26"/>
  <c r="AY540" i="26"/>
  <c r="AX540" i="26"/>
  <c r="BJ540" i="26" s="1"/>
  <c r="AS540" i="26"/>
  <c r="AO540" i="26"/>
  <c r="AL540" i="26"/>
  <c r="L540" i="26"/>
  <c r="K540" i="26"/>
  <c r="J540" i="26"/>
  <c r="I540" i="26"/>
  <c r="H540" i="26"/>
  <c r="BJ539" i="26"/>
  <c r="BH539" i="26"/>
  <c r="BB539" i="26"/>
  <c r="AZ539" i="26"/>
  <c r="AY539" i="26"/>
  <c r="BA539" i="26" s="1"/>
  <c r="AX539" i="26"/>
  <c r="BL539" i="26" s="1"/>
  <c r="AS539" i="26"/>
  <c r="AO539" i="26"/>
  <c r="AL539" i="26"/>
  <c r="BI539" i="26" s="1"/>
  <c r="L539" i="26"/>
  <c r="K539" i="26"/>
  <c r="J539" i="26"/>
  <c r="I539" i="26"/>
  <c r="H539" i="26"/>
  <c r="AY538" i="26"/>
  <c r="AX538" i="26"/>
  <c r="BJ538" i="26" s="1"/>
  <c r="AS538" i="26"/>
  <c r="AO538" i="26"/>
  <c r="AL538" i="26"/>
  <c r="L538" i="26"/>
  <c r="K538" i="26"/>
  <c r="J538" i="26"/>
  <c r="I538" i="26"/>
  <c r="H538" i="26"/>
  <c r="BH537" i="26"/>
  <c r="BD537" i="26"/>
  <c r="BB537" i="26"/>
  <c r="BC537" i="26" s="1"/>
  <c r="AZ537" i="26"/>
  <c r="AY537" i="26"/>
  <c r="AX537" i="26"/>
  <c r="BJ537" i="26" s="1"/>
  <c r="AS537" i="26"/>
  <c r="AO537" i="26"/>
  <c r="AL537" i="26"/>
  <c r="BI537" i="26" s="1"/>
  <c r="L537" i="26"/>
  <c r="K537" i="26"/>
  <c r="J537" i="26"/>
  <c r="I537" i="26"/>
  <c r="H537" i="26"/>
  <c r="BI536" i="26"/>
  <c r="BE536" i="26"/>
  <c r="AY536" i="26"/>
  <c r="AX536" i="26"/>
  <c r="BJ536" i="26" s="1"/>
  <c r="AS536" i="26"/>
  <c r="AO536" i="26"/>
  <c r="AL536" i="26"/>
  <c r="L536" i="26"/>
  <c r="K536" i="26"/>
  <c r="J536" i="26"/>
  <c r="I536" i="26"/>
  <c r="H536" i="26"/>
  <c r="BJ535" i="26"/>
  <c r="BH535" i="26"/>
  <c r="BB535" i="26"/>
  <c r="AZ535" i="26"/>
  <c r="AY535" i="26"/>
  <c r="BA535" i="26" s="1"/>
  <c r="AX535" i="26"/>
  <c r="BL535" i="26" s="1"/>
  <c r="AS535" i="26"/>
  <c r="AO535" i="26"/>
  <c r="AL535" i="26"/>
  <c r="BI535" i="26" s="1"/>
  <c r="L535" i="26"/>
  <c r="K535" i="26"/>
  <c r="J535" i="26"/>
  <c r="I535" i="26"/>
  <c r="H535" i="26"/>
  <c r="AY534" i="26"/>
  <c r="AX534" i="26"/>
  <c r="BJ534" i="26" s="1"/>
  <c r="AS534" i="26"/>
  <c r="AO534" i="26"/>
  <c r="AL534" i="26"/>
  <c r="L534" i="26"/>
  <c r="K534" i="26"/>
  <c r="J534" i="26"/>
  <c r="I534" i="26"/>
  <c r="H534" i="26"/>
  <c r="BH533" i="26"/>
  <c r="BD533" i="26"/>
  <c r="BB533" i="26"/>
  <c r="BC533" i="26" s="1"/>
  <c r="AZ533" i="26"/>
  <c r="AY533" i="26"/>
  <c r="AX533" i="26"/>
  <c r="BJ533" i="26" s="1"/>
  <c r="AS533" i="26"/>
  <c r="AO533" i="26"/>
  <c r="AL533" i="26"/>
  <c r="BI533" i="26" s="1"/>
  <c r="L533" i="26"/>
  <c r="K533" i="26"/>
  <c r="J533" i="26"/>
  <c r="I533" i="26"/>
  <c r="H533" i="26"/>
  <c r="BI532" i="26"/>
  <c r="BE532" i="26"/>
  <c r="AY532" i="26"/>
  <c r="AX532" i="26"/>
  <c r="BJ532" i="26" s="1"/>
  <c r="AS532" i="26"/>
  <c r="AO532" i="26"/>
  <c r="AL532" i="26"/>
  <c r="L532" i="26"/>
  <c r="K532" i="26"/>
  <c r="J532" i="26"/>
  <c r="I532" i="26"/>
  <c r="H532" i="26"/>
  <c r="BJ531" i="26"/>
  <c r="BH531" i="26"/>
  <c r="BB531" i="26"/>
  <c r="AZ531" i="26"/>
  <c r="AY531" i="26"/>
  <c r="BA531" i="26" s="1"/>
  <c r="AX531" i="26"/>
  <c r="BL531" i="26" s="1"/>
  <c r="AS531" i="26"/>
  <c r="AO531" i="26"/>
  <c r="AL531" i="26"/>
  <c r="BI531" i="26" s="1"/>
  <c r="L531" i="26"/>
  <c r="K531" i="26"/>
  <c r="J531" i="26"/>
  <c r="I531" i="26"/>
  <c r="H531" i="26"/>
  <c r="AY530" i="26"/>
  <c r="AX530" i="26"/>
  <c r="BJ530" i="26" s="1"/>
  <c r="AS530" i="26"/>
  <c r="AO530" i="26"/>
  <c r="AL530" i="26"/>
  <c r="L530" i="26"/>
  <c r="K530" i="26"/>
  <c r="J530" i="26"/>
  <c r="I530" i="26"/>
  <c r="H530" i="26"/>
  <c r="BH529" i="26"/>
  <c r="BD529" i="26"/>
  <c r="BB529" i="26"/>
  <c r="BC529" i="26" s="1"/>
  <c r="AZ529" i="26"/>
  <c r="AY529" i="26"/>
  <c r="AX529" i="26"/>
  <c r="BJ529" i="26" s="1"/>
  <c r="AS529" i="26"/>
  <c r="AO529" i="26"/>
  <c r="AL529" i="26"/>
  <c r="BI529" i="26" s="1"/>
  <c r="L529" i="26"/>
  <c r="K529" i="26"/>
  <c r="J529" i="26"/>
  <c r="I529" i="26"/>
  <c r="H529" i="26"/>
  <c r="BI528" i="26"/>
  <c r="BE528" i="26"/>
  <c r="AY528" i="26"/>
  <c r="AX528" i="26"/>
  <c r="BJ528" i="26" s="1"/>
  <c r="AS528" i="26"/>
  <c r="AO528" i="26"/>
  <c r="AL528" i="26"/>
  <c r="L528" i="26"/>
  <c r="K528" i="26"/>
  <c r="J528" i="26"/>
  <c r="I528" i="26"/>
  <c r="H528" i="26"/>
  <c r="BJ527" i="26"/>
  <c r="BH527" i="26"/>
  <c r="BB527" i="26"/>
  <c r="AZ527" i="26"/>
  <c r="AY527" i="26"/>
  <c r="BA527" i="26" s="1"/>
  <c r="AX527" i="26"/>
  <c r="BL527" i="26" s="1"/>
  <c r="AS527" i="26"/>
  <c r="AO527" i="26"/>
  <c r="AL527" i="26"/>
  <c r="BI527" i="26" s="1"/>
  <c r="L527" i="26"/>
  <c r="K527" i="26"/>
  <c r="J527" i="26"/>
  <c r="I527" i="26"/>
  <c r="H527" i="26"/>
  <c r="AY526" i="26"/>
  <c r="AX526" i="26"/>
  <c r="BJ526" i="26" s="1"/>
  <c r="AS526" i="26"/>
  <c r="AO526" i="26"/>
  <c r="AL526" i="26"/>
  <c r="L526" i="26"/>
  <c r="K526" i="26"/>
  <c r="J526" i="26"/>
  <c r="I526" i="26"/>
  <c r="H526" i="26"/>
  <c r="BH525" i="26"/>
  <c r="BD525" i="26"/>
  <c r="BB525" i="26"/>
  <c r="BC525" i="26" s="1"/>
  <c r="AZ525" i="26"/>
  <c r="AY525" i="26"/>
  <c r="AX525" i="26"/>
  <c r="BJ525" i="26" s="1"/>
  <c r="AS525" i="26"/>
  <c r="AO525" i="26"/>
  <c r="AL525" i="26"/>
  <c r="BI525" i="26" s="1"/>
  <c r="L525" i="26"/>
  <c r="K525" i="26"/>
  <c r="J525" i="26"/>
  <c r="I525" i="26"/>
  <c r="H525" i="26"/>
  <c r="BI524" i="26"/>
  <c r="BE524" i="26"/>
  <c r="AY524" i="26"/>
  <c r="AX524" i="26"/>
  <c r="BJ524" i="26" s="1"/>
  <c r="AS524" i="26"/>
  <c r="AO524" i="26"/>
  <c r="AL524" i="26"/>
  <c r="L524" i="26"/>
  <c r="K524" i="26"/>
  <c r="J524" i="26"/>
  <c r="I524" i="26"/>
  <c r="H524" i="26"/>
  <c r="BJ523" i="26"/>
  <c r="BH523" i="26"/>
  <c r="BB523" i="26"/>
  <c r="AZ523" i="26"/>
  <c r="AY523" i="26"/>
  <c r="BA523" i="26" s="1"/>
  <c r="AX523" i="26"/>
  <c r="BL523" i="26" s="1"/>
  <c r="AS523" i="26"/>
  <c r="AO523" i="26"/>
  <c r="AL523" i="26"/>
  <c r="BI523" i="26" s="1"/>
  <c r="L523" i="26"/>
  <c r="K523" i="26"/>
  <c r="J523" i="26"/>
  <c r="I523" i="26"/>
  <c r="H523" i="26"/>
  <c r="AY522" i="26"/>
  <c r="AX522" i="26"/>
  <c r="BJ522" i="26" s="1"/>
  <c r="AS522" i="26"/>
  <c r="AO522" i="26"/>
  <c r="AL522" i="26"/>
  <c r="L522" i="26"/>
  <c r="K522" i="26"/>
  <c r="J522" i="26"/>
  <c r="I522" i="26"/>
  <c r="H522" i="26"/>
  <c r="BH521" i="26"/>
  <c r="BD521" i="26"/>
  <c r="BB521" i="26"/>
  <c r="BC521" i="26" s="1"/>
  <c r="AZ521" i="26"/>
  <c r="AY521" i="26"/>
  <c r="AX521" i="26"/>
  <c r="BJ521" i="26" s="1"/>
  <c r="AS521" i="26"/>
  <c r="AO521" i="26"/>
  <c r="AL521" i="26"/>
  <c r="BI521" i="26" s="1"/>
  <c r="L521" i="26"/>
  <c r="K521" i="26"/>
  <c r="J521" i="26"/>
  <c r="I521" i="26"/>
  <c r="H521" i="26"/>
  <c r="BI520" i="26"/>
  <c r="BE520" i="26"/>
  <c r="AY520" i="26"/>
  <c r="AX520" i="26"/>
  <c r="BJ520" i="26" s="1"/>
  <c r="AS520" i="26"/>
  <c r="AO520" i="26"/>
  <c r="AL520" i="26"/>
  <c r="L520" i="26"/>
  <c r="K520" i="26"/>
  <c r="J520" i="26"/>
  <c r="I520" i="26"/>
  <c r="H520" i="26"/>
  <c r="BJ519" i="26"/>
  <c r="BH519" i="26"/>
  <c r="BB519" i="26"/>
  <c r="AZ519" i="26"/>
  <c r="AY519" i="26"/>
  <c r="BA519" i="26" s="1"/>
  <c r="AX519" i="26"/>
  <c r="BL519" i="26" s="1"/>
  <c r="AS519" i="26"/>
  <c r="AO519" i="26"/>
  <c r="AL519" i="26"/>
  <c r="BI519" i="26" s="1"/>
  <c r="L519" i="26"/>
  <c r="K519" i="26"/>
  <c r="J519" i="26"/>
  <c r="I519" i="26"/>
  <c r="H519" i="26"/>
  <c r="AY518" i="26"/>
  <c r="AX518" i="26"/>
  <c r="BJ518" i="26" s="1"/>
  <c r="AS518" i="26"/>
  <c r="AO518" i="26"/>
  <c r="AL518" i="26"/>
  <c r="L518" i="26"/>
  <c r="K518" i="26"/>
  <c r="J518" i="26"/>
  <c r="I518" i="26"/>
  <c r="H518" i="26"/>
  <c r="BH517" i="26"/>
  <c r="BD517" i="26"/>
  <c r="BB517" i="26"/>
  <c r="BC517" i="26" s="1"/>
  <c r="AZ517" i="26"/>
  <c r="AY517" i="26"/>
  <c r="AX517" i="26"/>
  <c r="BJ517" i="26" s="1"/>
  <c r="AS517" i="26"/>
  <c r="AO517" i="26"/>
  <c r="AL517" i="26"/>
  <c r="BI517" i="26" s="1"/>
  <c r="L517" i="26"/>
  <c r="K517" i="26"/>
  <c r="J517" i="26"/>
  <c r="I517" i="26"/>
  <c r="H517" i="26"/>
  <c r="BI516" i="26"/>
  <c r="BE516" i="26"/>
  <c r="AY516" i="26"/>
  <c r="AX516" i="26"/>
  <c r="BJ516" i="26" s="1"/>
  <c r="AS516" i="26"/>
  <c r="AO516" i="26"/>
  <c r="AL516" i="26"/>
  <c r="L516" i="26"/>
  <c r="K516" i="26"/>
  <c r="J516" i="26"/>
  <c r="I516" i="26"/>
  <c r="H516" i="26"/>
  <c r="BJ515" i="26"/>
  <c r="BH515" i="26"/>
  <c r="BB515" i="26"/>
  <c r="AZ515" i="26"/>
  <c r="AY515" i="26"/>
  <c r="BA515" i="26" s="1"/>
  <c r="AX515" i="26"/>
  <c r="BL515" i="26" s="1"/>
  <c r="AS515" i="26"/>
  <c r="AO515" i="26"/>
  <c r="AL515" i="26"/>
  <c r="BI515" i="26" s="1"/>
  <c r="L515" i="26"/>
  <c r="K515" i="26"/>
  <c r="J515" i="26"/>
  <c r="I515" i="26"/>
  <c r="H515" i="26"/>
  <c r="AY514" i="26"/>
  <c r="AX514" i="26"/>
  <c r="BJ514" i="26" s="1"/>
  <c r="AS514" i="26"/>
  <c r="AO514" i="26"/>
  <c r="AL514" i="26"/>
  <c r="L514" i="26"/>
  <c r="K514" i="26"/>
  <c r="J514" i="26"/>
  <c r="I514" i="26"/>
  <c r="H514" i="26"/>
  <c r="BH513" i="26"/>
  <c r="BD513" i="26"/>
  <c r="BB513" i="26"/>
  <c r="BC513" i="26" s="1"/>
  <c r="AZ513" i="26"/>
  <c r="AY513" i="26"/>
  <c r="AX513" i="26"/>
  <c r="BJ513" i="26" s="1"/>
  <c r="AS513" i="26"/>
  <c r="AO513" i="26"/>
  <c r="AL513" i="26"/>
  <c r="BI513" i="26" s="1"/>
  <c r="L513" i="26"/>
  <c r="K513" i="26"/>
  <c r="J513" i="26"/>
  <c r="I513" i="26"/>
  <c r="H513" i="26"/>
  <c r="BI512" i="26"/>
  <c r="BE512" i="26"/>
  <c r="AY512" i="26"/>
  <c r="AX512" i="26"/>
  <c r="BJ512" i="26" s="1"/>
  <c r="AS512" i="26"/>
  <c r="AO512" i="26"/>
  <c r="AL512" i="26"/>
  <c r="L512" i="26"/>
  <c r="K512" i="26"/>
  <c r="J512" i="26"/>
  <c r="I512" i="26"/>
  <c r="H512" i="26"/>
  <c r="BJ511" i="26"/>
  <c r="BH511" i="26"/>
  <c r="BB511" i="26"/>
  <c r="AZ511" i="26"/>
  <c r="AY511" i="26"/>
  <c r="BA511" i="26" s="1"/>
  <c r="AX511" i="26"/>
  <c r="BL511" i="26" s="1"/>
  <c r="AS511" i="26"/>
  <c r="AO511" i="26"/>
  <c r="AL511" i="26"/>
  <c r="BI511" i="26" s="1"/>
  <c r="L511" i="26"/>
  <c r="K511" i="26"/>
  <c r="J511" i="26"/>
  <c r="I511" i="26"/>
  <c r="H511" i="26"/>
  <c r="AY510" i="26"/>
  <c r="AX510" i="26"/>
  <c r="BJ510" i="26" s="1"/>
  <c r="AS510" i="26"/>
  <c r="AO510" i="26"/>
  <c r="AL510" i="26"/>
  <c r="L510" i="26"/>
  <c r="K510" i="26"/>
  <c r="J510" i="26"/>
  <c r="I510" i="26"/>
  <c r="H510" i="26"/>
  <c r="BH509" i="26"/>
  <c r="BD509" i="26"/>
  <c r="BB509" i="26"/>
  <c r="BC509" i="26" s="1"/>
  <c r="AZ509" i="26"/>
  <c r="AY509" i="26"/>
  <c r="AX509" i="26"/>
  <c r="BJ509" i="26" s="1"/>
  <c r="AS509" i="26"/>
  <c r="AO509" i="26"/>
  <c r="AL509" i="26"/>
  <c r="BI509" i="26" s="1"/>
  <c r="L509" i="26"/>
  <c r="K509" i="26"/>
  <c r="J509" i="26"/>
  <c r="I509" i="26"/>
  <c r="H509" i="26"/>
  <c r="BI508" i="26"/>
  <c r="BE508" i="26"/>
  <c r="AY508" i="26"/>
  <c r="AX508" i="26"/>
  <c r="BJ508" i="26" s="1"/>
  <c r="AS508" i="26"/>
  <c r="AO508" i="26"/>
  <c r="AL508" i="26"/>
  <c r="L508" i="26"/>
  <c r="K508" i="26"/>
  <c r="J508" i="26"/>
  <c r="I508" i="26"/>
  <c r="H508" i="26"/>
  <c r="BJ507" i="26"/>
  <c r="BH507" i="26"/>
  <c r="BB507" i="26"/>
  <c r="AZ507" i="26"/>
  <c r="AY507" i="26"/>
  <c r="BA507" i="26" s="1"/>
  <c r="AX507" i="26"/>
  <c r="BL507" i="26" s="1"/>
  <c r="AS507" i="26"/>
  <c r="AO507" i="26"/>
  <c r="AL507" i="26"/>
  <c r="BI507" i="26" s="1"/>
  <c r="L507" i="26"/>
  <c r="K507" i="26"/>
  <c r="J507" i="26"/>
  <c r="I507" i="26"/>
  <c r="H507" i="26"/>
  <c r="AY506" i="26"/>
  <c r="AX506" i="26"/>
  <c r="BJ506" i="26" s="1"/>
  <c r="AS506" i="26"/>
  <c r="AO506" i="26"/>
  <c r="AL506" i="26"/>
  <c r="L506" i="26"/>
  <c r="K506" i="26"/>
  <c r="J506" i="26"/>
  <c r="I506" i="26"/>
  <c r="H506" i="26"/>
  <c r="BH505" i="26"/>
  <c r="BD505" i="26"/>
  <c r="BB505" i="26"/>
  <c r="BC505" i="26" s="1"/>
  <c r="AZ505" i="26"/>
  <c r="AY505" i="26"/>
  <c r="AX505" i="26"/>
  <c r="BJ505" i="26" s="1"/>
  <c r="AS505" i="26"/>
  <c r="AO505" i="26"/>
  <c r="AL505" i="26"/>
  <c r="BI505" i="26" s="1"/>
  <c r="L505" i="26"/>
  <c r="K505" i="26"/>
  <c r="J505" i="26"/>
  <c r="I505" i="26"/>
  <c r="H505" i="26"/>
  <c r="BI504" i="26"/>
  <c r="BE504" i="26"/>
  <c r="AY504" i="26"/>
  <c r="AX504" i="26"/>
  <c r="BJ504" i="26" s="1"/>
  <c r="AS504" i="26"/>
  <c r="AO504" i="26"/>
  <c r="AL504" i="26"/>
  <c r="L504" i="26"/>
  <c r="K504" i="26"/>
  <c r="J504" i="26"/>
  <c r="I504" i="26"/>
  <c r="H504" i="26"/>
  <c r="BJ503" i="26"/>
  <c r="BH503" i="26"/>
  <c r="BB503" i="26"/>
  <c r="AZ503" i="26"/>
  <c r="AY503" i="26"/>
  <c r="BA503" i="26" s="1"/>
  <c r="AX503" i="26"/>
  <c r="BL503" i="26" s="1"/>
  <c r="AS503" i="26"/>
  <c r="AO503" i="26"/>
  <c r="AL503" i="26"/>
  <c r="BI503" i="26" s="1"/>
  <c r="L503" i="26"/>
  <c r="K503" i="26"/>
  <c r="J503" i="26"/>
  <c r="I503" i="26"/>
  <c r="H503" i="26"/>
  <c r="AY502" i="26"/>
  <c r="AX502" i="26"/>
  <c r="BJ502" i="26" s="1"/>
  <c r="AS502" i="26"/>
  <c r="AO502" i="26"/>
  <c r="AL502" i="26"/>
  <c r="L502" i="26"/>
  <c r="K502" i="26"/>
  <c r="J502" i="26"/>
  <c r="I502" i="26"/>
  <c r="H502" i="26"/>
  <c r="BH501" i="26"/>
  <c r="BD501" i="26"/>
  <c r="BB501" i="26"/>
  <c r="BC501" i="26" s="1"/>
  <c r="AZ501" i="26"/>
  <c r="AY501" i="26"/>
  <c r="AX501" i="26"/>
  <c r="BJ501" i="26" s="1"/>
  <c r="AS501" i="26"/>
  <c r="AO501" i="26"/>
  <c r="AL501" i="26"/>
  <c r="BI501" i="26" s="1"/>
  <c r="L501" i="26"/>
  <c r="K501" i="26"/>
  <c r="J501" i="26"/>
  <c r="I501" i="26"/>
  <c r="H501" i="26"/>
  <c r="BI500" i="26"/>
  <c r="BE500" i="26"/>
  <c r="AY500" i="26"/>
  <c r="AX500" i="26"/>
  <c r="BJ500" i="26" s="1"/>
  <c r="AS500" i="26"/>
  <c r="AO500" i="26"/>
  <c r="AL500" i="26"/>
  <c r="L500" i="26"/>
  <c r="K500" i="26"/>
  <c r="J500" i="26"/>
  <c r="I500" i="26"/>
  <c r="H500" i="26"/>
  <c r="BJ499" i="26"/>
  <c r="BH499" i="26"/>
  <c r="BB499" i="26"/>
  <c r="AZ499" i="26"/>
  <c r="AY499" i="26"/>
  <c r="BA499" i="26" s="1"/>
  <c r="AX499" i="26"/>
  <c r="BL499" i="26" s="1"/>
  <c r="AS499" i="26"/>
  <c r="AO499" i="26"/>
  <c r="AL499" i="26"/>
  <c r="BI499" i="26" s="1"/>
  <c r="L499" i="26"/>
  <c r="K499" i="26"/>
  <c r="J499" i="26"/>
  <c r="I499" i="26"/>
  <c r="H499" i="26"/>
  <c r="AY498" i="26"/>
  <c r="AX498" i="26"/>
  <c r="BJ498" i="26" s="1"/>
  <c r="AS498" i="26"/>
  <c r="AO498" i="26"/>
  <c r="AL498" i="26"/>
  <c r="L498" i="26"/>
  <c r="K498" i="26"/>
  <c r="J498" i="26"/>
  <c r="I498" i="26"/>
  <c r="H498" i="26"/>
  <c r="BH497" i="26"/>
  <c r="BD497" i="26"/>
  <c r="BB497" i="26"/>
  <c r="BC497" i="26" s="1"/>
  <c r="AZ497" i="26"/>
  <c r="AY497" i="26"/>
  <c r="AX497" i="26"/>
  <c r="BJ497" i="26" s="1"/>
  <c r="AS497" i="26"/>
  <c r="AO497" i="26"/>
  <c r="AL497" i="26"/>
  <c r="BI497" i="26" s="1"/>
  <c r="L497" i="26"/>
  <c r="K497" i="26"/>
  <c r="J497" i="26"/>
  <c r="I497" i="26"/>
  <c r="H497" i="26"/>
  <c r="BI496" i="26"/>
  <c r="BE496" i="26"/>
  <c r="AY496" i="26"/>
  <c r="AX496" i="26"/>
  <c r="BJ496" i="26" s="1"/>
  <c r="AS496" i="26"/>
  <c r="AO496" i="26"/>
  <c r="AL496" i="26"/>
  <c r="L496" i="26"/>
  <c r="K496" i="26"/>
  <c r="J496" i="26"/>
  <c r="I496" i="26"/>
  <c r="H496" i="26"/>
  <c r="BJ495" i="26"/>
  <c r="BH495" i="26"/>
  <c r="BB495" i="26"/>
  <c r="AZ495" i="26"/>
  <c r="AY495" i="26"/>
  <c r="BA495" i="26" s="1"/>
  <c r="AX495" i="26"/>
  <c r="BL495" i="26" s="1"/>
  <c r="AS495" i="26"/>
  <c r="AO495" i="26"/>
  <c r="AL495" i="26"/>
  <c r="BI495" i="26" s="1"/>
  <c r="L495" i="26"/>
  <c r="K495" i="26"/>
  <c r="J495" i="26"/>
  <c r="I495" i="26"/>
  <c r="H495" i="26"/>
  <c r="AY494" i="26"/>
  <c r="AX494" i="26"/>
  <c r="BJ494" i="26" s="1"/>
  <c r="AS494" i="26"/>
  <c r="AO494" i="26"/>
  <c r="AL494" i="26"/>
  <c r="L494" i="26"/>
  <c r="K494" i="26"/>
  <c r="J494" i="26"/>
  <c r="I494" i="26"/>
  <c r="H494" i="26"/>
  <c r="BH493" i="26"/>
  <c r="BD493" i="26"/>
  <c r="BB493" i="26"/>
  <c r="BC493" i="26" s="1"/>
  <c r="AZ493" i="26"/>
  <c r="AY493" i="26"/>
  <c r="AX493" i="26"/>
  <c r="BJ493" i="26" s="1"/>
  <c r="AS493" i="26"/>
  <c r="AO493" i="26"/>
  <c r="AL493" i="26"/>
  <c r="BI493" i="26" s="1"/>
  <c r="L493" i="26"/>
  <c r="K493" i="26"/>
  <c r="J493" i="26"/>
  <c r="I493" i="26"/>
  <c r="H493" i="26"/>
  <c r="BI492" i="26"/>
  <c r="BE492" i="26"/>
  <c r="AY492" i="26"/>
  <c r="AX492" i="26"/>
  <c r="BJ492" i="26" s="1"/>
  <c r="AS492" i="26"/>
  <c r="AO492" i="26"/>
  <c r="AL492" i="26"/>
  <c r="L492" i="26"/>
  <c r="K492" i="26"/>
  <c r="J492" i="26"/>
  <c r="I492" i="26"/>
  <c r="H492" i="26"/>
  <c r="BJ491" i="26"/>
  <c r="BH491" i="26"/>
  <c r="BB491" i="26"/>
  <c r="AZ491" i="26"/>
  <c r="AY491" i="26"/>
  <c r="BA491" i="26" s="1"/>
  <c r="AX491" i="26"/>
  <c r="BL491" i="26" s="1"/>
  <c r="AS491" i="26"/>
  <c r="AO491" i="26"/>
  <c r="AL491" i="26"/>
  <c r="BI491" i="26" s="1"/>
  <c r="L491" i="26"/>
  <c r="K491" i="26"/>
  <c r="J491" i="26"/>
  <c r="I491" i="26"/>
  <c r="H491" i="26"/>
  <c r="AY490" i="26"/>
  <c r="AX490" i="26"/>
  <c r="BJ490" i="26" s="1"/>
  <c r="AS490" i="26"/>
  <c r="AO490" i="26"/>
  <c r="AL490" i="26"/>
  <c r="L490" i="26"/>
  <c r="K490" i="26"/>
  <c r="J490" i="26"/>
  <c r="I490" i="26"/>
  <c r="H490" i="26"/>
  <c r="BH489" i="26"/>
  <c r="BD489" i="26"/>
  <c r="BB489" i="26"/>
  <c r="BC489" i="26" s="1"/>
  <c r="AZ489" i="26"/>
  <c r="AY489" i="26"/>
  <c r="AX489" i="26"/>
  <c r="BJ489" i="26" s="1"/>
  <c r="AS489" i="26"/>
  <c r="AO489" i="26"/>
  <c r="AL489" i="26"/>
  <c r="BI489" i="26" s="1"/>
  <c r="L489" i="26"/>
  <c r="K489" i="26"/>
  <c r="J489" i="26"/>
  <c r="I489" i="26"/>
  <c r="H489" i="26"/>
  <c r="BI488" i="26"/>
  <c r="BE488" i="26"/>
  <c r="AY488" i="26"/>
  <c r="AX488" i="26"/>
  <c r="BJ488" i="26" s="1"/>
  <c r="AS488" i="26"/>
  <c r="AO488" i="26"/>
  <c r="AL488" i="26"/>
  <c r="L488" i="26"/>
  <c r="K488" i="26"/>
  <c r="J488" i="26"/>
  <c r="I488" i="26"/>
  <c r="H488" i="26"/>
  <c r="BJ487" i="26"/>
  <c r="BH487" i="26"/>
  <c r="BB487" i="26"/>
  <c r="AZ487" i="26"/>
  <c r="AY487" i="26"/>
  <c r="BA487" i="26" s="1"/>
  <c r="AX487" i="26"/>
  <c r="BL487" i="26" s="1"/>
  <c r="AS487" i="26"/>
  <c r="AO487" i="26"/>
  <c r="AL487" i="26"/>
  <c r="BI487" i="26" s="1"/>
  <c r="L487" i="26"/>
  <c r="K487" i="26"/>
  <c r="J487" i="26"/>
  <c r="I487" i="26"/>
  <c r="H487" i="26"/>
  <c r="AY486" i="26"/>
  <c r="AX486" i="26"/>
  <c r="BJ486" i="26" s="1"/>
  <c r="AS486" i="26"/>
  <c r="AO486" i="26"/>
  <c r="AL486" i="26"/>
  <c r="L486" i="26"/>
  <c r="K486" i="26"/>
  <c r="J486" i="26"/>
  <c r="I486" i="26"/>
  <c r="H486" i="26"/>
  <c r="BH485" i="26"/>
  <c r="BD485" i="26"/>
  <c r="BB485" i="26"/>
  <c r="BC485" i="26" s="1"/>
  <c r="AZ485" i="26"/>
  <c r="AY485" i="26"/>
  <c r="AX485" i="26"/>
  <c r="BJ485" i="26" s="1"/>
  <c r="AS485" i="26"/>
  <c r="AO485" i="26"/>
  <c r="AL485" i="26"/>
  <c r="BI485" i="26" s="1"/>
  <c r="L485" i="26"/>
  <c r="K485" i="26"/>
  <c r="J485" i="26"/>
  <c r="I485" i="26"/>
  <c r="H485" i="26"/>
  <c r="BI484" i="26"/>
  <c r="BE484" i="26"/>
  <c r="AY484" i="26"/>
  <c r="AX484" i="26"/>
  <c r="BJ484" i="26" s="1"/>
  <c r="AS484" i="26"/>
  <c r="AO484" i="26"/>
  <c r="AL484" i="26"/>
  <c r="L484" i="26"/>
  <c r="K484" i="26"/>
  <c r="J484" i="26"/>
  <c r="I484" i="26"/>
  <c r="H484" i="26"/>
  <c r="BJ483" i="26"/>
  <c r="BH483" i="26"/>
  <c r="BB483" i="26"/>
  <c r="AZ483" i="26"/>
  <c r="AY483" i="26"/>
  <c r="BA483" i="26" s="1"/>
  <c r="AX483" i="26"/>
  <c r="BL483" i="26" s="1"/>
  <c r="AS483" i="26"/>
  <c r="AO483" i="26"/>
  <c r="AL483" i="26"/>
  <c r="BI483" i="26" s="1"/>
  <c r="L483" i="26"/>
  <c r="K483" i="26"/>
  <c r="J483" i="26"/>
  <c r="I483" i="26"/>
  <c r="H483" i="26"/>
  <c r="AY482" i="26"/>
  <c r="AX482" i="26"/>
  <c r="BJ482" i="26" s="1"/>
  <c r="AS482" i="26"/>
  <c r="AO482" i="26"/>
  <c r="AL482" i="26"/>
  <c r="L482" i="26"/>
  <c r="K482" i="26"/>
  <c r="J482" i="26"/>
  <c r="I482" i="26"/>
  <c r="H482" i="26"/>
  <c r="BH481" i="26"/>
  <c r="BD481" i="26"/>
  <c r="BB481" i="26"/>
  <c r="BC481" i="26" s="1"/>
  <c r="AZ481" i="26"/>
  <c r="AY481" i="26"/>
  <c r="AX481" i="26"/>
  <c r="BJ481" i="26" s="1"/>
  <c r="AS481" i="26"/>
  <c r="AO481" i="26"/>
  <c r="AL481" i="26"/>
  <c r="BI481" i="26" s="1"/>
  <c r="L481" i="26"/>
  <c r="K481" i="26"/>
  <c r="J481" i="26"/>
  <c r="I481" i="26"/>
  <c r="H481" i="26"/>
  <c r="BI480" i="26"/>
  <c r="BE480" i="26"/>
  <c r="AY480" i="26"/>
  <c r="AX480" i="26"/>
  <c r="BJ480" i="26" s="1"/>
  <c r="AS480" i="26"/>
  <c r="AO480" i="26"/>
  <c r="AL480" i="26"/>
  <c r="L480" i="26"/>
  <c r="K480" i="26"/>
  <c r="J480" i="26"/>
  <c r="I480" i="26"/>
  <c r="H480" i="26"/>
  <c r="BJ479" i="26"/>
  <c r="BH479" i="26"/>
  <c r="BB479" i="26"/>
  <c r="AZ479" i="26"/>
  <c r="AY479" i="26"/>
  <c r="BA479" i="26" s="1"/>
  <c r="AX479" i="26"/>
  <c r="BL479" i="26" s="1"/>
  <c r="AS479" i="26"/>
  <c r="AO479" i="26"/>
  <c r="AL479" i="26"/>
  <c r="BI479" i="26" s="1"/>
  <c r="L479" i="26"/>
  <c r="K479" i="26"/>
  <c r="J479" i="26"/>
  <c r="I479" i="26"/>
  <c r="H479" i="26"/>
  <c r="AY478" i="26"/>
  <c r="AX478" i="26"/>
  <c r="BJ478" i="26" s="1"/>
  <c r="AS478" i="26"/>
  <c r="AO478" i="26"/>
  <c r="AL478" i="26"/>
  <c r="L478" i="26"/>
  <c r="K478" i="26"/>
  <c r="J478" i="26"/>
  <c r="I478" i="26"/>
  <c r="H478" i="26"/>
  <c r="BH477" i="26"/>
  <c r="BD477" i="26"/>
  <c r="BB477" i="26"/>
  <c r="BC477" i="26" s="1"/>
  <c r="AZ477" i="26"/>
  <c r="AY477" i="26"/>
  <c r="AX477" i="26"/>
  <c r="BJ477" i="26" s="1"/>
  <c r="AS477" i="26"/>
  <c r="AO477" i="26"/>
  <c r="AL477" i="26"/>
  <c r="BI477" i="26" s="1"/>
  <c r="L477" i="26"/>
  <c r="K477" i="26"/>
  <c r="J477" i="26"/>
  <c r="I477" i="26"/>
  <c r="H477" i="26"/>
  <c r="BI476" i="26"/>
  <c r="BE476" i="26"/>
  <c r="AY476" i="26"/>
  <c r="AX476" i="26"/>
  <c r="BJ476" i="26" s="1"/>
  <c r="AS476" i="26"/>
  <c r="AO476" i="26"/>
  <c r="AL476" i="26"/>
  <c r="L476" i="26"/>
  <c r="K476" i="26"/>
  <c r="J476" i="26"/>
  <c r="I476" i="26"/>
  <c r="H476" i="26"/>
  <c r="BJ475" i="26"/>
  <c r="BH475" i="26"/>
  <c r="BB475" i="26"/>
  <c r="AZ475" i="26"/>
  <c r="AY475" i="26"/>
  <c r="BA475" i="26" s="1"/>
  <c r="AX475" i="26"/>
  <c r="BL475" i="26" s="1"/>
  <c r="AS475" i="26"/>
  <c r="AO475" i="26"/>
  <c r="AL475" i="26"/>
  <c r="BI475" i="26" s="1"/>
  <c r="L475" i="26"/>
  <c r="K475" i="26"/>
  <c r="J475" i="26"/>
  <c r="I475" i="26"/>
  <c r="H475" i="26"/>
  <c r="AY474" i="26"/>
  <c r="AX474" i="26"/>
  <c r="BJ474" i="26" s="1"/>
  <c r="AS474" i="26"/>
  <c r="AO474" i="26"/>
  <c r="AL474" i="26"/>
  <c r="L474" i="26"/>
  <c r="K474" i="26"/>
  <c r="J474" i="26"/>
  <c r="I474" i="26"/>
  <c r="H474" i="26"/>
  <c r="BH473" i="26"/>
  <c r="BD473" i="26"/>
  <c r="BB473" i="26"/>
  <c r="BC473" i="26" s="1"/>
  <c r="AZ473" i="26"/>
  <c r="AY473" i="26"/>
  <c r="AX473" i="26"/>
  <c r="BJ473" i="26" s="1"/>
  <c r="AS473" i="26"/>
  <c r="AO473" i="26"/>
  <c r="AL473" i="26"/>
  <c r="BI473" i="26" s="1"/>
  <c r="L473" i="26"/>
  <c r="K473" i="26"/>
  <c r="J473" i="26"/>
  <c r="I473" i="26"/>
  <c r="H473" i="26"/>
  <c r="BI472" i="26"/>
  <c r="BE472" i="26"/>
  <c r="AY472" i="26"/>
  <c r="AX472" i="26"/>
  <c r="BJ472" i="26" s="1"/>
  <c r="AS472" i="26"/>
  <c r="AO472" i="26"/>
  <c r="AL472" i="26"/>
  <c r="L472" i="26"/>
  <c r="K472" i="26"/>
  <c r="J472" i="26"/>
  <c r="I472" i="26"/>
  <c r="H472" i="26"/>
  <c r="BJ471" i="26"/>
  <c r="BH471" i="26"/>
  <c r="BB471" i="26"/>
  <c r="AZ471" i="26"/>
  <c r="AY471" i="26"/>
  <c r="BA471" i="26" s="1"/>
  <c r="AX471" i="26"/>
  <c r="BL471" i="26" s="1"/>
  <c r="AS471" i="26"/>
  <c r="AO471" i="26"/>
  <c r="AL471" i="26"/>
  <c r="BI471" i="26" s="1"/>
  <c r="L471" i="26"/>
  <c r="K471" i="26"/>
  <c r="J471" i="26"/>
  <c r="I471" i="26"/>
  <c r="H471" i="26"/>
  <c r="AY470" i="26"/>
  <c r="AX470" i="26"/>
  <c r="BJ470" i="26" s="1"/>
  <c r="AS470" i="26"/>
  <c r="AO470" i="26"/>
  <c r="AL470" i="26"/>
  <c r="L470" i="26"/>
  <c r="K470" i="26"/>
  <c r="J470" i="26"/>
  <c r="I470" i="26"/>
  <c r="H470" i="26"/>
  <c r="BH469" i="26"/>
  <c r="BD469" i="26"/>
  <c r="BB469" i="26"/>
  <c r="BC469" i="26" s="1"/>
  <c r="AZ469" i="26"/>
  <c r="AY469" i="26"/>
  <c r="AX469" i="26"/>
  <c r="BJ469" i="26" s="1"/>
  <c r="AS469" i="26"/>
  <c r="AO469" i="26"/>
  <c r="AL469" i="26"/>
  <c r="BI469" i="26" s="1"/>
  <c r="L469" i="26"/>
  <c r="K469" i="26"/>
  <c r="J469" i="26"/>
  <c r="I469" i="26"/>
  <c r="H469" i="26"/>
  <c r="BI468" i="26"/>
  <c r="BE468" i="26"/>
  <c r="AY468" i="26"/>
  <c r="AX468" i="26"/>
  <c r="BJ468" i="26" s="1"/>
  <c r="AS468" i="26"/>
  <c r="AO468" i="26"/>
  <c r="AL468" i="26"/>
  <c r="L468" i="26"/>
  <c r="K468" i="26"/>
  <c r="J468" i="26"/>
  <c r="I468" i="26"/>
  <c r="H468" i="26"/>
  <c r="BJ467" i="26"/>
  <c r="BH467" i="26"/>
  <c r="BB467" i="26"/>
  <c r="AZ467" i="26"/>
  <c r="AY467" i="26"/>
  <c r="BA467" i="26" s="1"/>
  <c r="AX467" i="26"/>
  <c r="BL467" i="26" s="1"/>
  <c r="AS467" i="26"/>
  <c r="AO467" i="26"/>
  <c r="AL467" i="26"/>
  <c r="BI467" i="26" s="1"/>
  <c r="L467" i="26"/>
  <c r="K467" i="26"/>
  <c r="J467" i="26"/>
  <c r="I467" i="26"/>
  <c r="H467" i="26"/>
  <c r="AY466" i="26"/>
  <c r="AX466" i="26"/>
  <c r="BJ466" i="26" s="1"/>
  <c r="AS466" i="26"/>
  <c r="AO466" i="26"/>
  <c r="AL466" i="26"/>
  <c r="L466" i="26"/>
  <c r="K466" i="26"/>
  <c r="J466" i="26"/>
  <c r="I466" i="26"/>
  <c r="H466" i="26"/>
  <c r="BH465" i="26"/>
  <c r="BD465" i="26"/>
  <c r="BB465" i="26"/>
  <c r="BC465" i="26" s="1"/>
  <c r="AZ465" i="26"/>
  <c r="AY465" i="26"/>
  <c r="AX465" i="26"/>
  <c r="BJ465" i="26" s="1"/>
  <c r="AS465" i="26"/>
  <c r="AO465" i="26"/>
  <c r="AL465" i="26"/>
  <c r="BI465" i="26" s="1"/>
  <c r="L465" i="26"/>
  <c r="K465" i="26"/>
  <c r="J465" i="26"/>
  <c r="I465" i="26"/>
  <c r="H465" i="26"/>
  <c r="BI464" i="26"/>
  <c r="BE464" i="26"/>
  <c r="AY464" i="26"/>
  <c r="AX464" i="26"/>
  <c r="BJ464" i="26" s="1"/>
  <c r="AS464" i="26"/>
  <c r="AO464" i="26"/>
  <c r="AL464" i="26"/>
  <c r="L464" i="26"/>
  <c r="K464" i="26"/>
  <c r="J464" i="26"/>
  <c r="I464" i="26"/>
  <c r="H464" i="26"/>
  <c r="BJ463" i="26"/>
  <c r="BH463" i="26"/>
  <c r="BB463" i="26"/>
  <c r="AZ463" i="26"/>
  <c r="AY463" i="26"/>
  <c r="BA463" i="26" s="1"/>
  <c r="AX463" i="26"/>
  <c r="BL463" i="26" s="1"/>
  <c r="AS463" i="26"/>
  <c r="AO463" i="26"/>
  <c r="AL463" i="26"/>
  <c r="BI463" i="26" s="1"/>
  <c r="L463" i="26"/>
  <c r="K463" i="26"/>
  <c r="J463" i="26"/>
  <c r="I463" i="26"/>
  <c r="H463" i="26"/>
  <c r="AY462" i="26"/>
  <c r="AX462" i="26"/>
  <c r="BJ462" i="26" s="1"/>
  <c r="AS462" i="26"/>
  <c r="AO462" i="26"/>
  <c r="AL462" i="26"/>
  <c r="L462" i="26"/>
  <c r="K462" i="26"/>
  <c r="J462" i="26"/>
  <c r="I462" i="26"/>
  <c r="H462" i="26"/>
  <c r="BH461" i="26"/>
  <c r="BD461" i="26"/>
  <c r="BB461" i="26"/>
  <c r="BC461" i="26" s="1"/>
  <c r="AZ461" i="26"/>
  <c r="AY461" i="26"/>
  <c r="AX461" i="26"/>
  <c r="BJ461" i="26" s="1"/>
  <c r="AS461" i="26"/>
  <c r="AO461" i="26"/>
  <c r="AL461" i="26"/>
  <c r="BI461" i="26" s="1"/>
  <c r="L461" i="26"/>
  <c r="K461" i="26"/>
  <c r="J461" i="26"/>
  <c r="I461" i="26"/>
  <c r="H461" i="26"/>
  <c r="BI460" i="26"/>
  <c r="BE460" i="26"/>
  <c r="AY460" i="26"/>
  <c r="AX460" i="26"/>
  <c r="BJ460" i="26" s="1"/>
  <c r="AS460" i="26"/>
  <c r="AO460" i="26"/>
  <c r="AL460" i="26"/>
  <c r="L460" i="26"/>
  <c r="K460" i="26"/>
  <c r="J460" i="26"/>
  <c r="I460" i="26"/>
  <c r="H460" i="26"/>
  <c r="BJ459" i="26"/>
  <c r="BH459" i="26"/>
  <c r="BB459" i="26"/>
  <c r="AZ459" i="26"/>
  <c r="AY459" i="26"/>
  <c r="BA459" i="26" s="1"/>
  <c r="AX459" i="26"/>
  <c r="BL459" i="26" s="1"/>
  <c r="AS459" i="26"/>
  <c r="AO459" i="26"/>
  <c r="AL459" i="26"/>
  <c r="BI459" i="26" s="1"/>
  <c r="L459" i="26"/>
  <c r="K459" i="26"/>
  <c r="J459" i="26"/>
  <c r="I459" i="26"/>
  <c r="H459" i="26"/>
  <c r="AY458" i="26"/>
  <c r="AX458" i="26"/>
  <c r="BJ458" i="26" s="1"/>
  <c r="AS458" i="26"/>
  <c r="AO458" i="26"/>
  <c r="AL458" i="26"/>
  <c r="L458" i="26"/>
  <c r="K458" i="26"/>
  <c r="J458" i="26"/>
  <c r="I458" i="26"/>
  <c r="H458" i="26"/>
  <c r="BH457" i="26"/>
  <c r="BD457" i="26"/>
  <c r="BB457" i="26"/>
  <c r="BC457" i="26" s="1"/>
  <c r="AZ457" i="26"/>
  <c r="AY457" i="26"/>
  <c r="AX457" i="26"/>
  <c r="BJ457" i="26" s="1"/>
  <c r="AS457" i="26"/>
  <c r="AO457" i="26"/>
  <c r="AL457" i="26"/>
  <c r="BI457" i="26" s="1"/>
  <c r="L457" i="26"/>
  <c r="K457" i="26"/>
  <c r="J457" i="26"/>
  <c r="I457" i="26"/>
  <c r="H457" i="26"/>
  <c r="BI456" i="26"/>
  <c r="BE456" i="26"/>
  <c r="AY456" i="26"/>
  <c r="AX456" i="26"/>
  <c r="BJ456" i="26" s="1"/>
  <c r="AS456" i="26"/>
  <c r="AO456" i="26"/>
  <c r="AL456" i="26"/>
  <c r="L456" i="26"/>
  <c r="K456" i="26"/>
  <c r="J456" i="26"/>
  <c r="I456" i="26"/>
  <c r="H456" i="26"/>
  <c r="BJ455" i="26"/>
  <c r="BH455" i="26"/>
  <c r="BB455" i="26"/>
  <c r="AZ455" i="26"/>
  <c r="AY455" i="26"/>
  <c r="BA455" i="26" s="1"/>
  <c r="AX455" i="26"/>
  <c r="BL455" i="26" s="1"/>
  <c r="AS455" i="26"/>
  <c r="AO455" i="26"/>
  <c r="AL455" i="26"/>
  <c r="BI455" i="26" s="1"/>
  <c r="L455" i="26"/>
  <c r="K455" i="26"/>
  <c r="J455" i="26"/>
  <c r="I455" i="26"/>
  <c r="H455" i="26"/>
  <c r="AY454" i="26"/>
  <c r="AX454" i="26"/>
  <c r="BJ454" i="26" s="1"/>
  <c r="AS454" i="26"/>
  <c r="AO454" i="26"/>
  <c r="AL454" i="26"/>
  <c r="L454" i="26"/>
  <c r="K454" i="26"/>
  <c r="J454" i="26"/>
  <c r="I454" i="26"/>
  <c r="H454" i="26"/>
  <c r="BH453" i="26"/>
  <c r="BD453" i="26"/>
  <c r="BB453" i="26"/>
  <c r="BC453" i="26" s="1"/>
  <c r="AZ453" i="26"/>
  <c r="AY453" i="26"/>
  <c r="AX453" i="26"/>
  <c r="BJ453" i="26" s="1"/>
  <c r="AS453" i="26"/>
  <c r="AO453" i="26"/>
  <c r="AL453" i="26"/>
  <c r="BI453" i="26" s="1"/>
  <c r="L453" i="26"/>
  <c r="K453" i="26"/>
  <c r="J453" i="26"/>
  <c r="I453" i="26"/>
  <c r="H453" i="26"/>
  <c r="BI452" i="26"/>
  <c r="BE452" i="26"/>
  <c r="AY452" i="26"/>
  <c r="AX452" i="26"/>
  <c r="BJ452" i="26" s="1"/>
  <c r="AS452" i="26"/>
  <c r="AO452" i="26"/>
  <c r="AL452" i="26"/>
  <c r="L452" i="26"/>
  <c r="K452" i="26"/>
  <c r="J452" i="26"/>
  <c r="I452" i="26"/>
  <c r="H452" i="26"/>
  <c r="BJ451" i="26"/>
  <c r="BH451" i="26"/>
  <c r="BB451" i="26"/>
  <c r="AZ451" i="26"/>
  <c r="AY451" i="26"/>
  <c r="BA451" i="26" s="1"/>
  <c r="AX451" i="26"/>
  <c r="BL451" i="26" s="1"/>
  <c r="AS451" i="26"/>
  <c r="AO451" i="26"/>
  <c r="AL451" i="26"/>
  <c r="BI451" i="26" s="1"/>
  <c r="L451" i="26"/>
  <c r="K451" i="26"/>
  <c r="J451" i="26"/>
  <c r="I451" i="26"/>
  <c r="H451" i="26"/>
  <c r="AY450" i="26"/>
  <c r="AX450" i="26"/>
  <c r="BJ450" i="26" s="1"/>
  <c r="AS450" i="26"/>
  <c r="AO450" i="26"/>
  <c r="AL450" i="26"/>
  <c r="L450" i="26"/>
  <c r="K450" i="26"/>
  <c r="J450" i="26"/>
  <c r="I450" i="26"/>
  <c r="H450" i="26"/>
  <c r="BH449" i="26"/>
  <c r="BD449" i="26"/>
  <c r="BB449" i="26"/>
  <c r="BC449" i="26" s="1"/>
  <c r="AZ449" i="26"/>
  <c r="AY449" i="26"/>
  <c r="AX449" i="26"/>
  <c r="BJ449" i="26" s="1"/>
  <c r="AS449" i="26"/>
  <c r="AO449" i="26"/>
  <c r="AL449" i="26"/>
  <c r="BI449" i="26" s="1"/>
  <c r="L449" i="26"/>
  <c r="K449" i="26"/>
  <c r="J449" i="26"/>
  <c r="I449" i="26"/>
  <c r="H449" i="26"/>
  <c r="BI448" i="26"/>
  <c r="BE448" i="26"/>
  <c r="AY448" i="26"/>
  <c r="AX448" i="26"/>
  <c r="BJ448" i="26" s="1"/>
  <c r="AS448" i="26"/>
  <c r="AO448" i="26"/>
  <c r="AL448" i="26"/>
  <c r="L448" i="26"/>
  <c r="K448" i="26"/>
  <c r="J448" i="26"/>
  <c r="I448" i="26"/>
  <c r="H448" i="26"/>
  <c r="BJ447" i="26"/>
  <c r="BH447" i="26"/>
  <c r="BB447" i="26"/>
  <c r="AZ447" i="26"/>
  <c r="AY447" i="26"/>
  <c r="BA447" i="26" s="1"/>
  <c r="AX447" i="26"/>
  <c r="BL447" i="26" s="1"/>
  <c r="AS447" i="26"/>
  <c r="AO447" i="26"/>
  <c r="AL447" i="26"/>
  <c r="BI447" i="26" s="1"/>
  <c r="L447" i="26"/>
  <c r="K447" i="26"/>
  <c r="J447" i="26"/>
  <c r="I447" i="26"/>
  <c r="H447" i="26"/>
  <c r="AY446" i="26"/>
  <c r="AX446" i="26"/>
  <c r="BJ446" i="26" s="1"/>
  <c r="AS446" i="26"/>
  <c r="AO446" i="26"/>
  <c r="AL446" i="26"/>
  <c r="L446" i="26"/>
  <c r="K446" i="26"/>
  <c r="J446" i="26"/>
  <c r="I446" i="26"/>
  <c r="H446" i="26"/>
  <c r="BH445" i="26"/>
  <c r="BD445" i="26"/>
  <c r="BB445" i="26"/>
  <c r="BC445" i="26" s="1"/>
  <c r="AZ445" i="26"/>
  <c r="AY445" i="26"/>
  <c r="AX445" i="26"/>
  <c r="BJ445" i="26" s="1"/>
  <c r="AS445" i="26"/>
  <c r="AO445" i="26"/>
  <c r="AL445" i="26"/>
  <c r="BI445" i="26" s="1"/>
  <c r="L445" i="26"/>
  <c r="K445" i="26"/>
  <c r="J445" i="26"/>
  <c r="I445" i="26"/>
  <c r="H445" i="26"/>
  <c r="BI444" i="26"/>
  <c r="BE444" i="26"/>
  <c r="AY444" i="26"/>
  <c r="AX444" i="26"/>
  <c r="BJ444" i="26" s="1"/>
  <c r="AS444" i="26"/>
  <c r="AO444" i="26"/>
  <c r="AL444" i="26"/>
  <c r="L444" i="26"/>
  <c r="K444" i="26"/>
  <c r="J444" i="26"/>
  <c r="I444" i="26"/>
  <c r="H444" i="26"/>
  <c r="BJ443" i="26"/>
  <c r="BH443" i="26"/>
  <c r="BB443" i="26"/>
  <c r="AZ443" i="26"/>
  <c r="AY443" i="26"/>
  <c r="BA443" i="26" s="1"/>
  <c r="AX443" i="26"/>
  <c r="BL443" i="26" s="1"/>
  <c r="AS443" i="26"/>
  <c r="AO443" i="26"/>
  <c r="AL443" i="26"/>
  <c r="BI443" i="26" s="1"/>
  <c r="L443" i="26"/>
  <c r="K443" i="26"/>
  <c r="J443" i="26"/>
  <c r="I443" i="26"/>
  <c r="H443" i="26"/>
  <c r="AY442" i="26"/>
  <c r="AX442" i="26"/>
  <c r="BJ442" i="26" s="1"/>
  <c r="AS442" i="26"/>
  <c r="AO442" i="26"/>
  <c r="AL442" i="26"/>
  <c r="L442" i="26"/>
  <c r="K442" i="26"/>
  <c r="J442" i="26"/>
  <c r="I442" i="26"/>
  <c r="H442" i="26"/>
  <c r="BH441" i="26"/>
  <c r="BD441" i="26"/>
  <c r="BB441" i="26"/>
  <c r="BC441" i="26" s="1"/>
  <c r="AZ441" i="26"/>
  <c r="AY441" i="26"/>
  <c r="AX441" i="26"/>
  <c r="BJ441" i="26" s="1"/>
  <c r="AS441" i="26"/>
  <c r="AO441" i="26"/>
  <c r="AL441" i="26"/>
  <c r="BI441" i="26" s="1"/>
  <c r="L441" i="26"/>
  <c r="K441" i="26"/>
  <c r="J441" i="26"/>
  <c r="I441" i="26"/>
  <c r="H441" i="26"/>
  <c r="BI440" i="26"/>
  <c r="BE440" i="26"/>
  <c r="AY440" i="26"/>
  <c r="AX440" i="26"/>
  <c r="BJ440" i="26" s="1"/>
  <c r="AS440" i="26"/>
  <c r="AO440" i="26"/>
  <c r="AL440" i="26"/>
  <c r="L440" i="26"/>
  <c r="K440" i="26"/>
  <c r="J440" i="26"/>
  <c r="I440" i="26"/>
  <c r="H440" i="26"/>
  <c r="BJ439" i="26"/>
  <c r="BH439" i="26"/>
  <c r="BB439" i="26"/>
  <c r="AZ439" i="26"/>
  <c r="AY439" i="26"/>
  <c r="BA439" i="26" s="1"/>
  <c r="AX439" i="26"/>
  <c r="BL439" i="26" s="1"/>
  <c r="AS439" i="26"/>
  <c r="AO439" i="26"/>
  <c r="AL439" i="26"/>
  <c r="BI439" i="26" s="1"/>
  <c r="L439" i="26"/>
  <c r="K439" i="26"/>
  <c r="J439" i="26"/>
  <c r="I439" i="26"/>
  <c r="H439" i="26"/>
  <c r="AY438" i="26"/>
  <c r="AX438" i="26"/>
  <c r="BJ438" i="26" s="1"/>
  <c r="AS438" i="26"/>
  <c r="AO438" i="26"/>
  <c r="AL438" i="26"/>
  <c r="L438" i="26"/>
  <c r="K438" i="26"/>
  <c r="J438" i="26"/>
  <c r="I438" i="26"/>
  <c r="H438" i="26"/>
  <c r="BH437" i="26"/>
  <c r="BD437" i="26"/>
  <c r="BB437" i="26"/>
  <c r="BC437" i="26" s="1"/>
  <c r="AZ437" i="26"/>
  <c r="AY437" i="26"/>
  <c r="AX437" i="26"/>
  <c r="BJ437" i="26" s="1"/>
  <c r="AS437" i="26"/>
  <c r="AO437" i="26"/>
  <c r="AL437" i="26"/>
  <c r="BI437" i="26" s="1"/>
  <c r="L437" i="26"/>
  <c r="K437" i="26"/>
  <c r="J437" i="26"/>
  <c r="I437" i="26"/>
  <c r="H437" i="26"/>
  <c r="BI436" i="26"/>
  <c r="BE436" i="26"/>
  <c r="AY436" i="26"/>
  <c r="AX436" i="26"/>
  <c r="BJ436" i="26" s="1"/>
  <c r="AS436" i="26"/>
  <c r="AO436" i="26"/>
  <c r="AL436" i="26"/>
  <c r="L436" i="26"/>
  <c r="K436" i="26"/>
  <c r="J436" i="26"/>
  <c r="I436" i="26"/>
  <c r="H436" i="26"/>
  <c r="BJ435" i="26"/>
  <c r="BH435" i="26"/>
  <c r="BB435" i="26"/>
  <c r="AZ435" i="26"/>
  <c r="AY435" i="26"/>
  <c r="BA435" i="26" s="1"/>
  <c r="AX435" i="26"/>
  <c r="BL435" i="26" s="1"/>
  <c r="AS435" i="26"/>
  <c r="AO435" i="26"/>
  <c r="AL435" i="26"/>
  <c r="BI435" i="26" s="1"/>
  <c r="L435" i="26"/>
  <c r="K435" i="26"/>
  <c r="J435" i="26"/>
  <c r="I435" i="26"/>
  <c r="H435" i="26"/>
  <c r="AY434" i="26"/>
  <c r="AX434" i="26"/>
  <c r="BJ434" i="26" s="1"/>
  <c r="AS434" i="26"/>
  <c r="AO434" i="26"/>
  <c r="AL434" i="26"/>
  <c r="L434" i="26"/>
  <c r="K434" i="26"/>
  <c r="J434" i="26"/>
  <c r="I434" i="26"/>
  <c r="H434" i="26"/>
  <c r="BH433" i="26"/>
  <c r="BD433" i="26"/>
  <c r="BB433" i="26"/>
  <c r="BC433" i="26" s="1"/>
  <c r="AZ433" i="26"/>
  <c r="AY433" i="26"/>
  <c r="AX433" i="26"/>
  <c r="BJ433" i="26" s="1"/>
  <c r="AS433" i="26"/>
  <c r="AO433" i="26"/>
  <c r="AL433" i="26"/>
  <c r="BI433" i="26" s="1"/>
  <c r="L433" i="26"/>
  <c r="K433" i="26"/>
  <c r="J433" i="26"/>
  <c r="I433" i="26"/>
  <c r="H433" i="26"/>
  <c r="BI432" i="26"/>
  <c r="BE432" i="26"/>
  <c r="AY432" i="26"/>
  <c r="AX432" i="26"/>
  <c r="BJ432" i="26" s="1"/>
  <c r="AS432" i="26"/>
  <c r="AO432" i="26"/>
  <c r="AL432" i="26"/>
  <c r="L432" i="26"/>
  <c r="K432" i="26"/>
  <c r="J432" i="26"/>
  <c r="I432" i="26"/>
  <c r="H432" i="26"/>
  <c r="BJ431" i="26"/>
  <c r="BH431" i="26"/>
  <c r="BB431" i="26"/>
  <c r="AZ431" i="26"/>
  <c r="AY431" i="26"/>
  <c r="BA431" i="26" s="1"/>
  <c r="AX431" i="26"/>
  <c r="BL431" i="26" s="1"/>
  <c r="AS431" i="26"/>
  <c r="AO431" i="26"/>
  <c r="AL431" i="26"/>
  <c r="BI431" i="26" s="1"/>
  <c r="L431" i="26"/>
  <c r="K431" i="26"/>
  <c r="J431" i="26"/>
  <c r="I431" i="26"/>
  <c r="H431" i="26"/>
  <c r="AY430" i="26"/>
  <c r="AX430" i="26"/>
  <c r="BJ430" i="26" s="1"/>
  <c r="AS430" i="26"/>
  <c r="AO430" i="26"/>
  <c r="AL430" i="26"/>
  <c r="L430" i="26"/>
  <c r="K430" i="26"/>
  <c r="J430" i="26"/>
  <c r="I430" i="26"/>
  <c r="H430" i="26"/>
  <c r="BH429" i="26"/>
  <c r="BD429" i="26"/>
  <c r="BB429" i="26"/>
  <c r="BC429" i="26" s="1"/>
  <c r="AZ429" i="26"/>
  <c r="AY429" i="26"/>
  <c r="AX429" i="26"/>
  <c r="BJ429" i="26" s="1"/>
  <c r="AS429" i="26"/>
  <c r="AO429" i="26"/>
  <c r="AL429" i="26"/>
  <c r="BI429" i="26" s="1"/>
  <c r="L429" i="26"/>
  <c r="K429" i="26"/>
  <c r="J429" i="26"/>
  <c r="I429" i="26"/>
  <c r="H429" i="26"/>
  <c r="BI428" i="26"/>
  <c r="BE428" i="26"/>
  <c r="AY428" i="26"/>
  <c r="AX428" i="26"/>
  <c r="BJ428" i="26" s="1"/>
  <c r="AS428" i="26"/>
  <c r="AO428" i="26"/>
  <c r="AL428" i="26"/>
  <c r="L428" i="26"/>
  <c r="K428" i="26"/>
  <c r="J428" i="26"/>
  <c r="I428" i="26"/>
  <c r="H428" i="26"/>
  <c r="BJ427" i="26"/>
  <c r="BH427" i="26"/>
  <c r="BB427" i="26"/>
  <c r="AZ427" i="26"/>
  <c r="AY427" i="26"/>
  <c r="BA427" i="26" s="1"/>
  <c r="AX427" i="26"/>
  <c r="BL427" i="26" s="1"/>
  <c r="AS427" i="26"/>
  <c r="AO427" i="26"/>
  <c r="AL427" i="26"/>
  <c r="BI427" i="26" s="1"/>
  <c r="L427" i="26"/>
  <c r="K427" i="26"/>
  <c r="J427" i="26"/>
  <c r="I427" i="26"/>
  <c r="H427" i="26"/>
  <c r="AY426" i="26"/>
  <c r="AX426" i="26"/>
  <c r="BJ426" i="26" s="1"/>
  <c r="AS426" i="26"/>
  <c r="AO426" i="26"/>
  <c r="AL426" i="26"/>
  <c r="L426" i="26"/>
  <c r="K426" i="26"/>
  <c r="J426" i="26"/>
  <c r="I426" i="26"/>
  <c r="H426" i="26"/>
  <c r="BH425" i="26"/>
  <c r="BD425" i="26"/>
  <c r="BB425" i="26"/>
  <c r="BC425" i="26" s="1"/>
  <c r="AZ425" i="26"/>
  <c r="AY425" i="26"/>
  <c r="AX425" i="26"/>
  <c r="BJ425" i="26" s="1"/>
  <c r="AS425" i="26"/>
  <c r="AO425" i="26"/>
  <c r="AL425" i="26"/>
  <c r="BI425" i="26" s="1"/>
  <c r="L425" i="26"/>
  <c r="K425" i="26"/>
  <c r="J425" i="26"/>
  <c r="I425" i="26"/>
  <c r="H425" i="26"/>
  <c r="BI424" i="26"/>
  <c r="BE424" i="26"/>
  <c r="AY424" i="26"/>
  <c r="AX424" i="26"/>
  <c r="BJ424" i="26" s="1"/>
  <c r="AS424" i="26"/>
  <c r="AO424" i="26"/>
  <c r="AL424" i="26"/>
  <c r="L424" i="26"/>
  <c r="K424" i="26"/>
  <c r="J424" i="26"/>
  <c r="I424" i="26"/>
  <c r="H424" i="26"/>
  <c r="BJ423" i="26"/>
  <c r="BH423" i="26"/>
  <c r="BB423" i="26"/>
  <c r="AZ423" i="26"/>
  <c r="AY423" i="26"/>
  <c r="BA423" i="26" s="1"/>
  <c r="AX423" i="26"/>
  <c r="BL423" i="26" s="1"/>
  <c r="AS423" i="26"/>
  <c r="AO423" i="26"/>
  <c r="AL423" i="26"/>
  <c r="BI423" i="26" s="1"/>
  <c r="L423" i="26"/>
  <c r="K423" i="26"/>
  <c r="J423" i="26"/>
  <c r="I423" i="26"/>
  <c r="H423" i="26"/>
  <c r="AY422" i="26"/>
  <c r="AX422" i="26"/>
  <c r="BJ422" i="26" s="1"/>
  <c r="AS422" i="26"/>
  <c r="AO422" i="26"/>
  <c r="AL422" i="26"/>
  <c r="L422" i="26"/>
  <c r="K422" i="26"/>
  <c r="J422" i="26"/>
  <c r="I422" i="26"/>
  <c r="H422" i="26"/>
  <c r="BH421" i="26"/>
  <c r="BD421" i="26"/>
  <c r="BB421" i="26"/>
  <c r="BC421" i="26" s="1"/>
  <c r="AZ421" i="26"/>
  <c r="AY421" i="26"/>
  <c r="AX421" i="26"/>
  <c r="BJ421" i="26" s="1"/>
  <c r="AS421" i="26"/>
  <c r="AO421" i="26"/>
  <c r="AL421" i="26"/>
  <c r="BI421" i="26" s="1"/>
  <c r="L421" i="26"/>
  <c r="K421" i="26"/>
  <c r="J421" i="26"/>
  <c r="I421" i="26"/>
  <c r="H421" i="26"/>
  <c r="BI420" i="26"/>
  <c r="BE420" i="26"/>
  <c r="AY420" i="26"/>
  <c r="AX420" i="26"/>
  <c r="BJ420" i="26" s="1"/>
  <c r="AS420" i="26"/>
  <c r="AO420" i="26"/>
  <c r="AL420" i="26"/>
  <c r="L420" i="26"/>
  <c r="K420" i="26"/>
  <c r="J420" i="26"/>
  <c r="I420" i="26"/>
  <c r="H420" i="26"/>
  <c r="BJ419" i="26"/>
  <c r="BH419" i="26"/>
  <c r="BB419" i="26"/>
  <c r="AZ419" i="26"/>
  <c r="AY419" i="26"/>
  <c r="BA419" i="26" s="1"/>
  <c r="AX419" i="26"/>
  <c r="BL419" i="26" s="1"/>
  <c r="AS419" i="26"/>
  <c r="AO419" i="26"/>
  <c r="AL419" i="26"/>
  <c r="BI419" i="26" s="1"/>
  <c r="L419" i="26"/>
  <c r="K419" i="26"/>
  <c r="J419" i="26"/>
  <c r="I419" i="26"/>
  <c r="H419" i="26"/>
  <c r="AY418" i="26"/>
  <c r="AX418" i="26"/>
  <c r="BJ418" i="26" s="1"/>
  <c r="AS418" i="26"/>
  <c r="AO418" i="26"/>
  <c r="AL418" i="26"/>
  <c r="L418" i="26"/>
  <c r="K418" i="26"/>
  <c r="J418" i="26"/>
  <c r="I418" i="26"/>
  <c r="H418" i="26"/>
  <c r="BH417" i="26"/>
  <c r="BD417" i="26"/>
  <c r="BB417" i="26"/>
  <c r="BC417" i="26" s="1"/>
  <c r="AZ417" i="26"/>
  <c r="AY417" i="26"/>
  <c r="AX417" i="26"/>
  <c r="BJ417" i="26" s="1"/>
  <c r="AS417" i="26"/>
  <c r="AO417" i="26"/>
  <c r="AL417" i="26"/>
  <c r="BI417" i="26" s="1"/>
  <c r="L417" i="26"/>
  <c r="K417" i="26"/>
  <c r="J417" i="26"/>
  <c r="I417" i="26"/>
  <c r="H417" i="26"/>
  <c r="BJ6" i="4" l="1"/>
  <c r="BJ10" i="4"/>
  <c r="BJ22" i="4"/>
  <c r="BJ58" i="4"/>
  <c r="BJ8" i="4"/>
  <c r="BJ12" i="4"/>
  <c r="BJ16" i="4"/>
  <c r="BJ44" i="4"/>
  <c r="BC6" i="4"/>
  <c r="BK6" i="4"/>
  <c r="BH7" i="4"/>
  <c r="BJ7" i="4" s="1"/>
  <c r="BC8" i="4"/>
  <c r="BK8" i="4"/>
  <c r="BD9" i="4"/>
  <c r="BH9" i="4"/>
  <c r="BJ9" i="4" s="1"/>
  <c r="BK10" i="4"/>
  <c r="BK12" i="4"/>
  <c r="BI14" i="4"/>
  <c r="BJ14" i="4" s="1"/>
  <c r="BH15" i="4"/>
  <c r="BJ15" i="4" s="1"/>
  <c r="BK16" i="4"/>
  <c r="BD17" i="4"/>
  <c r="BH17" i="4"/>
  <c r="BJ17" i="4" s="1"/>
  <c r="BI18" i="4"/>
  <c r="BJ18" i="4" s="1"/>
  <c r="BH19" i="4"/>
  <c r="BJ19" i="4" s="1"/>
  <c r="BI20" i="4"/>
  <c r="BJ20" i="4" s="1"/>
  <c r="BD21" i="4"/>
  <c r="BH21" i="4"/>
  <c r="BJ21" i="4" s="1"/>
  <c r="BC22" i="4"/>
  <c r="BK22" i="4"/>
  <c r="BD23" i="4"/>
  <c r="BI24" i="4"/>
  <c r="BJ24" i="4" s="1"/>
  <c r="BD25" i="4"/>
  <c r="BI26" i="4"/>
  <c r="BJ26" i="4" s="1"/>
  <c r="BD27" i="4"/>
  <c r="BI28" i="4"/>
  <c r="BJ28" i="4" s="1"/>
  <c r="BD29" i="4"/>
  <c r="BI30" i="4"/>
  <c r="BJ30" i="4" s="1"/>
  <c r="BD31" i="4"/>
  <c r="BH33" i="4"/>
  <c r="BJ33" i="4" s="1"/>
  <c r="BI34" i="4"/>
  <c r="BJ34" i="4" s="1"/>
  <c r="BH35" i="4"/>
  <c r="BJ35" i="4" s="1"/>
  <c r="BD37" i="4"/>
  <c r="BH37" i="4"/>
  <c r="BJ37" i="4" s="1"/>
  <c r="BC38" i="4"/>
  <c r="BD39" i="4"/>
  <c r="BI40" i="4"/>
  <c r="BJ40" i="4" s="1"/>
  <c r="BC42" i="4"/>
  <c r="BI42" i="4"/>
  <c r="BJ42" i="4" s="1"/>
  <c r="BD43" i="4"/>
  <c r="BC44" i="4"/>
  <c r="BK44" i="4"/>
  <c r="BI46" i="4"/>
  <c r="BJ46" i="4" s="1"/>
  <c r="BI48" i="4"/>
  <c r="BJ48" i="4" s="1"/>
  <c r="BD49" i="4"/>
  <c r="BC50" i="4"/>
  <c r="BI50" i="4"/>
  <c r="BJ50" i="4" s="1"/>
  <c r="BD51" i="4"/>
  <c r="BH51" i="4"/>
  <c r="BJ51" i="4" s="1"/>
  <c r="BC52" i="4"/>
  <c r="BI52" i="4"/>
  <c r="BJ52" i="4" s="1"/>
  <c r="BD53" i="4"/>
  <c r="BH53" i="4"/>
  <c r="BJ53" i="4" s="1"/>
  <c r="BC54" i="4"/>
  <c r="BI54" i="4"/>
  <c r="BJ54" i="4" s="1"/>
  <c r="BD55" i="4"/>
  <c r="BH55" i="4"/>
  <c r="BJ55" i="4" s="1"/>
  <c r="BC56" i="4"/>
  <c r="BI56" i="4"/>
  <c r="BJ56" i="4" s="1"/>
  <c r="BD57" i="4"/>
  <c r="BH57" i="4"/>
  <c r="BJ57" i="4" s="1"/>
  <c r="BC58" i="4"/>
  <c r="BK58" i="4"/>
  <c r="BH59" i="4"/>
  <c r="BJ59" i="4" s="1"/>
  <c r="BI60" i="4"/>
  <c r="BJ60" i="4" s="1"/>
  <c r="BI62" i="4"/>
  <c r="BJ62" i="4" s="1"/>
  <c r="BH63" i="4"/>
  <c r="BJ63" i="4" s="1"/>
  <c r="BC64" i="4"/>
  <c r="BI64" i="4"/>
  <c r="BJ64" i="4" s="1"/>
  <c r="BH67" i="4"/>
  <c r="BJ67" i="4" s="1"/>
  <c r="BK184" i="4"/>
  <c r="BA184" i="4"/>
  <c r="BG184" i="4"/>
  <c r="BJ184" i="4" s="1"/>
  <c r="AY184" i="4"/>
  <c r="AZ184" i="4" s="1"/>
  <c r="BF184" i="4"/>
  <c r="AZ185" i="4"/>
  <c r="BI185" i="4"/>
  <c r="BD186" i="4"/>
  <c r="BC187" i="4"/>
  <c r="BJ187" i="4"/>
  <c r="BK188" i="4"/>
  <c r="BA188" i="4"/>
  <c r="BG188" i="4"/>
  <c r="BJ188" i="4" s="1"/>
  <c r="AY188" i="4"/>
  <c r="AZ188" i="4" s="1"/>
  <c r="BF188" i="4"/>
  <c r="AZ189" i="4"/>
  <c r="BI189" i="4"/>
  <c r="BD190" i="4"/>
  <c r="BC191" i="4"/>
  <c r="BJ191" i="4"/>
  <c r="BK192" i="4"/>
  <c r="BA192" i="4"/>
  <c r="BG192" i="4"/>
  <c r="BJ192" i="4" s="1"/>
  <c r="AY192" i="4"/>
  <c r="AZ192" i="4" s="1"/>
  <c r="BF192" i="4"/>
  <c r="AZ193" i="4"/>
  <c r="BI193" i="4"/>
  <c r="BD194" i="4"/>
  <c r="BC195" i="4"/>
  <c r="BJ195" i="4"/>
  <c r="BK196" i="4"/>
  <c r="BA196" i="4"/>
  <c r="BG196" i="4"/>
  <c r="BJ196" i="4" s="1"/>
  <c r="AY196" i="4"/>
  <c r="AZ196" i="4" s="1"/>
  <c r="BF196" i="4"/>
  <c r="AZ197" i="4"/>
  <c r="BI197" i="4"/>
  <c r="BD198" i="4"/>
  <c r="BC199" i="4"/>
  <c r="BJ199" i="4"/>
  <c r="BK200" i="4"/>
  <c r="BA200" i="4"/>
  <c r="BG200" i="4"/>
  <c r="BJ200" i="4" s="1"/>
  <c r="AY200" i="4"/>
  <c r="AZ200" i="4" s="1"/>
  <c r="BF200" i="4"/>
  <c r="AZ201" i="4"/>
  <c r="BI201" i="4"/>
  <c r="BD202" i="4"/>
  <c r="BC203" i="4"/>
  <c r="BJ203" i="4"/>
  <c r="BK204" i="4"/>
  <c r="BA204" i="4"/>
  <c r="BG204" i="4"/>
  <c r="BJ204" i="4" s="1"/>
  <c r="AY204" i="4"/>
  <c r="AZ204" i="4" s="1"/>
  <c r="BF204" i="4"/>
  <c r="AZ205" i="4"/>
  <c r="BJ206" i="4"/>
  <c r="BJ210" i="4"/>
  <c r="BJ214" i="4"/>
  <c r="BJ218" i="4"/>
  <c r="BJ222" i="4"/>
  <c r="BJ226" i="4"/>
  <c r="BJ230" i="4"/>
  <c r="BJ234" i="4"/>
  <c r="BJ238" i="4"/>
  <c r="BJ242" i="4"/>
  <c r="BJ246" i="4"/>
  <c r="BJ250" i="4"/>
  <c r="BJ254" i="4"/>
  <c r="BJ258" i="4"/>
  <c r="BJ262" i="4"/>
  <c r="BJ266" i="4"/>
  <c r="BJ270" i="4"/>
  <c r="BJ274" i="4"/>
  <c r="BJ278" i="4"/>
  <c r="BJ282" i="4"/>
  <c r="BJ286" i="4"/>
  <c r="BJ290" i="4"/>
  <c r="BJ294" i="4"/>
  <c r="BJ298" i="4"/>
  <c r="BJ302" i="4"/>
  <c r="BJ306" i="4"/>
  <c r="BJ310" i="4"/>
  <c r="BJ314" i="4"/>
  <c r="BJ318" i="4"/>
  <c r="BJ322" i="4"/>
  <c r="BJ326" i="4"/>
  <c r="BJ330" i="4"/>
  <c r="BJ334" i="4"/>
  <c r="BJ338" i="4"/>
  <c r="BJ342" i="4"/>
  <c r="BJ346" i="4"/>
  <c r="BJ350" i="4"/>
  <c r="BJ354" i="4"/>
  <c r="BJ358" i="4"/>
  <c r="BJ362" i="4"/>
  <c r="BJ366" i="4"/>
  <c r="BJ370" i="4"/>
  <c r="BJ374" i="4"/>
  <c r="BJ378" i="4"/>
  <c r="BJ382" i="4"/>
  <c r="BJ386" i="4"/>
  <c r="BJ390" i="4"/>
  <c r="BJ394" i="4"/>
  <c r="BJ398" i="4"/>
  <c r="BJ402" i="4"/>
  <c r="BJ406" i="4"/>
  <c r="BJ410" i="4"/>
  <c r="BJ414" i="4"/>
  <c r="BJ418" i="4"/>
  <c r="BJ422" i="4"/>
  <c r="BJ426" i="4"/>
  <c r="BJ430" i="4"/>
  <c r="BJ434" i="4"/>
  <c r="BJ438" i="4"/>
  <c r="BJ442" i="4"/>
  <c r="BD5" i="4"/>
  <c r="BH5" i="4"/>
  <c r="BJ5" i="4" s="1"/>
  <c r="BD7" i="4"/>
  <c r="BC10" i="4"/>
  <c r="BD11" i="4"/>
  <c r="BH11" i="4"/>
  <c r="BJ11" i="4" s="1"/>
  <c r="BC12" i="4"/>
  <c r="BD13" i="4"/>
  <c r="BH13" i="4"/>
  <c r="BJ13" i="4" s="1"/>
  <c r="BC14" i="4"/>
  <c r="BD15" i="4"/>
  <c r="BC16" i="4"/>
  <c r="BC18" i="4"/>
  <c r="BD19" i="4"/>
  <c r="BC20" i="4"/>
  <c r="BH23" i="4"/>
  <c r="BJ23" i="4" s="1"/>
  <c r="BC24" i="4"/>
  <c r="BH25" i="4"/>
  <c r="BJ25" i="4" s="1"/>
  <c r="BC26" i="4"/>
  <c r="BH27" i="4"/>
  <c r="BJ27" i="4" s="1"/>
  <c r="BC28" i="4"/>
  <c r="BH29" i="4"/>
  <c r="BJ29" i="4" s="1"/>
  <c r="BC30" i="4"/>
  <c r="BH31" i="4"/>
  <c r="BJ31" i="4" s="1"/>
  <c r="BC32" i="4"/>
  <c r="BI32" i="4"/>
  <c r="BJ32" i="4" s="1"/>
  <c r="BD33" i="4"/>
  <c r="BC34" i="4"/>
  <c r="BD35" i="4"/>
  <c r="BC36" i="4"/>
  <c r="BI36" i="4"/>
  <c r="BJ36" i="4" s="1"/>
  <c r="BI38" i="4"/>
  <c r="BJ38" i="4" s="1"/>
  <c r="BH39" i="4"/>
  <c r="BJ39" i="4" s="1"/>
  <c r="BC40" i="4"/>
  <c r="BD41" i="4"/>
  <c r="BH41" i="4"/>
  <c r="BJ41" i="4" s="1"/>
  <c r="BH43" i="4"/>
  <c r="BJ43" i="4" s="1"/>
  <c r="BD45" i="4"/>
  <c r="BH45" i="4"/>
  <c r="BJ45" i="4" s="1"/>
  <c r="BC46" i="4"/>
  <c r="BD47" i="4"/>
  <c r="BH47" i="4"/>
  <c r="BJ47" i="4" s="1"/>
  <c r="BC48" i="4"/>
  <c r="BH49" i="4"/>
  <c r="BJ49" i="4" s="1"/>
  <c r="BD59" i="4"/>
  <c r="BC60" i="4"/>
  <c r="BD61" i="4"/>
  <c r="BH61" i="4"/>
  <c r="BJ61" i="4" s="1"/>
  <c r="BC62" i="4"/>
  <c r="BD63" i="4"/>
  <c r="BD65" i="4"/>
  <c r="BH65" i="4"/>
  <c r="BJ65" i="4" s="1"/>
  <c r="BC66" i="4"/>
  <c r="BI66" i="4"/>
  <c r="BJ66" i="4" s="1"/>
  <c r="BD67" i="4"/>
  <c r="BC68" i="4"/>
  <c r="BI68" i="4"/>
  <c r="BJ68" i="4" s="1"/>
  <c r="BD69" i="4"/>
  <c r="BH69" i="4"/>
  <c r="BJ69" i="4" s="1"/>
  <c r="BC70" i="4"/>
  <c r="BI70" i="4"/>
  <c r="BJ70" i="4" s="1"/>
  <c r="BD71" i="4"/>
  <c r="BH71" i="4"/>
  <c r="BJ71" i="4" s="1"/>
  <c r="BC72" i="4"/>
  <c r="BI72" i="4"/>
  <c r="BJ72" i="4" s="1"/>
  <c r="BD73" i="4"/>
  <c r="BH73" i="4"/>
  <c r="BJ73" i="4" s="1"/>
  <c r="BC74" i="4"/>
  <c r="BI74" i="4"/>
  <c r="BJ74" i="4" s="1"/>
  <c r="BD75" i="4"/>
  <c r="BH75" i="4"/>
  <c r="BJ75" i="4" s="1"/>
  <c r="BC76" i="4"/>
  <c r="BI76" i="4"/>
  <c r="BJ76" i="4" s="1"/>
  <c r="BD77" i="4"/>
  <c r="BH77" i="4"/>
  <c r="BJ77" i="4" s="1"/>
  <c r="BC78" i="4"/>
  <c r="BI78" i="4"/>
  <c r="BJ78" i="4" s="1"/>
  <c r="BD79" i="4"/>
  <c r="BH79" i="4"/>
  <c r="BJ79" i="4" s="1"/>
  <c r="BC80" i="4"/>
  <c r="BI80" i="4"/>
  <c r="BJ80" i="4" s="1"/>
  <c r="BD81" i="4"/>
  <c r="BH81" i="4"/>
  <c r="BJ81" i="4" s="1"/>
  <c r="BC82" i="4"/>
  <c r="BI82" i="4"/>
  <c r="BJ82" i="4" s="1"/>
  <c r="BD83" i="4"/>
  <c r="BH83" i="4"/>
  <c r="BJ83" i="4" s="1"/>
  <c r="BC84" i="4"/>
  <c r="BI84" i="4"/>
  <c r="BJ84" i="4" s="1"/>
  <c r="BD85" i="4"/>
  <c r="BH85" i="4"/>
  <c r="BJ85" i="4" s="1"/>
  <c r="BC86" i="4"/>
  <c r="BI86" i="4"/>
  <c r="BJ86" i="4" s="1"/>
  <c r="BD87" i="4"/>
  <c r="BH87" i="4"/>
  <c r="BJ87" i="4" s="1"/>
  <c r="BC88" i="4"/>
  <c r="BI88" i="4"/>
  <c r="BJ88" i="4" s="1"/>
  <c r="BD89" i="4"/>
  <c r="BH89" i="4"/>
  <c r="BJ89" i="4" s="1"/>
  <c r="BC90" i="4"/>
  <c r="BI90" i="4"/>
  <c r="BJ90" i="4" s="1"/>
  <c r="BD91" i="4"/>
  <c r="BH91" i="4"/>
  <c r="BJ91" i="4" s="1"/>
  <c r="BC92" i="4"/>
  <c r="BI92" i="4"/>
  <c r="BJ92" i="4" s="1"/>
  <c r="BD93" i="4"/>
  <c r="BH93" i="4"/>
  <c r="BJ93" i="4" s="1"/>
  <c r="BC94" i="4"/>
  <c r="BI94" i="4"/>
  <c r="BJ94" i="4" s="1"/>
  <c r="BD95" i="4"/>
  <c r="BH95" i="4"/>
  <c r="BJ95" i="4" s="1"/>
  <c r="BC96" i="4"/>
  <c r="BI96" i="4"/>
  <c r="BJ96" i="4" s="1"/>
  <c r="BD97" i="4"/>
  <c r="BH97" i="4"/>
  <c r="BJ97" i="4" s="1"/>
  <c r="BC98" i="4"/>
  <c r="BI98" i="4"/>
  <c r="BJ98" i="4" s="1"/>
  <c r="BD99" i="4"/>
  <c r="BH99" i="4"/>
  <c r="BJ99" i="4" s="1"/>
  <c r="BC100" i="4"/>
  <c r="BI100" i="4"/>
  <c r="BJ100" i="4" s="1"/>
  <c r="BD101" i="4"/>
  <c r="BH101" i="4"/>
  <c r="BJ101" i="4" s="1"/>
  <c r="BC102" i="4"/>
  <c r="BI102" i="4"/>
  <c r="BJ102" i="4" s="1"/>
  <c r="BD103" i="4"/>
  <c r="BH103" i="4"/>
  <c r="BJ103" i="4" s="1"/>
  <c r="BC104" i="4"/>
  <c r="BI104" i="4"/>
  <c r="BJ104" i="4" s="1"/>
  <c r="BD105" i="4"/>
  <c r="BH105" i="4"/>
  <c r="BJ105" i="4" s="1"/>
  <c r="BC106" i="4"/>
  <c r="BI106" i="4"/>
  <c r="BJ106" i="4" s="1"/>
  <c r="BD107" i="4"/>
  <c r="BH107" i="4"/>
  <c r="BJ107" i="4" s="1"/>
  <c r="BC108" i="4"/>
  <c r="BI108" i="4"/>
  <c r="BJ108" i="4" s="1"/>
  <c r="BD109" i="4"/>
  <c r="BH109" i="4"/>
  <c r="BJ109" i="4" s="1"/>
  <c r="BC110" i="4"/>
  <c r="BI110" i="4"/>
  <c r="BJ110" i="4" s="1"/>
  <c r="BD111" i="4"/>
  <c r="BH111" i="4"/>
  <c r="BJ111" i="4" s="1"/>
  <c r="BC112" i="4"/>
  <c r="BI112" i="4"/>
  <c r="BJ112" i="4" s="1"/>
  <c r="BD113" i="4"/>
  <c r="BH113" i="4"/>
  <c r="BJ113" i="4" s="1"/>
  <c r="BC114" i="4"/>
  <c r="BI114" i="4"/>
  <c r="BJ114" i="4" s="1"/>
  <c r="BD115" i="4"/>
  <c r="BH115" i="4"/>
  <c r="BJ115" i="4" s="1"/>
  <c r="BC116" i="4"/>
  <c r="BI116" i="4"/>
  <c r="BJ116" i="4" s="1"/>
  <c r="BD117" i="4"/>
  <c r="BH117" i="4"/>
  <c r="BJ117" i="4" s="1"/>
  <c r="BC118" i="4"/>
  <c r="BI118" i="4"/>
  <c r="BJ118" i="4" s="1"/>
  <c r="BD119" i="4"/>
  <c r="BH119" i="4"/>
  <c r="BJ119" i="4" s="1"/>
  <c r="BC120" i="4"/>
  <c r="BI120" i="4"/>
  <c r="BJ120" i="4" s="1"/>
  <c r="BD121" i="4"/>
  <c r="BH121" i="4"/>
  <c r="BJ121" i="4" s="1"/>
  <c r="BC122" i="4"/>
  <c r="BI122" i="4"/>
  <c r="BJ122" i="4" s="1"/>
  <c r="BD123" i="4"/>
  <c r="BH123" i="4"/>
  <c r="BJ123" i="4" s="1"/>
  <c r="BC124" i="4"/>
  <c r="BI124" i="4"/>
  <c r="BJ124" i="4" s="1"/>
  <c r="BD125" i="4"/>
  <c r="BH125" i="4"/>
  <c r="BJ125" i="4" s="1"/>
  <c r="BC126" i="4"/>
  <c r="BI126" i="4"/>
  <c r="BJ126" i="4" s="1"/>
  <c r="BD127" i="4"/>
  <c r="BH127" i="4"/>
  <c r="BJ127" i="4" s="1"/>
  <c r="BC128" i="4"/>
  <c r="BI128" i="4"/>
  <c r="BJ128" i="4" s="1"/>
  <c r="BD129" i="4"/>
  <c r="BH129" i="4"/>
  <c r="BJ129" i="4" s="1"/>
  <c r="BC130" i="4"/>
  <c r="BI130" i="4"/>
  <c r="BJ130" i="4" s="1"/>
  <c r="BD131" i="4"/>
  <c r="BH131" i="4"/>
  <c r="BJ131" i="4" s="1"/>
  <c r="BC132" i="4"/>
  <c r="BI132" i="4"/>
  <c r="BJ132" i="4" s="1"/>
  <c r="BD133" i="4"/>
  <c r="BH133" i="4"/>
  <c r="BJ133" i="4" s="1"/>
  <c r="BC134" i="4"/>
  <c r="BI134" i="4"/>
  <c r="BJ134" i="4" s="1"/>
  <c r="BD135" i="4"/>
  <c r="BH135" i="4"/>
  <c r="BJ135" i="4" s="1"/>
  <c r="BC136" i="4"/>
  <c r="BI136" i="4"/>
  <c r="BJ136" i="4" s="1"/>
  <c r="BD137" i="4"/>
  <c r="BH137" i="4"/>
  <c r="BJ137" i="4" s="1"/>
  <c r="BC138" i="4"/>
  <c r="BI138" i="4"/>
  <c r="BJ138" i="4" s="1"/>
  <c r="BD139" i="4"/>
  <c r="BH139" i="4"/>
  <c r="BJ139" i="4" s="1"/>
  <c r="BC140" i="4"/>
  <c r="BI140" i="4"/>
  <c r="BJ140" i="4" s="1"/>
  <c r="BD141" i="4"/>
  <c r="BH141" i="4"/>
  <c r="BJ141" i="4" s="1"/>
  <c r="BC142" i="4"/>
  <c r="BI142" i="4"/>
  <c r="BJ142" i="4" s="1"/>
  <c r="BD143" i="4"/>
  <c r="BH143" i="4"/>
  <c r="BJ143" i="4" s="1"/>
  <c r="BC144" i="4"/>
  <c r="BI144" i="4"/>
  <c r="BJ144" i="4" s="1"/>
  <c r="BD145" i="4"/>
  <c r="BH145" i="4"/>
  <c r="BJ145" i="4" s="1"/>
  <c r="BC146" i="4"/>
  <c r="BI146" i="4"/>
  <c r="BJ146" i="4" s="1"/>
  <c r="BD147" i="4"/>
  <c r="BH147" i="4"/>
  <c r="BJ147" i="4" s="1"/>
  <c r="BC148" i="4"/>
  <c r="BI148" i="4"/>
  <c r="BJ148" i="4" s="1"/>
  <c r="BD149" i="4"/>
  <c r="BH149" i="4"/>
  <c r="BJ149" i="4" s="1"/>
  <c r="BC150" i="4"/>
  <c r="BI150" i="4"/>
  <c r="BJ150" i="4" s="1"/>
  <c r="BD151" i="4"/>
  <c r="BH151" i="4"/>
  <c r="BJ151" i="4" s="1"/>
  <c r="BC152" i="4"/>
  <c r="BI152" i="4"/>
  <c r="BJ152" i="4" s="1"/>
  <c r="BD153" i="4"/>
  <c r="BH153" i="4"/>
  <c r="BJ153" i="4" s="1"/>
  <c r="BC154" i="4"/>
  <c r="BI154" i="4"/>
  <c r="BJ154" i="4" s="1"/>
  <c r="BD155" i="4"/>
  <c r="BH155" i="4"/>
  <c r="BJ155" i="4" s="1"/>
  <c r="BC156" i="4"/>
  <c r="BI156" i="4"/>
  <c r="BJ156" i="4" s="1"/>
  <c r="BD157" i="4"/>
  <c r="BH157" i="4"/>
  <c r="BJ157" i="4" s="1"/>
  <c r="BC158" i="4"/>
  <c r="BI158" i="4"/>
  <c r="BJ158" i="4" s="1"/>
  <c r="BD159" i="4"/>
  <c r="BH159" i="4"/>
  <c r="BJ159" i="4" s="1"/>
  <c r="BC160" i="4"/>
  <c r="BI160" i="4"/>
  <c r="BJ160" i="4" s="1"/>
  <c r="BD161" i="4"/>
  <c r="BH161" i="4"/>
  <c r="BJ161" i="4" s="1"/>
  <c r="BC162" i="4"/>
  <c r="BI162" i="4"/>
  <c r="BJ162" i="4" s="1"/>
  <c r="BD163" i="4"/>
  <c r="BH163" i="4"/>
  <c r="BJ163" i="4" s="1"/>
  <c r="BC164" i="4"/>
  <c r="BI164" i="4"/>
  <c r="BJ164" i="4" s="1"/>
  <c r="BD165" i="4"/>
  <c r="BH165" i="4"/>
  <c r="BJ165" i="4" s="1"/>
  <c r="BC166" i="4"/>
  <c r="BI166" i="4"/>
  <c r="BJ166" i="4" s="1"/>
  <c r="BD167" i="4"/>
  <c r="BH167" i="4"/>
  <c r="BJ167" i="4" s="1"/>
  <c r="BC168" i="4"/>
  <c r="BI168" i="4"/>
  <c r="BJ168" i="4" s="1"/>
  <c r="BD169" i="4"/>
  <c r="BH169" i="4"/>
  <c r="BJ169" i="4" s="1"/>
  <c r="BJ171" i="4"/>
  <c r="BK171" i="4"/>
  <c r="BK172" i="4"/>
  <c r="BA172" i="4"/>
  <c r="BG172" i="4"/>
  <c r="AY172" i="4"/>
  <c r="AZ172" i="4" s="1"/>
  <c r="BJ175" i="4"/>
  <c r="BK175" i="4"/>
  <c r="BK176" i="4"/>
  <c r="BA176" i="4"/>
  <c r="BG176" i="4"/>
  <c r="AY176" i="4"/>
  <c r="AZ176" i="4" s="1"/>
  <c r="BJ179" i="4"/>
  <c r="BK179" i="4"/>
  <c r="BK180" i="4"/>
  <c r="BA180" i="4"/>
  <c r="BG180" i="4"/>
  <c r="AY180" i="4"/>
  <c r="AZ180" i="4" s="1"/>
  <c r="BJ183" i="4"/>
  <c r="AY5" i="4"/>
  <c r="AZ5" i="4" s="1"/>
  <c r="BA5" i="4"/>
  <c r="BD6" i="4"/>
  <c r="AY7" i="4"/>
  <c r="AZ7" i="4" s="1"/>
  <c r="BA7" i="4"/>
  <c r="BD8" i="4"/>
  <c r="AY9" i="4"/>
  <c r="AZ9" i="4" s="1"/>
  <c r="BA9" i="4"/>
  <c r="BD10" i="4"/>
  <c r="AY11" i="4"/>
  <c r="AZ11" i="4" s="1"/>
  <c r="BA11" i="4"/>
  <c r="BD12" i="4"/>
  <c r="AY13" i="4"/>
  <c r="AZ13" i="4" s="1"/>
  <c r="BA13" i="4"/>
  <c r="BD14" i="4"/>
  <c r="AY15" i="4"/>
  <c r="AZ15" i="4" s="1"/>
  <c r="BA15" i="4"/>
  <c r="BD16" i="4"/>
  <c r="AY17" i="4"/>
  <c r="AZ17" i="4" s="1"/>
  <c r="BA17" i="4"/>
  <c r="BD18" i="4"/>
  <c r="AY19" i="4"/>
  <c r="AZ19" i="4" s="1"/>
  <c r="BA19" i="4"/>
  <c r="BD20" i="4"/>
  <c r="AY21" i="4"/>
  <c r="AZ21" i="4" s="1"/>
  <c r="BA21" i="4"/>
  <c r="BD22" i="4"/>
  <c r="AY23" i="4"/>
  <c r="AZ23" i="4" s="1"/>
  <c r="BA23" i="4"/>
  <c r="BD24" i="4"/>
  <c r="AY25" i="4"/>
  <c r="AZ25" i="4" s="1"/>
  <c r="BA25" i="4"/>
  <c r="BD26" i="4"/>
  <c r="AY27" i="4"/>
  <c r="AZ27" i="4" s="1"/>
  <c r="BA27" i="4"/>
  <c r="BD28" i="4"/>
  <c r="AY29" i="4"/>
  <c r="AZ29" i="4" s="1"/>
  <c r="BA29" i="4"/>
  <c r="BD30" i="4"/>
  <c r="AY31" i="4"/>
  <c r="AZ31" i="4" s="1"/>
  <c r="BA31" i="4"/>
  <c r="BD32" i="4"/>
  <c r="AY33" i="4"/>
  <c r="AZ33" i="4" s="1"/>
  <c r="BA33" i="4"/>
  <c r="BD34" i="4"/>
  <c r="AY35" i="4"/>
  <c r="AZ35" i="4" s="1"/>
  <c r="BA35" i="4"/>
  <c r="BD36" i="4"/>
  <c r="AY37" i="4"/>
  <c r="AZ37" i="4" s="1"/>
  <c r="BA37" i="4"/>
  <c r="BD38" i="4"/>
  <c r="AY39" i="4"/>
  <c r="AZ39" i="4" s="1"/>
  <c r="BA39" i="4"/>
  <c r="BD40" i="4"/>
  <c r="AY41" i="4"/>
  <c r="AZ41" i="4" s="1"/>
  <c r="BA41" i="4"/>
  <c r="BD42" i="4"/>
  <c r="AY43" i="4"/>
  <c r="AZ43" i="4" s="1"/>
  <c r="BA43" i="4"/>
  <c r="BD44" i="4"/>
  <c r="AY45" i="4"/>
  <c r="AZ45" i="4" s="1"/>
  <c r="BA45" i="4"/>
  <c r="BD46" i="4"/>
  <c r="AY47" i="4"/>
  <c r="AZ47" i="4" s="1"/>
  <c r="BA47" i="4"/>
  <c r="BD48" i="4"/>
  <c r="AY49" i="4"/>
  <c r="AZ49" i="4" s="1"/>
  <c r="BA49" i="4"/>
  <c r="BD50" i="4"/>
  <c r="AY51" i="4"/>
  <c r="AZ51" i="4" s="1"/>
  <c r="BA51" i="4"/>
  <c r="BD52" i="4"/>
  <c r="AY53" i="4"/>
  <c r="AZ53" i="4" s="1"/>
  <c r="BA53" i="4"/>
  <c r="BD54" i="4"/>
  <c r="AY55" i="4"/>
  <c r="AZ55" i="4" s="1"/>
  <c r="BA55" i="4"/>
  <c r="BD56" i="4"/>
  <c r="AY57" i="4"/>
  <c r="AZ57" i="4" s="1"/>
  <c r="BA57" i="4"/>
  <c r="BD58" i="4"/>
  <c r="AY59" i="4"/>
  <c r="AZ59" i="4" s="1"/>
  <c r="BA59" i="4"/>
  <c r="BD60" i="4"/>
  <c r="AY61" i="4"/>
  <c r="AZ61" i="4" s="1"/>
  <c r="BA61" i="4"/>
  <c r="BD62" i="4"/>
  <c r="AY63" i="4"/>
  <c r="AZ63" i="4" s="1"/>
  <c r="BA63" i="4"/>
  <c r="BD64" i="4"/>
  <c r="AY65" i="4"/>
  <c r="AZ65" i="4" s="1"/>
  <c r="BA65" i="4"/>
  <c r="BD66" i="4"/>
  <c r="AY67" i="4"/>
  <c r="AZ67" i="4" s="1"/>
  <c r="BA67" i="4"/>
  <c r="BD68" i="4"/>
  <c r="AY69" i="4"/>
  <c r="AZ69" i="4" s="1"/>
  <c r="BA69" i="4"/>
  <c r="BD70" i="4"/>
  <c r="AY71" i="4"/>
  <c r="AZ71" i="4" s="1"/>
  <c r="BA71" i="4"/>
  <c r="BD72" i="4"/>
  <c r="AY73" i="4"/>
  <c r="AZ73" i="4" s="1"/>
  <c r="BA73" i="4"/>
  <c r="BD74" i="4"/>
  <c r="AY75" i="4"/>
  <c r="AZ75" i="4" s="1"/>
  <c r="BA75" i="4"/>
  <c r="BD76" i="4"/>
  <c r="AY77" i="4"/>
  <c r="AZ77" i="4" s="1"/>
  <c r="BA77" i="4"/>
  <c r="BD78" i="4"/>
  <c r="AY79" i="4"/>
  <c r="AZ79" i="4" s="1"/>
  <c r="BA79" i="4"/>
  <c r="BD80" i="4"/>
  <c r="AY81" i="4"/>
  <c r="AZ81" i="4" s="1"/>
  <c r="BA81" i="4"/>
  <c r="BD82" i="4"/>
  <c r="AY83" i="4"/>
  <c r="AZ83" i="4" s="1"/>
  <c r="BA83" i="4"/>
  <c r="BD84" i="4"/>
  <c r="AY85" i="4"/>
  <c r="AZ85" i="4" s="1"/>
  <c r="BA85" i="4"/>
  <c r="BD86" i="4"/>
  <c r="AY87" i="4"/>
  <c r="AZ87" i="4" s="1"/>
  <c r="BA87" i="4"/>
  <c r="BD88" i="4"/>
  <c r="AY89" i="4"/>
  <c r="AZ89" i="4" s="1"/>
  <c r="BA89" i="4"/>
  <c r="BD90" i="4"/>
  <c r="AY91" i="4"/>
  <c r="AZ91" i="4" s="1"/>
  <c r="BA91" i="4"/>
  <c r="BD92" i="4"/>
  <c r="AY93" i="4"/>
  <c r="AZ93" i="4" s="1"/>
  <c r="BA93" i="4"/>
  <c r="BD94" i="4"/>
  <c r="AY95" i="4"/>
  <c r="AZ95" i="4" s="1"/>
  <c r="BA95" i="4"/>
  <c r="BD96" i="4"/>
  <c r="AY97" i="4"/>
  <c r="AZ97" i="4" s="1"/>
  <c r="BA97" i="4"/>
  <c r="BD98" i="4"/>
  <c r="AY99" i="4"/>
  <c r="AZ99" i="4" s="1"/>
  <c r="BA99" i="4"/>
  <c r="BD100" i="4"/>
  <c r="AY101" i="4"/>
  <c r="AZ101" i="4" s="1"/>
  <c r="BA101" i="4"/>
  <c r="BD102" i="4"/>
  <c r="AY103" i="4"/>
  <c r="AZ103" i="4" s="1"/>
  <c r="BA103" i="4"/>
  <c r="BD104" i="4"/>
  <c r="AY105" i="4"/>
  <c r="AZ105" i="4" s="1"/>
  <c r="BA105" i="4"/>
  <c r="BD106" i="4"/>
  <c r="AY107" i="4"/>
  <c r="AZ107" i="4" s="1"/>
  <c r="BA107" i="4"/>
  <c r="BD108" i="4"/>
  <c r="AY109" i="4"/>
  <c r="AZ109" i="4" s="1"/>
  <c r="BA109" i="4"/>
  <c r="BD110" i="4"/>
  <c r="AY111" i="4"/>
  <c r="AZ111" i="4" s="1"/>
  <c r="BA111" i="4"/>
  <c r="BD112" i="4"/>
  <c r="AY113" i="4"/>
  <c r="AZ113" i="4" s="1"/>
  <c r="BA113" i="4"/>
  <c r="BD114" i="4"/>
  <c r="AY115" i="4"/>
  <c r="AZ115" i="4" s="1"/>
  <c r="BA115" i="4"/>
  <c r="BD116" i="4"/>
  <c r="AY117" i="4"/>
  <c r="AZ117" i="4" s="1"/>
  <c r="BA117" i="4"/>
  <c r="BD118" i="4"/>
  <c r="AY119" i="4"/>
  <c r="AZ119" i="4" s="1"/>
  <c r="BA119" i="4"/>
  <c r="BD120" i="4"/>
  <c r="AY121" i="4"/>
  <c r="AZ121" i="4" s="1"/>
  <c r="BA121" i="4"/>
  <c r="BD122" i="4"/>
  <c r="AY123" i="4"/>
  <c r="AZ123" i="4" s="1"/>
  <c r="BA123" i="4"/>
  <c r="BD124" i="4"/>
  <c r="AY125" i="4"/>
  <c r="AZ125" i="4" s="1"/>
  <c r="BA125" i="4"/>
  <c r="BD126" i="4"/>
  <c r="AY127" i="4"/>
  <c r="AZ127" i="4" s="1"/>
  <c r="BA127" i="4"/>
  <c r="BD128" i="4"/>
  <c r="AY129" i="4"/>
  <c r="AZ129" i="4" s="1"/>
  <c r="BA129" i="4"/>
  <c r="BD130" i="4"/>
  <c r="AY131" i="4"/>
  <c r="AZ131" i="4" s="1"/>
  <c r="BA131" i="4"/>
  <c r="BD132" i="4"/>
  <c r="AY133" i="4"/>
  <c r="AZ133" i="4" s="1"/>
  <c r="BA133" i="4"/>
  <c r="BD134" i="4"/>
  <c r="AY135" i="4"/>
  <c r="AZ135" i="4" s="1"/>
  <c r="BA135" i="4"/>
  <c r="BD136" i="4"/>
  <c r="AY137" i="4"/>
  <c r="AZ137" i="4" s="1"/>
  <c r="BA137" i="4"/>
  <c r="BD138" i="4"/>
  <c r="AY139" i="4"/>
  <c r="AZ139" i="4" s="1"/>
  <c r="BA139" i="4"/>
  <c r="BD140" i="4"/>
  <c r="AY141" i="4"/>
  <c r="AZ141" i="4" s="1"/>
  <c r="BA141" i="4"/>
  <c r="BD142" i="4"/>
  <c r="AY143" i="4"/>
  <c r="AZ143" i="4" s="1"/>
  <c r="BA143" i="4"/>
  <c r="BD144" i="4"/>
  <c r="AY145" i="4"/>
  <c r="AZ145" i="4" s="1"/>
  <c r="BA145" i="4"/>
  <c r="BD146" i="4"/>
  <c r="AY147" i="4"/>
  <c r="AZ147" i="4" s="1"/>
  <c r="BA147" i="4"/>
  <c r="BD148" i="4"/>
  <c r="AY149" i="4"/>
  <c r="AZ149" i="4" s="1"/>
  <c r="BA149" i="4"/>
  <c r="BD150" i="4"/>
  <c r="AY151" i="4"/>
  <c r="AZ151" i="4" s="1"/>
  <c r="BA151" i="4"/>
  <c r="BD152" i="4"/>
  <c r="AY153" i="4"/>
  <c r="AZ153" i="4" s="1"/>
  <c r="BA153" i="4"/>
  <c r="BD154" i="4"/>
  <c r="AY155" i="4"/>
  <c r="AZ155" i="4" s="1"/>
  <c r="BA155" i="4"/>
  <c r="BD156" i="4"/>
  <c r="AY157" i="4"/>
  <c r="AZ157" i="4" s="1"/>
  <c r="BA157" i="4"/>
  <c r="BD158" i="4"/>
  <c r="AY159" i="4"/>
  <c r="AZ159" i="4" s="1"/>
  <c r="BA159" i="4"/>
  <c r="BD160" i="4"/>
  <c r="AY161" i="4"/>
  <c r="AZ161" i="4" s="1"/>
  <c r="BA161" i="4"/>
  <c r="BD162" i="4"/>
  <c r="AY163" i="4"/>
  <c r="AZ163" i="4" s="1"/>
  <c r="BA163" i="4"/>
  <c r="BD164" i="4"/>
  <c r="AY165" i="4"/>
  <c r="AZ165" i="4" s="1"/>
  <c r="BA165" i="4"/>
  <c r="BD166" i="4"/>
  <c r="AY167" i="4"/>
  <c r="AZ167" i="4" s="1"/>
  <c r="BA167" i="4"/>
  <c r="BD168" i="4"/>
  <c r="AY169" i="4"/>
  <c r="AZ169" i="4" s="1"/>
  <c r="BA169" i="4"/>
  <c r="BK170" i="4"/>
  <c r="BA170" i="4"/>
  <c r="BG170" i="4"/>
  <c r="BJ170" i="4" s="1"/>
  <c r="AY170" i="4"/>
  <c r="AZ170" i="4" s="1"/>
  <c r="BF170" i="4"/>
  <c r="AZ171" i="4"/>
  <c r="BD172" i="4"/>
  <c r="BH172" i="4"/>
  <c r="BC173" i="4"/>
  <c r="BJ173" i="4"/>
  <c r="BK174" i="4"/>
  <c r="BA174" i="4"/>
  <c r="BG174" i="4"/>
  <c r="BJ174" i="4" s="1"/>
  <c r="AY174" i="4"/>
  <c r="AZ174" i="4" s="1"/>
  <c r="BF174" i="4"/>
  <c r="AZ175" i="4"/>
  <c r="BD176" i="4"/>
  <c r="BH176" i="4"/>
  <c r="BC177" i="4"/>
  <c r="BJ177" i="4"/>
  <c r="BK178" i="4"/>
  <c r="BA178" i="4"/>
  <c r="BG178" i="4"/>
  <c r="BJ178" i="4" s="1"/>
  <c r="AY178" i="4"/>
  <c r="AZ178" i="4" s="1"/>
  <c r="BF178" i="4"/>
  <c r="AZ179" i="4"/>
  <c r="BD180" i="4"/>
  <c r="BH180" i="4"/>
  <c r="BC181" i="4"/>
  <c r="BJ181" i="4"/>
  <c r="BK182" i="4"/>
  <c r="BA182" i="4"/>
  <c r="BG182" i="4"/>
  <c r="BJ182" i="4" s="1"/>
  <c r="AY182" i="4"/>
  <c r="AZ182" i="4" s="1"/>
  <c r="BF182" i="4"/>
  <c r="AZ183" i="4"/>
  <c r="BJ185" i="4"/>
  <c r="BK186" i="4"/>
  <c r="BA186" i="4"/>
  <c r="BG186" i="4"/>
  <c r="BJ186" i="4" s="1"/>
  <c r="AY186" i="4"/>
  <c r="AZ186" i="4" s="1"/>
  <c r="BJ189" i="4"/>
  <c r="BK190" i="4"/>
  <c r="BA190" i="4"/>
  <c r="BG190" i="4"/>
  <c r="BJ190" i="4" s="1"/>
  <c r="AY190" i="4"/>
  <c r="AZ190" i="4" s="1"/>
  <c r="BJ193" i="4"/>
  <c r="BK194" i="4"/>
  <c r="BA194" i="4"/>
  <c r="BG194" i="4"/>
  <c r="BJ194" i="4" s="1"/>
  <c r="AY194" i="4"/>
  <c r="AZ194" i="4" s="1"/>
  <c r="BJ197" i="4"/>
  <c r="BK198" i="4"/>
  <c r="BA198" i="4"/>
  <c r="BG198" i="4"/>
  <c r="BJ198" i="4" s="1"/>
  <c r="AY198" i="4"/>
  <c r="AZ198" i="4" s="1"/>
  <c r="BJ201" i="4"/>
  <c r="BK202" i="4"/>
  <c r="BA202" i="4"/>
  <c r="BG202" i="4"/>
  <c r="BJ202" i="4" s="1"/>
  <c r="AY202" i="4"/>
  <c r="AZ202" i="4" s="1"/>
  <c r="BK205" i="4"/>
  <c r="BI205" i="4"/>
  <c r="BJ205" i="4" s="1"/>
  <c r="BJ208" i="4"/>
  <c r="BJ212" i="4"/>
  <c r="BJ216" i="4"/>
  <c r="BJ220" i="4"/>
  <c r="BJ224" i="4"/>
  <c r="BJ228" i="4"/>
  <c r="BJ232" i="4"/>
  <c r="BJ236" i="4"/>
  <c r="BJ240" i="4"/>
  <c r="BJ244" i="4"/>
  <c r="BJ248" i="4"/>
  <c r="BJ252" i="4"/>
  <c r="BJ256" i="4"/>
  <c r="BJ260" i="4"/>
  <c r="BJ264" i="4"/>
  <c r="BJ268" i="4"/>
  <c r="BJ272" i="4"/>
  <c r="BJ276" i="4"/>
  <c r="BJ280" i="4"/>
  <c r="BJ284" i="4"/>
  <c r="BJ288" i="4"/>
  <c r="BJ292" i="4"/>
  <c r="BJ296" i="4"/>
  <c r="BJ300" i="4"/>
  <c r="BJ304" i="4"/>
  <c r="BJ308" i="4"/>
  <c r="BJ312" i="4"/>
  <c r="BJ316" i="4"/>
  <c r="BJ320" i="4"/>
  <c r="BJ324" i="4"/>
  <c r="BJ328" i="4"/>
  <c r="BJ332" i="4"/>
  <c r="BJ336" i="4"/>
  <c r="BJ340" i="4"/>
  <c r="BJ344" i="4"/>
  <c r="BJ348" i="4"/>
  <c r="BJ352" i="4"/>
  <c r="BJ356" i="4"/>
  <c r="BJ360" i="4"/>
  <c r="BJ364" i="4"/>
  <c r="BJ368" i="4"/>
  <c r="BJ372" i="4"/>
  <c r="BJ376" i="4"/>
  <c r="BJ380" i="4"/>
  <c r="BJ384" i="4"/>
  <c r="BJ388" i="4"/>
  <c r="BJ392" i="4"/>
  <c r="BJ396" i="4"/>
  <c r="BJ400" i="4"/>
  <c r="BJ404" i="4"/>
  <c r="BJ408" i="4"/>
  <c r="BJ412" i="4"/>
  <c r="BJ416" i="4"/>
  <c r="BJ420" i="4"/>
  <c r="BJ424" i="4"/>
  <c r="BJ428" i="4"/>
  <c r="BJ432" i="4"/>
  <c r="BJ436" i="4"/>
  <c r="BJ440" i="4"/>
  <c r="BJ444" i="4"/>
  <c r="BD171" i="4"/>
  <c r="BD173" i="4"/>
  <c r="BD175" i="4"/>
  <c r="BD177" i="4"/>
  <c r="BD179" i="4"/>
  <c r="BD181" i="4"/>
  <c r="BD183" i="4"/>
  <c r="BD185" i="4"/>
  <c r="BD187" i="4"/>
  <c r="BD189" i="4"/>
  <c r="BD191" i="4"/>
  <c r="BD193" i="4"/>
  <c r="BD195" i="4"/>
  <c r="BD197" i="4"/>
  <c r="BD199" i="4"/>
  <c r="BD201" i="4"/>
  <c r="BD203" i="4"/>
  <c r="BD205" i="4"/>
  <c r="AY206" i="4"/>
  <c r="AZ206" i="4" s="1"/>
  <c r="BA206" i="4"/>
  <c r="BK206" i="4"/>
  <c r="BB207" i="4"/>
  <c r="BD207" i="4"/>
  <c r="AY208" i="4"/>
  <c r="AZ208" i="4" s="1"/>
  <c r="BA208" i="4"/>
  <c r="BK208" i="4"/>
  <c r="BB209" i="4"/>
  <c r="BD209" i="4"/>
  <c r="AY210" i="4"/>
  <c r="AZ210" i="4" s="1"/>
  <c r="BA210" i="4"/>
  <c r="BK210" i="4"/>
  <c r="BB211" i="4"/>
  <c r="BD211" i="4"/>
  <c r="AY212" i="4"/>
  <c r="AZ212" i="4" s="1"/>
  <c r="BA212" i="4"/>
  <c r="BK212" i="4"/>
  <c r="BB213" i="4"/>
  <c r="BD213" i="4"/>
  <c r="AY214" i="4"/>
  <c r="AZ214" i="4" s="1"/>
  <c r="BA214" i="4"/>
  <c r="BK214" i="4"/>
  <c r="BB215" i="4"/>
  <c r="BD215" i="4"/>
  <c r="AY216" i="4"/>
  <c r="AZ216" i="4" s="1"/>
  <c r="BA216" i="4"/>
  <c r="BK216" i="4"/>
  <c r="BB217" i="4"/>
  <c r="BD217" i="4"/>
  <c r="AY218" i="4"/>
  <c r="AZ218" i="4" s="1"/>
  <c r="BA218" i="4"/>
  <c r="BK218" i="4"/>
  <c r="BB219" i="4"/>
  <c r="BD219" i="4"/>
  <c r="AY220" i="4"/>
  <c r="AZ220" i="4" s="1"/>
  <c r="BA220" i="4"/>
  <c r="BK220" i="4"/>
  <c r="BB221" i="4"/>
  <c r="BD221" i="4"/>
  <c r="AY222" i="4"/>
  <c r="AZ222" i="4" s="1"/>
  <c r="BA222" i="4"/>
  <c r="BK222" i="4"/>
  <c r="BB223" i="4"/>
  <c r="BD223" i="4"/>
  <c r="AY224" i="4"/>
  <c r="AZ224" i="4" s="1"/>
  <c r="BA224" i="4"/>
  <c r="BK224" i="4"/>
  <c r="BB225" i="4"/>
  <c r="BD225" i="4"/>
  <c r="AY226" i="4"/>
  <c r="AZ226" i="4" s="1"/>
  <c r="BA226" i="4"/>
  <c r="BK226" i="4"/>
  <c r="BB227" i="4"/>
  <c r="BD227" i="4"/>
  <c r="AY228" i="4"/>
  <c r="AZ228" i="4" s="1"/>
  <c r="BA228" i="4"/>
  <c r="BK228" i="4"/>
  <c r="BB229" i="4"/>
  <c r="BD229" i="4"/>
  <c r="AY230" i="4"/>
  <c r="AZ230" i="4" s="1"/>
  <c r="BA230" i="4"/>
  <c r="BK230" i="4"/>
  <c r="BB231" i="4"/>
  <c r="BD231" i="4"/>
  <c r="AY232" i="4"/>
  <c r="AZ232" i="4" s="1"/>
  <c r="BA232" i="4"/>
  <c r="BK232" i="4"/>
  <c r="BB233" i="4"/>
  <c r="BD233" i="4"/>
  <c r="AY234" i="4"/>
  <c r="AZ234" i="4" s="1"/>
  <c r="BA234" i="4"/>
  <c r="BK234" i="4"/>
  <c r="BB235" i="4"/>
  <c r="BD235" i="4"/>
  <c r="AY236" i="4"/>
  <c r="AZ236" i="4" s="1"/>
  <c r="BA236" i="4"/>
  <c r="BK236" i="4"/>
  <c r="BB237" i="4"/>
  <c r="BD237" i="4"/>
  <c r="AY238" i="4"/>
  <c r="AZ238" i="4" s="1"/>
  <c r="BA238" i="4"/>
  <c r="BK238" i="4"/>
  <c r="BB239" i="4"/>
  <c r="BD239" i="4"/>
  <c r="AY240" i="4"/>
  <c r="AZ240" i="4" s="1"/>
  <c r="BA240" i="4"/>
  <c r="BK240" i="4"/>
  <c r="BB241" i="4"/>
  <c r="BD241" i="4"/>
  <c r="AY242" i="4"/>
  <c r="AZ242" i="4" s="1"/>
  <c r="BA242" i="4"/>
  <c r="BK242" i="4"/>
  <c r="BB243" i="4"/>
  <c r="BD243" i="4"/>
  <c r="AY244" i="4"/>
  <c r="AZ244" i="4" s="1"/>
  <c r="BA244" i="4"/>
  <c r="BK244" i="4"/>
  <c r="BB245" i="4"/>
  <c r="BD245" i="4"/>
  <c r="AY246" i="4"/>
  <c r="AZ246" i="4" s="1"/>
  <c r="BA246" i="4"/>
  <c r="BK246" i="4"/>
  <c r="BB247" i="4"/>
  <c r="BD247" i="4"/>
  <c r="AY248" i="4"/>
  <c r="AZ248" i="4" s="1"/>
  <c r="BA248" i="4"/>
  <c r="BK248" i="4"/>
  <c r="BB249" i="4"/>
  <c r="BD249" i="4"/>
  <c r="AY250" i="4"/>
  <c r="AZ250" i="4" s="1"/>
  <c r="BA250" i="4"/>
  <c r="BK250" i="4"/>
  <c r="BB251" i="4"/>
  <c r="BD251" i="4"/>
  <c r="AY252" i="4"/>
  <c r="AZ252" i="4" s="1"/>
  <c r="BA252" i="4"/>
  <c r="BK252" i="4"/>
  <c r="BB253" i="4"/>
  <c r="BD253" i="4"/>
  <c r="AY254" i="4"/>
  <c r="AZ254" i="4" s="1"/>
  <c r="BA254" i="4"/>
  <c r="BK254" i="4"/>
  <c r="BB255" i="4"/>
  <c r="BD255" i="4"/>
  <c r="AY256" i="4"/>
  <c r="AZ256" i="4" s="1"/>
  <c r="BA256" i="4"/>
  <c r="BK256" i="4"/>
  <c r="BB257" i="4"/>
  <c r="BD257" i="4"/>
  <c r="AY258" i="4"/>
  <c r="AZ258" i="4" s="1"/>
  <c r="BA258" i="4"/>
  <c r="BK258" i="4"/>
  <c r="BB259" i="4"/>
  <c r="BD259" i="4"/>
  <c r="AY260" i="4"/>
  <c r="AZ260" i="4" s="1"/>
  <c r="BA260" i="4"/>
  <c r="BK260" i="4"/>
  <c r="BB261" i="4"/>
  <c r="BD261" i="4"/>
  <c r="AY262" i="4"/>
  <c r="AZ262" i="4" s="1"/>
  <c r="BA262" i="4"/>
  <c r="BK262" i="4"/>
  <c r="BB263" i="4"/>
  <c r="BD263" i="4"/>
  <c r="AY264" i="4"/>
  <c r="AZ264" i="4" s="1"/>
  <c r="BA264" i="4"/>
  <c r="BK264" i="4"/>
  <c r="BB265" i="4"/>
  <c r="BD265" i="4"/>
  <c r="AY266" i="4"/>
  <c r="AZ266" i="4" s="1"/>
  <c r="BA266" i="4"/>
  <c r="BK266" i="4"/>
  <c r="BB267" i="4"/>
  <c r="BD267" i="4"/>
  <c r="AY268" i="4"/>
  <c r="AZ268" i="4" s="1"/>
  <c r="BA268" i="4"/>
  <c r="BK268" i="4"/>
  <c r="BB269" i="4"/>
  <c r="BD269" i="4"/>
  <c r="AY270" i="4"/>
  <c r="AZ270" i="4" s="1"/>
  <c r="BA270" i="4"/>
  <c r="BK270" i="4"/>
  <c r="BB271" i="4"/>
  <c r="BD271" i="4"/>
  <c r="AY272" i="4"/>
  <c r="AZ272" i="4" s="1"/>
  <c r="BA272" i="4"/>
  <c r="BK272" i="4"/>
  <c r="BB273" i="4"/>
  <c r="BD273" i="4"/>
  <c r="AY274" i="4"/>
  <c r="AZ274" i="4" s="1"/>
  <c r="BA274" i="4"/>
  <c r="BK274" i="4"/>
  <c r="BB275" i="4"/>
  <c r="BD275" i="4"/>
  <c r="AY276" i="4"/>
  <c r="AZ276" i="4" s="1"/>
  <c r="BA276" i="4"/>
  <c r="BK276" i="4"/>
  <c r="BB277" i="4"/>
  <c r="BD277" i="4"/>
  <c r="AY278" i="4"/>
  <c r="AZ278" i="4" s="1"/>
  <c r="BA278" i="4"/>
  <c r="BK278" i="4"/>
  <c r="BB279" i="4"/>
  <c r="BD279" i="4"/>
  <c r="AY280" i="4"/>
  <c r="AZ280" i="4" s="1"/>
  <c r="BA280" i="4"/>
  <c r="BK280" i="4"/>
  <c r="BB281" i="4"/>
  <c r="BD281" i="4"/>
  <c r="AY282" i="4"/>
  <c r="AZ282" i="4" s="1"/>
  <c r="BA282" i="4"/>
  <c r="BK282" i="4"/>
  <c r="BB283" i="4"/>
  <c r="BD283" i="4"/>
  <c r="AY284" i="4"/>
  <c r="AZ284" i="4" s="1"/>
  <c r="BA284" i="4"/>
  <c r="BK284" i="4"/>
  <c r="BB285" i="4"/>
  <c r="BD285" i="4"/>
  <c r="AY286" i="4"/>
  <c r="AZ286" i="4" s="1"/>
  <c r="BA286" i="4"/>
  <c r="BK286" i="4"/>
  <c r="BB287" i="4"/>
  <c r="BD287" i="4"/>
  <c r="AY288" i="4"/>
  <c r="AZ288" i="4" s="1"/>
  <c r="BA288" i="4"/>
  <c r="BK288" i="4"/>
  <c r="BB289" i="4"/>
  <c r="BD289" i="4"/>
  <c r="AY290" i="4"/>
  <c r="AZ290" i="4" s="1"/>
  <c r="BA290" i="4"/>
  <c r="BK290" i="4"/>
  <c r="BB291" i="4"/>
  <c r="BD291" i="4"/>
  <c r="AY292" i="4"/>
  <c r="AZ292" i="4" s="1"/>
  <c r="BA292" i="4"/>
  <c r="BK292" i="4"/>
  <c r="BB293" i="4"/>
  <c r="BD293" i="4"/>
  <c r="AY294" i="4"/>
  <c r="AZ294" i="4" s="1"/>
  <c r="BA294" i="4"/>
  <c r="BK294" i="4"/>
  <c r="BB295" i="4"/>
  <c r="BD295" i="4"/>
  <c r="AY296" i="4"/>
  <c r="AZ296" i="4" s="1"/>
  <c r="BA296" i="4"/>
  <c r="BK296" i="4"/>
  <c r="BB297" i="4"/>
  <c r="BD297" i="4"/>
  <c r="AY298" i="4"/>
  <c r="AZ298" i="4" s="1"/>
  <c r="BA298" i="4"/>
  <c r="BK298" i="4"/>
  <c r="BB299" i="4"/>
  <c r="BD299" i="4"/>
  <c r="AY300" i="4"/>
  <c r="AZ300" i="4" s="1"/>
  <c r="BA300" i="4"/>
  <c r="BK300" i="4"/>
  <c r="BB301" i="4"/>
  <c r="BD301" i="4"/>
  <c r="AY302" i="4"/>
  <c r="AZ302" i="4" s="1"/>
  <c r="BA302" i="4"/>
  <c r="BK302" i="4"/>
  <c r="BB303" i="4"/>
  <c r="BD303" i="4"/>
  <c r="AY304" i="4"/>
  <c r="AZ304" i="4" s="1"/>
  <c r="BA304" i="4"/>
  <c r="BK304" i="4"/>
  <c r="BB305" i="4"/>
  <c r="BD305" i="4"/>
  <c r="AY306" i="4"/>
  <c r="AZ306" i="4" s="1"/>
  <c r="BA306" i="4"/>
  <c r="BK306" i="4"/>
  <c r="BB307" i="4"/>
  <c r="BD307" i="4"/>
  <c r="AY308" i="4"/>
  <c r="AZ308" i="4" s="1"/>
  <c r="BA308" i="4"/>
  <c r="BK308" i="4"/>
  <c r="BB309" i="4"/>
  <c r="BD309" i="4"/>
  <c r="AY310" i="4"/>
  <c r="AZ310" i="4" s="1"/>
  <c r="BA310" i="4"/>
  <c r="BK310" i="4"/>
  <c r="BB311" i="4"/>
  <c r="BD311" i="4"/>
  <c r="AY312" i="4"/>
  <c r="AZ312" i="4" s="1"/>
  <c r="BA312" i="4"/>
  <c r="BK312" i="4"/>
  <c r="BB313" i="4"/>
  <c r="BD313" i="4"/>
  <c r="AY314" i="4"/>
  <c r="AZ314" i="4" s="1"/>
  <c r="BA314" i="4"/>
  <c r="BK314" i="4"/>
  <c r="BB315" i="4"/>
  <c r="BD315" i="4"/>
  <c r="AY316" i="4"/>
  <c r="AZ316" i="4" s="1"/>
  <c r="BA316" i="4"/>
  <c r="BK316" i="4"/>
  <c r="BB317" i="4"/>
  <c r="BD317" i="4"/>
  <c r="AY318" i="4"/>
  <c r="AZ318" i="4" s="1"/>
  <c r="BA318" i="4"/>
  <c r="BK318" i="4"/>
  <c r="BB319" i="4"/>
  <c r="BD319" i="4"/>
  <c r="AY320" i="4"/>
  <c r="AZ320" i="4" s="1"/>
  <c r="BA320" i="4"/>
  <c r="BK320" i="4"/>
  <c r="BB321" i="4"/>
  <c r="BD321" i="4"/>
  <c r="AY322" i="4"/>
  <c r="AZ322" i="4" s="1"/>
  <c r="BA322" i="4"/>
  <c r="BK322" i="4"/>
  <c r="BB323" i="4"/>
  <c r="BD323" i="4"/>
  <c r="AY324" i="4"/>
  <c r="AZ324" i="4" s="1"/>
  <c r="BA324" i="4"/>
  <c r="BK324" i="4"/>
  <c r="BB325" i="4"/>
  <c r="BD325" i="4"/>
  <c r="AY326" i="4"/>
  <c r="AZ326" i="4" s="1"/>
  <c r="BA326" i="4"/>
  <c r="BK326" i="4"/>
  <c r="BB327" i="4"/>
  <c r="BD327" i="4"/>
  <c r="AY328" i="4"/>
  <c r="AZ328" i="4" s="1"/>
  <c r="BA328" i="4"/>
  <c r="BK328" i="4"/>
  <c r="BB329" i="4"/>
  <c r="BD329" i="4"/>
  <c r="AY330" i="4"/>
  <c r="AZ330" i="4" s="1"/>
  <c r="BA330" i="4"/>
  <c r="BK330" i="4"/>
  <c r="BB331" i="4"/>
  <c r="BD331" i="4"/>
  <c r="AY332" i="4"/>
  <c r="AZ332" i="4" s="1"/>
  <c r="BA332" i="4"/>
  <c r="BK332" i="4"/>
  <c r="BB333" i="4"/>
  <c r="BD333" i="4"/>
  <c r="AY334" i="4"/>
  <c r="AZ334" i="4" s="1"/>
  <c r="BA334" i="4"/>
  <c r="BK334" i="4"/>
  <c r="BB335" i="4"/>
  <c r="BD335" i="4"/>
  <c r="AY336" i="4"/>
  <c r="AZ336" i="4" s="1"/>
  <c r="BA336" i="4"/>
  <c r="BK336" i="4"/>
  <c r="BB337" i="4"/>
  <c r="BD337" i="4"/>
  <c r="AY338" i="4"/>
  <c r="AZ338" i="4" s="1"/>
  <c r="BA338" i="4"/>
  <c r="BK338" i="4"/>
  <c r="BB339" i="4"/>
  <c r="BD339" i="4"/>
  <c r="AY340" i="4"/>
  <c r="AZ340" i="4" s="1"/>
  <c r="BA340" i="4"/>
  <c r="BK340" i="4"/>
  <c r="BB341" i="4"/>
  <c r="BD341" i="4"/>
  <c r="AY342" i="4"/>
  <c r="AZ342" i="4" s="1"/>
  <c r="BA342" i="4"/>
  <c r="BK342" i="4"/>
  <c r="BB343" i="4"/>
  <c r="BD343" i="4"/>
  <c r="AY344" i="4"/>
  <c r="AZ344" i="4" s="1"/>
  <c r="BA344" i="4"/>
  <c r="BK344" i="4"/>
  <c r="BB345" i="4"/>
  <c r="BD345" i="4"/>
  <c r="AY346" i="4"/>
  <c r="AZ346" i="4" s="1"/>
  <c r="BA346" i="4"/>
  <c r="BK346" i="4"/>
  <c r="BB347" i="4"/>
  <c r="BD347" i="4"/>
  <c r="AY348" i="4"/>
  <c r="AZ348" i="4" s="1"/>
  <c r="BA348" i="4"/>
  <c r="BK348" i="4"/>
  <c r="BB349" i="4"/>
  <c r="BD349" i="4"/>
  <c r="AY350" i="4"/>
  <c r="AZ350" i="4" s="1"/>
  <c r="BA350" i="4"/>
  <c r="BK350" i="4"/>
  <c r="BB351" i="4"/>
  <c r="BD351" i="4"/>
  <c r="AY352" i="4"/>
  <c r="AZ352" i="4" s="1"/>
  <c r="BA352" i="4"/>
  <c r="BK352" i="4"/>
  <c r="BB353" i="4"/>
  <c r="BD353" i="4"/>
  <c r="AY354" i="4"/>
  <c r="AZ354" i="4" s="1"/>
  <c r="BA354" i="4"/>
  <c r="BK354" i="4"/>
  <c r="BB355" i="4"/>
  <c r="BD355" i="4"/>
  <c r="AY356" i="4"/>
  <c r="AZ356" i="4" s="1"/>
  <c r="BA356" i="4"/>
  <c r="BK356" i="4"/>
  <c r="BB357" i="4"/>
  <c r="BD357" i="4"/>
  <c r="AY358" i="4"/>
  <c r="AZ358" i="4" s="1"/>
  <c r="BA358" i="4"/>
  <c r="BK358" i="4"/>
  <c r="BB359" i="4"/>
  <c r="BD359" i="4"/>
  <c r="AY360" i="4"/>
  <c r="AZ360" i="4" s="1"/>
  <c r="BA360" i="4"/>
  <c r="BK360" i="4"/>
  <c r="BB361" i="4"/>
  <c r="BD361" i="4"/>
  <c r="AY362" i="4"/>
  <c r="AZ362" i="4" s="1"/>
  <c r="BA362" i="4"/>
  <c r="BK362" i="4"/>
  <c r="BB363" i="4"/>
  <c r="BD363" i="4"/>
  <c r="AY364" i="4"/>
  <c r="AZ364" i="4" s="1"/>
  <c r="BA364" i="4"/>
  <c r="BK364" i="4"/>
  <c r="BB365" i="4"/>
  <c r="BD365" i="4"/>
  <c r="AY366" i="4"/>
  <c r="AZ366" i="4" s="1"/>
  <c r="BA366" i="4"/>
  <c r="BK366" i="4"/>
  <c r="BB367" i="4"/>
  <c r="BD367" i="4"/>
  <c r="AY368" i="4"/>
  <c r="AZ368" i="4" s="1"/>
  <c r="BA368" i="4"/>
  <c r="BK368" i="4"/>
  <c r="BB369" i="4"/>
  <c r="BD369" i="4"/>
  <c r="AY370" i="4"/>
  <c r="AZ370" i="4" s="1"/>
  <c r="BA370" i="4"/>
  <c r="BK370" i="4"/>
  <c r="BB371" i="4"/>
  <c r="BD371" i="4"/>
  <c r="AY372" i="4"/>
  <c r="AZ372" i="4" s="1"/>
  <c r="BA372" i="4"/>
  <c r="BK372" i="4"/>
  <c r="BB373" i="4"/>
  <c r="BD373" i="4"/>
  <c r="AY374" i="4"/>
  <c r="AZ374" i="4" s="1"/>
  <c r="BA374" i="4"/>
  <c r="BK374" i="4"/>
  <c r="BB375" i="4"/>
  <c r="BD375" i="4"/>
  <c r="AY376" i="4"/>
  <c r="AZ376" i="4" s="1"/>
  <c r="BA376" i="4"/>
  <c r="BK376" i="4"/>
  <c r="BB377" i="4"/>
  <c r="BD377" i="4"/>
  <c r="AY378" i="4"/>
  <c r="AZ378" i="4" s="1"/>
  <c r="BA378" i="4"/>
  <c r="BK378" i="4"/>
  <c r="BB379" i="4"/>
  <c r="BD379" i="4"/>
  <c r="AY380" i="4"/>
  <c r="AZ380" i="4" s="1"/>
  <c r="BA380" i="4"/>
  <c r="BK380" i="4"/>
  <c r="BB381" i="4"/>
  <c r="BD381" i="4"/>
  <c r="AY382" i="4"/>
  <c r="AZ382" i="4" s="1"/>
  <c r="BA382" i="4"/>
  <c r="BK382" i="4"/>
  <c r="BB383" i="4"/>
  <c r="BD383" i="4"/>
  <c r="AY384" i="4"/>
  <c r="AZ384" i="4" s="1"/>
  <c r="BA384" i="4"/>
  <c r="BK384" i="4"/>
  <c r="BB385" i="4"/>
  <c r="BD385" i="4"/>
  <c r="AY386" i="4"/>
  <c r="AZ386" i="4" s="1"/>
  <c r="BA386" i="4"/>
  <c r="BK386" i="4"/>
  <c r="BB387" i="4"/>
  <c r="BD387" i="4"/>
  <c r="AY388" i="4"/>
  <c r="AZ388" i="4" s="1"/>
  <c r="BA388" i="4"/>
  <c r="BK388" i="4"/>
  <c r="BB389" i="4"/>
  <c r="BD389" i="4"/>
  <c r="AY390" i="4"/>
  <c r="AZ390" i="4" s="1"/>
  <c r="BA390" i="4"/>
  <c r="BK390" i="4"/>
  <c r="BB391" i="4"/>
  <c r="BD391" i="4"/>
  <c r="AY392" i="4"/>
  <c r="AZ392" i="4" s="1"/>
  <c r="BA392" i="4"/>
  <c r="BK392" i="4"/>
  <c r="BB393" i="4"/>
  <c r="BD393" i="4"/>
  <c r="AY394" i="4"/>
  <c r="AZ394" i="4" s="1"/>
  <c r="BA394" i="4"/>
  <c r="BK394" i="4"/>
  <c r="BB395" i="4"/>
  <c r="BD395" i="4"/>
  <c r="AY396" i="4"/>
  <c r="AZ396" i="4" s="1"/>
  <c r="BA396" i="4"/>
  <c r="BK396" i="4"/>
  <c r="BB397" i="4"/>
  <c r="BD397" i="4"/>
  <c r="AY398" i="4"/>
  <c r="AZ398" i="4" s="1"/>
  <c r="BA398" i="4"/>
  <c r="BK398" i="4"/>
  <c r="BB399" i="4"/>
  <c r="BD399" i="4"/>
  <c r="AY400" i="4"/>
  <c r="AZ400" i="4" s="1"/>
  <c r="BA400" i="4"/>
  <c r="BK400" i="4"/>
  <c r="BB401" i="4"/>
  <c r="BD401" i="4"/>
  <c r="AY402" i="4"/>
  <c r="AZ402" i="4" s="1"/>
  <c r="BA402" i="4"/>
  <c r="BK402" i="4"/>
  <c r="BB403" i="4"/>
  <c r="BD403" i="4"/>
  <c r="AY404" i="4"/>
  <c r="AZ404" i="4" s="1"/>
  <c r="BA404" i="4"/>
  <c r="BK404" i="4"/>
  <c r="BB405" i="4"/>
  <c r="BD405" i="4"/>
  <c r="AY406" i="4"/>
  <c r="AZ406" i="4" s="1"/>
  <c r="BA406" i="4"/>
  <c r="BK406" i="4"/>
  <c r="BB407" i="4"/>
  <c r="BD407" i="4"/>
  <c r="AY408" i="4"/>
  <c r="AZ408" i="4" s="1"/>
  <c r="BA408" i="4"/>
  <c r="BK408" i="4"/>
  <c r="BB409" i="4"/>
  <c r="BD409" i="4"/>
  <c r="AY410" i="4"/>
  <c r="AZ410" i="4" s="1"/>
  <c r="BA410" i="4"/>
  <c r="BK410" i="4"/>
  <c r="BB411" i="4"/>
  <c r="BD411" i="4"/>
  <c r="AY412" i="4"/>
  <c r="AZ412" i="4" s="1"/>
  <c r="BA412" i="4"/>
  <c r="BK412" i="4"/>
  <c r="BB413" i="4"/>
  <c r="BD413" i="4"/>
  <c r="AY414" i="4"/>
  <c r="AZ414" i="4" s="1"/>
  <c r="BA414" i="4"/>
  <c r="BK414" i="4"/>
  <c r="BB415" i="4"/>
  <c r="BD415" i="4"/>
  <c r="AY416" i="4"/>
  <c r="AZ416" i="4" s="1"/>
  <c r="BA416" i="4"/>
  <c r="BK416" i="4"/>
  <c r="BB417" i="4"/>
  <c r="BD417" i="4"/>
  <c r="AY418" i="4"/>
  <c r="AZ418" i="4" s="1"/>
  <c r="BA418" i="4"/>
  <c r="BK418" i="4"/>
  <c r="BB419" i="4"/>
  <c r="BD419" i="4"/>
  <c r="AY420" i="4"/>
  <c r="AZ420" i="4" s="1"/>
  <c r="BA420" i="4"/>
  <c r="BK420" i="4"/>
  <c r="BB421" i="4"/>
  <c r="BD421" i="4"/>
  <c r="AY422" i="4"/>
  <c r="AZ422" i="4" s="1"/>
  <c r="BA422" i="4"/>
  <c r="BK422" i="4"/>
  <c r="BB423" i="4"/>
  <c r="BD423" i="4"/>
  <c r="AY424" i="4"/>
  <c r="AZ424" i="4" s="1"/>
  <c r="BA424" i="4"/>
  <c r="BK424" i="4"/>
  <c r="BB425" i="4"/>
  <c r="BD425" i="4"/>
  <c r="AY426" i="4"/>
  <c r="AZ426" i="4" s="1"/>
  <c r="BA426" i="4"/>
  <c r="BK426" i="4"/>
  <c r="BB427" i="4"/>
  <c r="BD427" i="4"/>
  <c r="AY428" i="4"/>
  <c r="AZ428" i="4" s="1"/>
  <c r="BA428" i="4"/>
  <c r="BK428" i="4"/>
  <c r="BB429" i="4"/>
  <c r="BD429" i="4"/>
  <c r="AY430" i="4"/>
  <c r="AZ430" i="4" s="1"/>
  <c r="BA430" i="4"/>
  <c r="BK430" i="4"/>
  <c r="BB431" i="4"/>
  <c r="BD431" i="4"/>
  <c r="AY432" i="4"/>
  <c r="AZ432" i="4" s="1"/>
  <c r="BA432" i="4"/>
  <c r="BK432" i="4"/>
  <c r="BB433" i="4"/>
  <c r="BD433" i="4"/>
  <c r="AY434" i="4"/>
  <c r="AZ434" i="4" s="1"/>
  <c r="BA434" i="4"/>
  <c r="BK434" i="4"/>
  <c r="BB435" i="4"/>
  <c r="BD435" i="4"/>
  <c r="AY436" i="4"/>
  <c r="AZ436" i="4" s="1"/>
  <c r="BA436" i="4"/>
  <c r="BK436" i="4"/>
  <c r="BB437" i="4"/>
  <c r="BD437" i="4"/>
  <c r="AY438" i="4"/>
  <c r="AZ438" i="4" s="1"/>
  <c r="BA438" i="4"/>
  <c r="BK438" i="4"/>
  <c r="BB439" i="4"/>
  <c r="BD439" i="4"/>
  <c r="AY440" i="4"/>
  <c r="AZ440" i="4" s="1"/>
  <c r="BA440" i="4"/>
  <c r="BK440" i="4"/>
  <c r="BB441" i="4"/>
  <c r="BD441" i="4"/>
  <c r="AY442" i="4"/>
  <c r="AZ442" i="4" s="1"/>
  <c r="BA442" i="4"/>
  <c r="BK442" i="4"/>
  <c r="BB443" i="4"/>
  <c r="BD443" i="4"/>
  <c r="AY444" i="4"/>
  <c r="AZ444" i="4" s="1"/>
  <c r="BA444" i="4"/>
  <c r="BK444" i="4"/>
  <c r="BB445" i="4"/>
  <c r="BD445" i="4"/>
  <c r="BH445" i="4"/>
  <c r="BK446" i="4"/>
  <c r="BA446" i="4"/>
  <c r="BG446" i="4"/>
  <c r="BJ446" i="4" s="1"/>
  <c r="AY446" i="4"/>
  <c r="AZ446" i="4" s="1"/>
  <c r="BF446" i="4"/>
  <c r="AZ447" i="4"/>
  <c r="BI447" i="4"/>
  <c r="BD448" i="4"/>
  <c r="BC449" i="4"/>
  <c r="BJ449" i="4"/>
  <c r="BK450" i="4"/>
  <c r="BA450" i="4"/>
  <c r="BG450" i="4"/>
  <c r="BJ450" i="4" s="1"/>
  <c r="AY450" i="4"/>
  <c r="AZ450" i="4" s="1"/>
  <c r="BF450" i="4"/>
  <c r="AZ451" i="4"/>
  <c r="BI451" i="4"/>
  <c r="BD452" i="4"/>
  <c r="BC453" i="4"/>
  <c r="BJ453" i="4"/>
  <c r="BK454" i="4"/>
  <c r="BA454" i="4"/>
  <c r="BG454" i="4"/>
  <c r="BJ454" i="4" s="1"/>
  <c r="AY454" i="4"/>
  <c r="AZ454" i="4" s="1"/>
  <c r="BF454" i="4"/>
  <c r="AZ455" i="4"/>
  <c r="BI455" i="4"/>
  <c r="BD456" i="4"/>
  <c r="BC457" i="4"/>
  <c r="BJ457" i="4"/>
  <c r="BK458" i="4"/>
  <c r="BA458" i="4"/>
  <c r="BG458" i="4"/>
  <c r="BJ458" i="4" s="1"/>
  <c r="AY458" i="4"/>
  <c r="AZ458" i="4" s="1"/>
  <c r="BF458" i="4"/>
  <c r="AZ459" i="4"/>
  <c r="BI459" i="4"/>
  <c r="BD460" i="4"/>
  <c r="BC461" i="4"/>
  <c r="BJ461" i="4"/>
  <c r="BK462" i="4"/>
  <c r="BA462" i="4"/>
  <c r="BG462" i="4"/>
  <c r="BJ462" i="4" s="1"/>
  <c r="AY462" i="4"/>
  <c r="AZ462" i="4" s="1"/>
  <c r="BF462" i="4"/>
  <c r="AZ463" i="4"/>
  <c r="BI463" i="4"/>
  <c r="BD464" i="4"/>
  <c r="BC465" i="4"/>
  <c r="BJ465" i="4"/>
  <c r="BK466" i="4"/>
  <c r="BA466" i="4"/>
  <c r="BG466" i="4"/>
  <c r="BJ466" i="4" s="1"/>
  <c r="AY466" i="4"/>
  <c r="AZ466" i="4" s="1"/>
  <c r="BF466" i="4"/>
  <c r="BJ470" i="4"/>
  <c r="BJ474" i="4"/>
  <c r="BJ478" i="4"/>
  <c r="BJ482" i="4"/>
  <c r="BJ486" i="4"/>
  <c r="BJ490" i="4"/>
  <c r="BJ494" i="4"/>
  <c r="BJ498" i="4"/>
  <c r="BJ502" i="4"/>
  <c r="BJ506" i="4"/>
  <c r="BJ510" i="4"/>
  <c r="BJ514" i="4"/>
  <c r="BJ518" i="4"/>
  <c r="BJ522" i="4"/>
  <c r="BJ526" i="4"/>
  <c r="BJ530" i="4"/>
  <c r="BJ534" i="4"/>
  <c r="BJ538" i="4"/>
  <c r="BJ542" i="4"/>
  <c r="BJ546" i="4"/>
  <c r="BJ550" i="4"/>
  <c r="BJ554" i="4"/>
  <c r="BJ558" i="4"/>
  <c r="BJ562" i="4"/>
  <c r="BJ566" i="4"/>
  <c r="BJ570" i="4"/>
  <c r="BJ574" i="4"/>
  <c r="BJ578" i="4"/>
  <c r="BJ582" i="4"/>
  <c r="BJ586" i="4"/>
  <c r="BJ590" i="4"/>
  <c r="BJ594" i="4"/>
  <c r="BJ598" i="4"/>
  <c r="BJ602" i="4"/>
  <c r="BJ606" i="4"/>
  <c r="BJ610" i="4"/>
  <c r="BJ614" i="4"/>
  <c r="BJ618" i="4"/>
  <c r="BJ622" i="4"/>
  <c r="BJ626" i="4"/>
  <c r="BD206" i="4"/>
  <c r="BI207" i="4"/>
  <c r="BJ207" i="4" s="1"/>
  <c r="BD208" i="4"/>
  <c r="BI209" i="4"/>
  <c r="BJ209" i="4" s="1"/>
  <c r="BD210" i="4"/>
  <c r="BI211" i="4"/>
  <c r="BJ211" i="4" s="1"/>
  <c r="BD212" i="4"/>
  <c r="BI213" i="4"/>
  <c r="BJ213" i="4" s="1"/>
  <c r="BD214" i="4"/>
  <c r="BI215" i="4"/>
  <c r="BJ215" i="4" s="1"/>
  <c r="BD216" i="4"/>
  <c r="BI217" i="4"/>
  <c r="BJ217" i="4" s="1"/>
  <c r="BD218" i="4"/>
  <c r="BI219" i="4"/>
  <c r="BJ219" i="4" s="1"/>
  <c r="BD220" i="4"/>
  <c r="BI221" i="4"/>
  <c r="BJ221" i="4" s="1"/>
  <c r="BD222" i="4"/>
  <c r="BI223" i="4"/>
  <c r="BJ223" i="4" s="1"/>
  <c r="BD224" i="4"/>
  <c r="BI225" i="4"/>
  <c r="BJ225" i="4" s="1"/>
  <c r="BD226" i="4"/>
  <c r="BI227" i="4"/>
  <c r="BJ227" i="4" s="1"/>
  <c r="BD228" i="4"/>
  <c r="BI229" i="4"/>
  <c r="BJ229" i="4" s="1"/>
  <c r="BD230" i="4"/>
  <c r="BI231" i="4"/>
  <c r="BJ231" i="4" s="1"/>
  <c r="BD232" i="4"/>
  <c r="BI233" i="4"/>
  <c r="BJ233" i="4" s="1"/>
  <c r="BD234" i="4"/>
  <c r="BI235" i="4"/>
  <c r="BJ235" i="4" s="1"/>
  <c r="BD236" i="4"/>
  <c r="BI237" i="4"/>
  <c r="BJ237" i="4" s="1"/>
  <c r="BD238" i="4"/>
  <c r="BI239" i="4"/>
  <c r="BJ239" i="4" s="1"/>
  <c r="BD240" i="4"/>
  <c r="BI241" i="4"/>
  <c r="BJ241" i="4" s="1"/>
  <c r="BD242" i="4"/>
  <c r="BI243" i="4"/>
  <c r="BJ243" i="4" s="1"/>
  <c r="BD244" i="4"/>
  <c r="BI245" i="4"/>
  <c r="BJ245" i="4" s="1"/>
  <c r="BD246" i="4"/>
  <c r="BI247" i="4"/>
  <c r="BJ247" i="4" s="1"/>
  <c r="BD248" i="4"/>
  <c r="BI249" i="4"/>
  <c r="BJ249" i="4" s="1"/>
  <c r="BD250" i="4"/>
  <c r="BI251" i="4"/>
  <c r="BJ251" i="4" s="1"/>
  <c r="BD252" i="4"/>
  <c r="BI253" i="4"/>
  <c r="BJ253" i="4" s="1"/>
  <c r="BD254" i="4"/>
  <c r="BI255" i="4"/>
  <c r="BJ255" i="4" s="1"/>
  <c r="BD256" i="4"/>
  <c r="BI257" i="4"/>
  <c r="BJ257" i="4" s="1"/>
  <c r="BD258" i="4"/>
  <c r="BI259" i="4"/>
  <c r="BJ259" i="4" s="1"/>
  <c r="BD260" i="4"/>
  <c r="BI261" i="4"/>
  <c r="BJ261" i="4" s="1"/>
  <c r="BD262" i="4"/>
  <c r="BI263" i="4"/>
  <c r="BJ263" i="4" s="1"/>
  <c r="BD264" i="4"/>
  <c r="BI265" i="4"/>
  <c r="BJ265" i="4" s="1"/>
  <c r="BD266" i="4"/>
  <c r="BI267" i="4"/>
  <c r="BJ267" i="4" s="1"/>
  <c r="BD268" i="4"/>
  <c r="BI269" i="4"/>
  <c r="BJ269" i="4" s="1"/>
  <c r="BD270" i="4"/>
  <c r="BI271" i="4"/>
  <c r="BJ271" i="4" s="1"/>
  <c r="BD272" i="4"/>
  <c r="BI273" i="4"/>
  <c r="BJ273" i="4" s="1"/>
  <c r="BD274" i="4"/>
  <c r="BI275" i="4"/>
  <c r="BJ275" i="4" s="1"/>
  <c r="BD276" i="4"/>
  <c r="BI277" i="4"/>
  <c r="BJ277" i="4" s="1"/>
  <c r="BD278" i="4"/>
  <c r="BI279" i="4"/>
  <c r="BJ279" i="4" s="1"/>
  <c r="BD280" i="4"/>
  <c r="BI281" i="4"/>
  <c r="BJ281" i="4" s="1"/>
  <c r="BD282" i="4"/>
  <c r="BI283" i="4"/>
  <c r="BJ283" i="4" s="1"/>
  <c r="BD284" i="4"/>
  <c r="BI285" i="4"/>
  <c r="BJ285" i="4" s="1"/>
  <c r="BD286" i="4"/>
  <c r="BI287" i="4"/>
  <c r="BJ287" i="4" s="1"/>
  <c r="BD288" i="4"/>
  <c r="BI289" i="4"/>
  <c r="BJ289" i="4" s="1"/>
  <c r="BD290" i="4"/>
  <c r="BI291" i="4"/>
  <c r="BJ291" i="4" s="1"/>
  <c r="BD292" i="4"/>
  <c r="BI293" i="4"/>
  <c r="BJ293" i="4" s="1"/>
  <c r="BD294" i="4"/>
  <c r="BI295" i="4"/>
  <c r="BJ295" i="4" s="1"/>
  <c r="BD296" i="4"/>
  <c r="BI297" i="4"/>
  <c r="BJ297" i="4" s="1"/>
  <c r="BD298" i="4"/>
  <c r="BI299" i="4"/>
  <c r="BJ299" i="4" s="1"/>
  <c r="BD300" i="4"/>
  <c r="BI301" i="4"/>
  <c r="BJ301" i="4" s="1"/>
  <c r="BD302" i="4"/>
  <c r="BI303" i="4"/>
  <c r="BJ303" i="4" s="1"/>
  <c r="BD304" i="4"/>
  <c r="BI305" i="4"/>
  <c r="BJ305" i="4" s="1"/>
  <c r="BD306" i="4"/>
  <c r="BI307" i="4"/>
  <c r="BJ307" i="4" s="1"/>
  <c r="BD308" i="4"/>
  <c r="BI309" i="4"/>
  <c r="BJ309" i="4" s="1"/>
  <c r="BD310" i="4"/>
  <c r="BI311" i="4"/>
  <c r="BJ311" i="4" s="1"/>
  <c r="BD312" i="4"/>
  <c r="BI313" i="4"/>
  <c r="BJ313" i="4" s="1"/>
  <c r="BD314" i="4"/>
  <c r="BI315" i="4"/>
  <c r="BJ315" i="4" s="1"/>
  <c r="BD316" i="4"/>
  <c r="BI317" i="4"/>
  <c r="BJ317" i="4" s="1"/>
  <c r="BD318" i="4"/>
  <c r="BI319" i="4"/>
  <c r="BJ319" i="4" s="1"/>
  <c r="BD320" i="4"/>
  <c r="BI321" i="4"/>
  <c r="BJ321" i="4" s="1"/>
  <c r="BD322" i="4"/>
  <c r="BI323" i="4"/>
  <c r="BJ323" i="4" s="1"/>
  <c r="BD324" i="4"/>
  <c r="BI325" i="4"/>
  <c r="BJ325" i="4" s="1"/>
  <c r="BD326" i="4"/>
  <c r="BI327" i="4"/>
  <c r="BJ327" i="4" s="1"/>
  <c r="BD328" i="4"/>
  <c r="BI329" i="4"/>
  <c r="BJ329" i="4" s="1"/>
  <c r="BD330" i="4"/>
  <c r="BI331" i="4"/>
  <c r="BJ331" i="4" s="1"/>
  <c r="BD332" i="4"/>
  <c r="BI333" i="4"/>
  <c r="BJ333" i="4" s="1"/>
  <c r="BD334" i="4"/>
  <c r="BI335" i="4"/>
  <c r="BJ335" i="4" s="1"/>
  <c r="BD336" i="4"/>
  <c r="BI337" i="4"/>
  <c r="BJ337" i="4" s="1"/>
  <c r="BD338" i="4"/>
  <c r="BI339" i="4"/>
  <c r="BJ339" i="4" s="1"/>
  <c r="BD340" i="4"/>
  <c r="BI341" i="4"/>
  <c r="BJ341" i="4" s="1"/>
  <c r="BD342" i="4"/>
  <c r="BI343" i="4"/>
  <c r="BJ343" i="4" s="1"/>
  <c r="BD344" i="4"/>
  <c r="BI345" i="4"/>
  <c r="BJ345" i="4" s="1"/>
  <c r="BD346" i="4"/>
  <c r="BI347" i="4"/>
  <c r="BJ347" i="4" s="1"/>
  <c r="BD348" i="4"/>
  <c r="BI349" i="4"/>
  <c r="BJ349" i="4" s="1"/>
  <c r="BD350" i="4"/>
  <c r="BI351" i="4"/>
  <c r="BJ351" i="4" s="1"/>
  <c r="BD352" i="4"/>
  <c r="BI353" i="4"/>
  <c r="BJ353" i="4" s="1"/>
  <c r="BD354" i="4"/>
  <c r="BI355" i="4"/>
  <c r="BJ355" i="4" s="1"/>
  <c r="BD356" i="4"/>
  <c r="BI357" i="4"/>
  <c r="BJ357" i="4" s="1"/>
  <c r="BD358" i="4"/>
  <c r="BI359" i="4"/>
  <c r="BJ359" i="4" s="1"/>
  <c r="BD360" i="4"/>
  <c r="BI361" i="4"/>
  <c r="BJ361" i="4" s="1"/>
  <c r="BD362" i="4"/>
  <c r="BI363" i="4"/>
  <c r="BJ363" i="4" s="1"/>
  <c r="BD364" i="4"/>
  <c r="BI365" i="4"/>
  <c r="BJ365" i="4" s="1"/>
  <c r="BD366" i="4"/>
  <c r="BI367" i="4"/>
  <c r="BJ367" i="4" s="1"/>
  <c r="BD368" i="4"/>
  <c r="BI369" i="4"/>
  <c r="BJ369" i="4" s="1"/>
  <c r="BD370" i="4"/>
  <c r="BI371" i="4"/>
  <c r="BJ371" i="4" s="1"/>
  <c r="BD372" i="4"/>
  <c r="BI373" i="4"/>
  <c r="BJ373" i="4" s="1"/>
  <c r="BD374" i="4"/>
  <c r="BI375" i="4"/>
  <c r="BJ375" i="4" s="1"/>
  <c r="BD376" i="4"/>
  <c r="BI377" i="4"/>
  <c r="BJ377" i="4" s="1"/>
  <c r="BD378" i="4"/>
  <c r="BI379" i="4"/>
  <c r="BJ379" i="4" s="1"/>
  <c r="BD380" i="4"/>
  <c r="BI381" i="4"/>
  <c r="BJ381" i="4" s="1"/>
  <c r="BD382" i="4"/>
  <c r="BI383" i="4"/>
  <c r="BJ383" i="4" s="1"/>
  <c r="BD384" i="4"/>
  <c r="BI385" i="4"/>
  <c r="BJ385" i="4" s="1"/>
  <c r="BD386" i="4"/>
  <c r="BI387" i="4"/>
  <c r="BJ387" i="4" s="1"/>
  <c r="BD388" i="4"/>
  <c r="BI389" i="4"/>
  <c r="BJ389" i="4" s="1"/>
  <c r="BD390" i="4"/>
  <c r="BI391" i="4"/>
  <c r="BJ391" i="4" s="1"/>
  <c r="BD392" i="4"/>
  <c r="BI393" i="4"/>
  <c r="BJ393" i="4" s="1"/>
  <c r="BD394" i="4"/>
  <c r="BI395" i="4"/>
  <c r="BJ395" i="4" s="1"/>
  <c r="BD396" i="4"/>
  <c r="BI397" i="4"/>
  <c r="BJ397" i="4" s="1"/>
  <c r="BD398" i="4"/>
  <c r="BI399" i="4"/>
  <c r="BJ399" i="4" s="1"/>
  <c r="BD400" i="4"/>
  <c r="BI401" i="4"/>
  <c r="BJ401" i="4" s="1"/>
  <c r="BD402" i="4"/>
  <c r="BI403" i="4"/>
  <c r="BJ403" i="4" s="1"/>
  <c r="BD404" i="4"/>
  <c r="BI405" i="4"/>
  <c r="BJ405" i="4" s="1"/>
  <c r="BD406" i="4"/>
  <c r="BI407" i="4"/>
  <c r="BJ407" i="4" s="1"/>
  <c r="BD408" i="4"/>
  <c r="BI409" i="4"/>
  <c r="BJ409" i="4" s="1"/>
  <c r="BD410" i="4"/>
  <c r="BI411" i="4"/>
  <c r="BJ411" i="4" s="1"/>
  <c r="BD412" i="4"/>
  <c r="BI413" i="4"/>
  <c r="BJ413" i="4" s="1"/>
  <c r="BD414" i="4"/>
  <c r="BI415" i="4"/>
  <c r="BJ415" i="4" s="1"/>
  <c r="BD416" i="4"/>
  <c r="BI417" i="4"/>
  <c r="BJ417" i="4" s="1"/>
  <c r="BD418" i="4"/>
  <c r="BI419" i="4"/>
  <c r="BJ419" i="4" s="1"/>
  <c r="BD420" i="4"/>
  <c r="BI421" i="4"/>
  <c r="BJ421" i="4" s="1"/>
  <c r="BD422" i="4"/>
  <c r="BI423" i="4"/>
  <c r="BJ423" i="4" s="1"/>
  <c r="BD424" i="4"/>
  <c r="BI425" i="4"/>
  <c r="BJ425" i="4" s="1"/>
  <c r="BD426" i="4"/>
  <c r="BI427" i="4"/>
  <c r="BJ427" i="4" s="1"/>
  <c r="BD428" i="4"/>
  <c r="BI429" i="4"/>
  <c r="BJ429" i="4" s="1"/>
  <c r="BD430" i="4"/>
  <c r="BI431" i="4"/>
  <c r="BJ431" i="4" s="1"/>
  <c r="BD432" i="4"/>
  <c r="BI433" i="4"/>
  <c r="BJ433" i="4" s="1"/>
  <c r="BD434" i="4"/>
  <c r="BI435" i="4"/>
  <c r="BJ435" i="4" s="1"/>
  <c r="BD436" i="4"/>
  <c r="BI437" i="4"/>
  <c r="BJ437" i="4" s="1"/>
  <c r="BD438" i="4"/>
  <c r="BI439" i="4"/>
  <c r="BJ439" i="4" s="1"/>
  <c r="BD440" i="4"/>
  <c r="BI441" i="4"/>
  <c r="BJ441" i="4" s="1"/>
  <c r="BD442" i="4"/>
  <c r="BI443" i="4"/>
  <c r="BJ443" i="4" s="1"/>
  <c r="BD444" i="4"/>
  <c r="BJ445" i="4"/>
  <c r="BJ447" i="4"/>
  <c r="BK448" i="4"/>
  <c r="BA448" i="4"/>
  <c r="BG448" i="4"/>
  <c r="BJ448" i="4" s="1"/>
  <c r="AY448" i="4"/>
  <c r="AZ448" i="4" s="1"/>
  <c r="BJ451" i="4"/>
  <c r="BK452" i="4"/>
  <c r="BA452" i="4"/>
  <c r="BG452" i="4"/>
  <c r="BJ452" i="4" s="1"/>
  <c r="AY452" i="4"/>
  <c r="AZ452" i="4" s="1"/>
  <c r="BJ455" i="4"/>
  <c r="BK456" i="4"/>
  <c r="BA456" i="4"/>
  <c r="BG456" i="4"/>
  <c r="BJ456" i="4" s="1"/>
  <c r="AY456" i="4"/>
  <c r="AZ456" i="4" s="1"/>
  <c r="BJ459" i="4"/>
  <c r="BK460" i="4"/>
  <c r="BA460" i="4"/>
  <c r="BG460" i="4"/>
  <c r="BJ460" i="4" s="1"/>
  <c r="AY460" i="4"/>
  <c r="AZ460" i="4" s="1"/>
  <c r="BJ463" i="4"/>
  <c r="BK464" i="4"/>
  <c r="BA464" i="4"/>
  <c r="BG464" i="4"/>
  <c r="BJ464" i="4" s="1"/>
  <c r="AY464" i="4"/>
  <c r="AZ464" i="4" s="1"/>
  <c r="BJ468" i="4"/>
  <c r="BJ472" i="4"/>
  <c r="BJ476" i="4"/>
  <c r="BJ480" i="4"/>
  <c r="BJ484" i="4"/>
  <c r="BJ488" i="4"/>
  <c r="BJ492" i="4"/>
  <c r="BJ496" i="4"/>
  <c r="BJ500" i="4"/>
  <c r="BJ504" i="4"/>
  <c r="BJ508" i="4"/>
  <c r="BJ512" i="4"/>
  <c r="BJ516" i="4"/>
  <c r="BJ520" i="4"/>
  <c r="BJ524" i="4"/>
  <c r="BJ528" i="4"/>
  <c r="BJ532" i="4"/>
  <c r="BJ536" i="4"/>
  <c r="BJ540" i="4"/>
  <c r="BJ544" i="4"/>
  <c r="BJ548" i="4"/>
  <c r="BJ552" i="4"/>
  <c r="BJ556" i="4"/>
  <c r="BJ560" i="4"/>
  <c r="BJ564" i="4"/>
  <c r="BJ568" i="4"/>
  <c r="BJ572" i="4"/>
  <c r="BJ576" i="4"/>
  <c r="BJ580" i="4"/>
  <c r="BJ584" i="4"/>
  <c r="BJ588" i="4"/>
  <c r="BJ592" i="4"/>
  <c r="BJ596" i="4"/>
  <c r="BJ600" i="4"/>
  <c r="BJ604" i="4"/>
  <c r="BJ608" i="4"/>
  <c r="BJ612" i="4"/>
  <c r="BJ616" i="4"/>
  <c r="BJ620" i="4"/>
  <c r="BJ624" i="4"/>
  <c r="BJ628" i="4"/>
  <c r="BD447" i="4"/>
  <c r="BD449" i="4"/>
  <c r="BD451" i="4"/>
  <c r="BD453" i="4"/>
  <c r="BD455" i="4"/>
  <c r="BD457" i="4"/>
  <c r="BD459" i="4"/>
  <c r="BD461" i="4"/>
  <c r="BD463" i="4"/>
  <c r="BD465" i="4"/>
  <c r="BB467" i="4"/>
  <c r="BD467" i="4"/>
  <c r="AY468" i="4"/>
  <c r="AZ468" i="4" s="1"/>
  <c r="BA468" i="4"/>
  <c r="BK468" i="4"/>
  <c r="BB469" i="4"/>
  <c r="BD469" i="4"/>
  <c r="AY470" i="4"/>
  <c r="AZ470" i="4" s="1"/>
  <c r="BA470" i="4"/>
  <c r="BK470" i="4"/>
  <c r="BB471" i="4"/>
  <c r="BD471" i="4"/>
  <c r="AY472" i="4"/>
  <c r="AZ472" i="4" s="1"/>
  <c r="BA472" i="4"/>
  <c r="BK472" i="4"/>
  <c r="BB473" i="4"/>
  <c r="BD473" i="4"/>
  <c r="AY474" i="4"/>
  <c r="AZ474" i="4" s="1"/>
  <c r="BA474" i="4"/>
  <c r="BK474" i="4"/>
  <c r="BB475" i="4"/>
  <c r="BD475" i="4"/>
  <c r="AY476" i="4"/>
  <c r="AZ476" i="4" s="1"/>
  <c r="BA476" i="4"/>
  <c r="BK476" i="4"/>
  <c r="BB477" i="4"/>
  <c r="BD477" i="4"/>
  <c r="AY478" i="4"/>
  <c r="AZ478" i="4" s="1"/>
  <c r="BA478" i="4"/>
  <c r="BK478" i="4"/>
  <c r="BB479" i="4"/>
  <c r="BD479" i="4"/>
  <c r="AY480" i="4"/>
  <c r="AZ480" i="4" s="1"/>
  <c r="BA480" i="4"/>
  <c r="BK480" i="4"/>
  <c r="BB481" i="4"/>
  <c r="BD481" i="4"/>
  <c r="AY482" i="4"/>
  <c r="AZ482" i="4" s="1"/>
  <c r="BA482" i="4"/>
  <c r="BK482" i="4"/>
  <c r="BB483" i="4"/>
  <c r="BD483" i="4"/>
  <c r="AY484" i="4"/>
  <c r="AZ484" i="4" s="1"/>
  <c r="BA484" i="4"/>
  <c r="BK484" i="4"/>
  <c r="BB485" i="4"/>
  <c r="BD485" i="4"/>
  <c r="AY486" i="4"/>
  <c r="AZ486" i="4" s="1"/>
  <c r="BA486" i="4"/>
  <c r="BK486" i="4"/>
  <c r="BB487" i="4"/>
  <c r="BD487" i="4"/>
  <c r="AY488" i="4"/>
  <c r="AZ488" i="4" s="1"/>
  <c r="BA488" i="4"/>
  <c r="BK488" i="4"/>
  <c r="BB489" i="4"/>
  <c r="BD489" i="4"/>
  <c r="AY490" i="4"/>
  <c r="AZ490" i="4" s="1"/>
  <c r="BA490" i="4"/>
  <c r="BK490" i="4"/>
  <c r="BB491" i="4"/>
  <c r="BD491" i="4"/>
  <c r="AY492" i="4"/>
  <c r="AZ492" i="4" s="1"/>
  <c r="BA492" i="4"/>
  <c r="BK492" i="4"/>
  <c r="BB493" i="4"/>
  <c r="BD493" i="4"/>
  <c r="AY494" i="4"/>
  <c r="AZ494" i="4" s="1"/>
  <c r="BA494" i="4"/>
  <c r="BK494" i="4"/>
  <c r="BB495" i="4"/>
  <c r="BD495" i="4"/>
  <c r="AY496" i="4"/>
  <c r="AZ496" i="4" s="1"/>
  <c r="BA496" i="4"/>
  <c r="BK496" i="4"/>
  <c r="BB497" i="4"/>
  <c r="BD497" i="4"/>
  <c r="AY498" i="4"/>
  <c r="AZ498" i="4" s="1"/>
  <c r="BA498" i="4"/>
  <c r="BK498" i="4"/>
  <c r="BB499" i="4"/>
  <c r="BD499" i="4"/>
  <c r="AY500" i="4"/>
  <c r="AZ500" i="4" s="1"/>
  <c r="BA500" i="4"/>
  <c r="BK500" i="4"/>
  <c r="BB501" i="4"/>
  <c r="BD501" i="4"/>
  <c r="AY502" i="4"/>
  <c r="AZ502" i="4" s="1"/>
  <c r="BA502" i="4"/>
  <c r="BK502" i="4"/>
  <c r="BB503" i="4"/>
  <c r="BD503" i="4"/>
  <c r="AY504" i="4"/>
  <c r="AZ504" i="4" s="1"/>
  <c r="BA504" i="4"/>
  <c r="BK504" i="4"/>
  <c r="BB505" i="4"/>
  <c r="BD505" i="4"/>
  <c r="AY506" i="4"/>
  <c r="AZ506" i="4" s="1"/>
  <c r="BA506" i="4"/>
  <c r="BK506" i="4"/>
  <c r="BB507" i="4"/>
  <c r="BD507" i="4"/>
  <c r="AY508" i="4"/>
  <c r="AZ508" i="4" s="1"/>
  <c r="BA508" i="4"/>
  <c r="BK508" i="4"/>
  <c r="BB509" i="4"/>
  <c r="BD509" i="4"/>
  <c r="AY510" i="4"/>
  <c r="AZ510" i="4" s="1"/>
  <c r="BA510" i="4"/>
  <c r="BK510" i="4"/>
  <c r="BB511" i="4"/>
  <c r="BD511" i="4"/>
  <c r="AY512" i="4"/>
  <c r="AZ512" i="4" s="1"/>
  <c r="BA512" i="4"/>
  <c r="BK512" i="4"/>
  <c r="BB513" i="4"/>
  <c r="BD513" i="4"/>
  <c r="AY514" i="4"/>
  <c r="AZ514" i="4" s="1"/>
  <c r="BA514" i="4"/>
  <c r="BK514" i="4"/>
  <c r="BB515" i="4"/>
  <c r="BD515" i="4"/>
  <c r="AY516" i="4"/>
  <c r="AZ516" i="4" s="1"/>
  <c r="BA516" i="4"/>
  <c r="BK516" i="4"/>
  <c r="BB517" i="4"/>
  <c r="BD517" i="4"/>
  <c r="AY518" i="4"/>
  <c r="AZ518" i="4" s="1"/>
  <c r="BA518" i="4"/>
  <c r="BK518" i="4"/>
  <c r="BB519" i="4"/>
  <c r="BD519" i="4"/>
  <c r="AY520" i="4"/>
  <c r="AZ520" i="4" s="1"/>
  <c r="BA520" i="4"/>
  <c r="BK520" i="4"/>
  <c r="BB521" i="4"/>
  <c r="BD521" i="4"/>
  <c r="AY522" i="4"/>
  <c r="AZ522" i="4" s="1"/>
  <c r="BA522" i="4"/>
  <c r="BK522" i="4"/>
  <c r="BB523" i="4"/>
  <c r="BD523" i="4"/>
  <c r="AY524" i="4"/>
  <c r="AZ524" i="4" s="1"/>
  <c r="BA524" i="4"/>
  <c r="BK524" i="4"/>
  <c r="BB525" i="4"/>
  <c r="BD525" i="4"/>
  <c r="AY526" i="4"/>
  <c r="AZ526" i="4" s="1"/>
  <c r="BA526" i="4"/>
  <c r="BK526" i="4"/>
  <c r="BB527" i="4"/>
  <c r="BD527" i="4"/>
  <c r="AY528" i="4"/>
  <c r="AZ528" i="4" s="1"/>
  <c r="BA528" i="4"/>
  <c r="BK528" i="4"/>
  <c r="BB529" i="4"/>
  <c r="BD529" i="4"/>
  <c r="AY530" i="4"/>
  <c r="AZ530" i="4" s="1"/>
  <c r="BA530" i="4"/>
  <c r="BK530" i="4"/>
  <c r="BB531" i="4"/>
  <c r="BD531" i="4"/>
  <c r="AY532" i="4"/>
  <c r="AZ532" i="4" s="1"/>
  <c r="BA532" i="4"/>
  <c r="BK532" i="4"/>
  <c r="BB533" i="4"/>
  <c r="BD533" i="4"/>
  <c r="AY534" i="4"/>
  <c r="AZ534" i="4" s="1"/>
  <c r="BA534" i="4"/>
  <c r="BK534" i="4"/>
  <c r="BB535" i="4"/>
  <c r="BD535" i="4"/>
  <c r="AY536" i="4"/>
  <c r="AZ536" i="4" s="1"/>
  <c r="BA536" i="4"/>
  <c r="BK536" i="4"/>
  <c r="BB537" i="4"/>
  <c r="BD537" i="4"/>
  <c r="AY538" i="4"/>
  <c r="AZ538" i="4" s="1"/>
  <c r="BA538" i="4"/>
  <c r="BK538" i="4"/>
  <c r="BB539" i="4"/>
  <c r="BD539" i="4"/>
  <c r="AY540" i="4"/>
  <c r="AZ540" i="4" s="1"/>
  <c r="BA540" i="4"/>
  <c r="BK540" i="4"/>
  <c r="BB541" i="4"/>
  <c r="BD541" i="4"/>
  <c r="AY542" i="4"/>
  <c r="AZ542" i="4" s="1"/>
  <c r="BA542" i="4"/>
  <c r="BK542" i="4"/>
  <c r="BB543" i="4"/>
  <c r="BD543" i="4"/>
  <c r="AY544" i="4"/>
  <c r="AZ544" i="4" s="1"/>
  <c r="BA544" i="4"/>
  <c r="BK544" i="4"/>
  <c r="BB545" i="4"/>
  <c r="BD545" i="4"/>
  <c r="AY546" i="4"/>
  <c r="AZ546" i="4" s="1"/>
  <c r="BA546" i="4"/>
  <c r="BK546" i="4"/>
  <c r="BB547" i="4"/>
  <c r="BD547" i="4"/>
  <c r="AY548" i="4"/>
  <c r="AZ548" i="4" s="1"/>
  <c r="BA548" i="4"/>
  <c r="BK548" i="4"/>
  <c r="BB549" i="4"/>
  <c r="BD549" i="4"/>
  <c r="AY550" i="4"/>
  <c r="AZ550" i="4" s="1"/>
  <c r="BA550" i="4"/>
  <c r="BK550" i="4"/>
  <c r="BB551" i="4"/>
  <c r="BD551" i="4"/>
  <c r="AY552" i="4"/>
  <c r="AZ552" i="4" s="1"/>
  <c r="BA552" i="4"/>
  <c r="BK552" i="4"/>
  <c r="BB553" i="4"/>
  <c r="BD553" i="4"/>
  <c r="AY554" i="4"/>
  <c r="AZ554" i="4" s="1"/>
  <c r="BA554" i="4"/>
  <c r="BK554" i="4"/>
  <c r="BB555" i="4"/>
  <c r="BD555" i="4"/>
  <c r="AY556" i="4"/>
  <c r="AZ556" i="4" s="1"/>
  <c r="BA556" i="4"/>
  <c r="BK556" i="4"/>
  <c r="BB557" i="4"/>
  <c r="BD557" i="4"/>
  <c r="AY558" i="4"/>
  <c r="AZ558" i="4" s="1"/>
  <c r="BA558" i="4"/>
  <c r="BK558" i="4"/>
  <c r="BB559" i="4"/>
  <c r="BD559" i="4"/>
  <c r="AY560" i="4"/>
  <c r="AZ560" i="4" s="1"/>
  <c r="BA560" i="4"/>
  <c r="BK560" i="4"/>
  <c r="BB561" i="4"/>
  <c r="BD561" i="4"/>
  <c r="AY562" i="4"/>
  <c r="AZ562" i="4" s="1"/>
  <c r="BA562" i="4"/>
  <c r="BK562" i="4"/>
  <c r="BB563" i="4"/>
  <c r="BD563" i="4"/>
  <c r="AY564" i="4"/>
  <c r="AZ564" i="4" s="1"/>
  <c r="BA564" i="4"/>
  <c r="BK564" i="4"/>
  <c r="BB565" i="4"/>
  <c r="BD565" i="4"/>
  <c r="AY566" i="4"/>
  <c r="AZ566" i="4" s="1"/>
  <c r="BA566" i="4"/>
  <c r="BK566" i="4"/>
  <c r="BB567" i="4"/>
  <c r="BD567" i="4"/>
  <c r="AY568" i="4"/>
  <c r="AZ568" i="4" s="1"/>
  <c r="BA568" i="4"/>
  <c r="BK568" i="4"/>
  <c r="BB569" i="4"/>
  <c r="BD569" i="4"/>
  <c r="AY570" i="4"/>
  <c r="AZ570" i="4" s="1"/>
  <c r="BA570" i="4"/>
  <c r="BK570" i="4"/>
  <c r="BB571" i="4"/>
  <c r="BD571" i="4"/>
  <c r="AY572" i="4"/>
  <c r="AZ572" i="4" s="1"/>
  <c r="BA572" i="4"/>
  <c r="BK572" i="4"/>
  <c r="BB573" i="4"/>
  <c r="BD573" i="4"/>
  <c r="AY574" i="4"/>
  <c r="AZ574" i="4" s="1"/>
  <c r="BA574" i="4"/>
  <c r="BK574" i="4"/>
  <c r="BB575" i="4"/>
  <c r="BD575" i="4"/>
  <c r="AY576" i="4"/>
  <c r="AZ576" i="4" s="1"/>
  <c r="BA576" i="4"/>
  <c r="BK576" i="4"/>
  <c r="BB577" i="4"/>
  <c r="BD577" i="4"/>
  <c r="AY578" i="4"/>
  <c r="AZ578" i="4" s="1"/>
  <c r="BA578" i="4"/>
  <c r="BK578" i="4"/>
  <c r="BB579" i="4"/>
  <c r="BD579" i="4"/>
  <c r="AY580" i="4"/>
  <c r="AZ580" i="4" s="1"/>
  <c r="BA580" i="4"/>
  <c r="BK580" i="4"/>
  <c r="BB581" i="4"/>
  <c r="BD581" i="4"/>
  <c r="AY582" i="4"/>
  <c r="AZ582" i="4" s="1"/>
  <c r="BA582" i="4"/>
  <c r="BK582" i="4"/>
  <c r="BB583" i="4"/>
  <c r="BD583" i="4"/>
  <c r="AY584" i="4"/>
  <c r="AZ584" i="4" s="1"/>
  <c r="BA584" i="4"/>
  <c r="BK584" i="4"/>
  <c r="BB585" i="4"/>
  <c r="BD585" i="4"/>
  <c r="AY586" i="4"/>
  <c r="AZ586" i="4" s="1"/>
  <c r="BA586" i="4"/>
  <c r="BK586" i="4"/>
  <c r="BB587" i="4"/>
  <c r="BD587" i="4"/>
  <c r="AY588" i="4"/>
  <c r="AZ588" i="4" s="1"/>
  <c r="BA588" i="4"/>
  <c r="BK588" i="4"/>
  <c r="BB589" i="4"/>
  <c r="BD589" i="4"/>
  <c r="AY590" i="4"/>
  <c r="AZ590" i="4" s="1"/>
  <c r="BA590" i="4"/>
  <c r="BK590" i="4"/>
  <c r="BB591" i="4"/>
  <c r="BD591" i="4"/>
  <c r="AY592" i="4"/>
  <c r="AZ592" i="4" s="1"/>
  <c r="BA592" i="4"/>
  <c r="BK592" i="4"/>
  <c r="BB593" i="4"/>
  <c r="BD593" i="4"/>
  <c r="AY594" i="4"/>
  <c r="AZ594" i="4" s="1"/>
  <c r="BA594" i="4"/>
  <c r="BK594" i="4"/>
  <c r="BB595" i="4"/>
  <c r="BD595" i="4"/>
  <c r="AY596" i="4"/>
  <c r="AZ596" i="4" s="1"/>
  <c r="BA596" i="4"/>
  <c r="BK596" i="4"/>
  <c r="BB597" i="4"/>
  <c r="BD597" i="4"/>
  <c r="AY598" i="4"/>
  <c r="AZ598" i="4" s="1"/>
  <c r="BA598" i="4"/>
  <c r="BK598" i="4"/>
  <c r="BB599" i="4"/>
  <c r="BD599" i="4"/>
  <c r="AY600" i="4"/>
  <c r="AZ600" i="4" s="1"/>
  <c r="BA600" i="4"/>
  <c r="BK600" i="4"/>
  <c r="BB601" i="4"/>
  <c r="BD601" i="4"/>
  <c r="AY602" i="4"/>
  <c r="AZ602" i="4" s="1"/>
  <c r="BA602" i="4"/>
  <c r="BK602" i="4"/>
  <c r="BB603" i="4"/>
  <c r="BD603" i="4"/>
  <c r="AY604" i="4"/>
  <c r="AZ604" i="4" s="1"/>
  <c r="BA604" i="4"/>
  <c r="BK604" i="4"/>
  <c r="BB605" i="4"/>
  <c r="BD605" i="4"/>
  <c r="AY606" i="4"/>
  <c r="AZ606" i="4" s="1"/>
  <c r="BA606" i="4"/>
  <c r="BK606" i="4"/>
  <c r="BB607" i="4"/>
  <c r="BD607" i="4"/>
  <c r="AY608" i="4"/>
  <c r="AZ608" i="4" s="1"/>
  <c r="BA608" i="4"/>
  <c r="BK608" i="4"/>
  <c r="BB609" i="4"/>
  <c r="BD609" i="4"/>
  <c r="AY610" i="4"/>
  <c r="AZ610" i="4" s="1"/>
  <c r="BA610" i="4"/>
  <c r="BK610" i="4"/>
  <c r="BB611" i="4"/>
  <c r="BD611" i="4"/>
  <c r="AY612" i="4"/>
  <c r="AZ612" i="4" s="1"/>
  <c r="BA612" i="4"/>
  <c r="BK612" i="4"/>
  <c r="BB613" i="4"/>
  <c r="BD613" i="4"/>
  <c r="AY614" i="4"/>
  <c r="AZ614" i="4" s="1"/>
  <c r="BA614" i="4"/>
  <c r="BK614" i="4"/>
  <c r="BB615" i="4"/>
  <c r="BD615" i="4"/>
  <c r="AY616" i="4"/>
  <c r="AZ616" i="4" s="1"/>
  <c r="BA616" i="4"/>
  <c r="BK616" i="4"/>
  <c r="BB617" i="4"/>
  <c r="BD617" i="4"/>
  <c r="AY618" i="4"/>
  <c r="AZ618" i="4" s="1"/>
  <c r="BA618" i="4"/>
  <c r="BK618" i="4"/>
  <c r="BB619" i="4"/>
  <c r="BD619" i="4"/>
  <c r="AY620" i="4"/>
  <c r="AZ620" i="4" s="1"/>
  <c r="BA620" i="4"/>
  <c r="BK620" i="4"/>
  <c r="BB621" i="4"/>
  <c r="BD621" i="4"/>
  <c r="AY622" i="4"/>
  <c r="AZ622" i="4" s="1"/>
  <c r="BA622" i="4"/>
  <c r="BK622" i="4"/>
  <c r="BB623" i="4"/>
  <c r="BD623" i="4"/>
  <c r="AY624" i="4"/>
  <c r="AZ624" i="4" s="1"/>
  <c r="BA624" i="4"/>
  <c r="BK624" i="4"/>
  <c r="BB625" i="4"/>
  <c r="BD625" i="4"/>
  <c r="AY626" i="4"/>
  <c r="AZ626" i="4" s="1"/>
  <c r="BA626" i="4"/>
  <c r="BK626" i="4"/>
  <c r="BB627" i="4"/>
  <c r="BD627" i="4"/>
  <c r="AY628" i="4"/>
  <c r="AZ628" i="4" s="1"/>
  <c r="BA628" i="4"/>
  <c r="BK628" i="4"/>
  <c r="BB629" i="4"/>
  <c r="BD629" i="4"/>
  <c r="BC630" i="4"/>
  <c r="BJ630" i="4"/>
  <c r="BK631" i="4"/>
  <c r="BA631" i="4"/>
  <c r="BG631" i="4"/>
  <c r="BJ631" i="4" s="1"/>
  <c r="AY631" i="4"/>
  <c r="AZ631" i="4" s="1"/>
  <c r="BF631" i="4"/>
  <c r="AZ632" i="4"/>
  <c r="BI632" i="4"/>
  <c r="BD633" i="4"/>
  <c r="BC634" i="4"/>
  <c r="BJ634" i="4"/>
  <c r="BK635" i="4"/>
  <c r="BA635" i="4"/>
  <c r="BG635" i="4"/>
  <c r="BJ635" i="4" s="1"/>
  <c r="AY635" i="4"/>
  <c r="AZ635" i="4" s="1"/>
  <c r="BF635" i="4"/>
  <c r="AZ636" i="4"/>
  <c r="BI636" i="4"/>
  <c r="BD637" i="4"/>
  <c r="BC638" i="4"/>
  <c r="BJ638" i="4"/>
  <c r="BK639" i="4"/>
  <c r="BA639" i="4"/>
  <c r="BG639" i="4"/>
  <c r="BJ639" i="4" s="1"/>
  <c r="AY639" i="4"/>
  <c r="AZ639" i="4" s="1"/>
  <c r="BF639" i="4"/>
  <c r="AZ640" i="4"/>
  <c r="BI640" i="4"/>
  <c r="BD641" i="4"/>
  <c r="BC642" i="4"/>
  <c r="BJ642" i="4"/>
  <c r="BK643" i="4"/>
  <c r="BA643" i="4"/>
  <c r="BG643" i="4"/>
  <c r="BJ643" i="4" s="1"/>
  <c r="AY643" i="4"/>
  <c r="AZ643" i="4" s="1"/>
  <c r="BF643" i="4"/>
  <c r="AZ644" i="4"/>
  <c r="BI644" i="4"/>
  <c r="BD645" i="4"/>
  <c r="BC646" i="4"/>
  <c r="BJ646" i="4"/>
  <c r="BK647" i="4"/>
  <c r="BA647" i="4"/>
  <c r="BG647" i="4"/>
  <c r="BJ647" i="4" s="1"/>
  <c r="AY647" i="4"/>
  <c r="AZ647" i="4" s="1"/>
  <c r="BF647" i="4"/>
  <c r="AZ648" i="4"/>
  <c r="BI648" i="4"/>
  <c r="BD649" i="4"/>
  <c r="BC650" i="4"/>
  <c r="BJ650" i="4"/>
  <c r="BK651" i="4"/>
  <c r="BA651" i="4"/>
  <c r="BG651" i="4"/>
  <c r="BJ651" i="4" s="1"/>
  <c r="AY651" i="4"/>
  <c r="AZ651" i="4" s="1"/>
  <c r="BF651" i="4"/>
  <c r="AZ652" i="4"/>
  <c r="BI652" i="4"/>
  <c r="BD653" i="4"/>
  <c r="BC654" i="4"/>
  <c r="BJ654" i="4"/>
  <c r="BH655" i="4"/>
  <c r="BD655" i="4"/>
  <c r="BK655" i="4"/>
  <c r="BA655" i="4"/>
  <c r="BG655" i="4"/>
  <c r="BJ655" i="4" s="1"/>
  <c r="AY655" i="4"/>
  <c r="AZ655" i="4" s="1"/>
  <c r="BJ659" i="4"/>
  <c r="BJ663" i="4"/>
  <c r="BJ667" i="4"/>
  <c r="BJ671" i="4"/>
  <c r="BJ675" i="4"/>
  <c r="BJ679" i="4"/>
  <c r="BJ683" i="4"/>
  <c r="BJ687" i="4"/>
  <c r="BJ691" i="4"/>
  <c r="BJ695" i="4"/>
  <c r="BJ699" i="4"/>
  <c r="BJ703" i="4"/>
  <c r="BJ707" i="4"/>
  <c r="BJ711" i="4"/>
  <c r="BJ715" i="4"/>
  <c r="BJ719" i="4"/>
  <c r="BJ723" i="4"/>
  <c r="BJ727" i="4"/>
  <c r="BJ731" i="4"/>
  <c r="BJ735" i="4"/>
  <c r="BJ739" i="4"/>
  <c r="BJ743" i="4"/>
  <c r="BJ747" i="4"/>
  <c r="BJ751" i="4"/>
  <c r="BJ755" i="4"/>
  <c r="BJ759" i="4"/>
  <c r="BJ763" i="4"/>
  <c r="BJ767" i="4"/>
  <c r="BJ771" i="4"/>
  <c r="BI467" i="4"/>
  <c r="BJ467" i="4" s="1"/>
  <c r="BD468" i="4"/>
  <c r="BI469" i="4"/>
  <c r="BJ469" i="4" s="1"/>
  <c r="BD470" i="4"/>
  <c r="BI471" i="4"/>
  <c r="BJ471" i="4" s="1"/>
  <c r="BD472" i="4"/>
  <c r="BI473" i="4"/>
  <c r="BJ473" i="4" s="1"/>
  <c r="BD474" i="4"/>
  <c r="BI475" i="4"/>
  <c r="BJ475" i="4" s="1"/>
  <c r="BD476" i="4"/>
  <c r="BI477" i="4"/>
  <c r="BJ477" i="4" s="1"/>
  <c r="BD478" i="4"/>
  <c r="BI479" i="4"/>
  <c r="BJ479" i="4" s="1"/>
  <c r="BD480" i="4"/>
  <c r="BI481" i="4"/>
  <c r="BJ481" i="4" s="1"/>
  <c r="BD482" i="4"/>
  <c r="BI483" i="4"/>
  <c r="BJ483" i="4" s="1"/>
  <c r="BD484" i="4"/>
  <c r="BI485" i="4"/>
  <c r="BJ485" i="4" s="1"/>
  <c r="BD486" i="4"/>
  <c r="BI487" i="4"/>
  <c r="BJ487" i="4" s="1"/>
  <c r="BD488" i="4"/>
  <c r="BI489" i="4"/>
  <c r="BJ489" i="4" s="1"/>
  <c r="BD490" i="4"/>
  <c r="BI491" i="4"/>
  <c r="BJ491" i="4" s="1"/>
  <c r="BD492" i="4"/>
  <c r="BI493" i="4"/>
  <c r="BJ493" i="4" s="1"/>
  <c r="BD494" i="4"/>
  <c r="BI495" i="4"/>
  <c r="BJ495" i="4" s="1"/>
  <c r="BD496" i="4"/>
  <c r="BI497" i="4"/>
  <c r="BJ497" i="4" s="1"/>
  <c r="BD498" i="4"/>
  <c r="BI499" i="4"/>
  <c r="BJ499" i="4" s="1"/>
  <c r="BD500" i="4"/>
  <c r="BI501" i="4"/>
  <c r="BJ501" i="4" s="1"/>
  <c r="BD502" i="4"/>
  <c r="BI503" i="4"/>
  <c r="BJ503" i="4" s="1"/>
  <c r="BD504" i="4"/>
  <c r="BI505" i="4"/>
  <c r="BJ505" i="4" s="1"/>
  <c r="BD506" i="4"/>
  <c r="BI507" i="4"/>
  <c r="BJ507" i="4" s="1"/>
  <c r="BD508" i="4"/>
  <c r="BI509" i="4"/>
  <c r="BJ509" i="4" s="1"/>
  <c r="BD510" i="4"/>
  <c r="BI511" i="4"/>
  <c r="BJ511" i="4" s="1"/>
  <c r="BD512" i="4"/>
  <c r="BI513" i="4"/>
  <c r="BJ513" i="4" s="1"/>
  <c r="BD514" i="4"/>
  <c r="BI515" i="4"/>
  <c r="BJ515" i="4" s="1"/>
  <c r="BD516" i="4"/>
  <c r="BI517" i="4"/>
  <c r="BJ517" i="4" s="1"/>
  <c r="BD518" i="4"/>
  <c r="BI519" i="4"/>
  <c r="BJ519" i="4" s="1"/>
  <c r="BD520" i="4"/>
  <c r="BI521" i="4"/>
  <c r="BJ521" i="4" s="1"/>
  <c r="BD522" i="4"/>
  <c r="BI523" i="4"/>
  <c r="BJ523" i="4" s="1"/>
  <c r="BD524" i="4"/>
  <c r="BI525" i="4"/>
  <c r="BJ525" i="4" s="1"/>
  <c r="BD526" i="4"/>
  <c r="BI527" i="4"/>
  <c r="BJ527" i="4" s="1"/>
  <c r="BD528" i="4"/>
  <c r="BI529" i="4"/>
  <c r="BJ529" i="4" s="1"/>
  <c r="BD530" i="4"/>
  <c r="BI531" i="4"/>
  <c r="BJ531" i="4" s="1"/>
  <c r="BD532" i="4"/>
  <c r="BI533" i="4"/>
  <c r="BJ533" i="4" s="1"/>
  <c r="BD534" i="4"/>
  <c r="BI535" i="4"/>
  <c r="BJ535" i="4" s="1"/>
  <c r="BD536" i="4"/>
  <c r="BI537" i="4"/>
  <c r="BJ537" i="4" s="1"/>
  <c r="BD538" i="4"/>
  <c r="BI539" i="4"/>
  <c r="BJ539" i="4" s="1"/>
  <c r="BD540" i="4"/>
  <c r="BI541" i="4"/>
  <c r="BJ541" i="4" s="1"/>
  <c r="BD542" i="4"/>
  <c r="BI543" i="4"/>
  <c r="BJ543" i="4" s="1"/>
  <c r="BD544" i="4"/>
  <c r="BI545" i="4"/>
  <c r="BJ545" i="4" s="1"/>
  <c r="BD546" i="4"/>
  <c r="BI547" i="4"/>
  <c r="BJ547" i="4" s="1"/>
  <c r="BD548" i="4"/>
  <c r="BI549" i="4"/>
  <c r="BJ549" i="4" s="1"/>
  <c r="BD550" i="4"/>
  <c r="BI551" i="4"/>
  <c r="BJ551" i="4" s="1"/>
  <c r="BD552" i="4"/>
  <c r="BI553" i="4"/>
  <c r="BJ553" i="4" s="1"/>
  <c r="BD554" i="4"/>
  <c r="BI555" i="4"/>
  <c r="BJ555" i="4" s="1"/>
  <c r="BD556" i="4"/>
  <c r="BI557" i="4"/>
  <c r="BJ557" i="4" s="1"/>
  <c r="BD558" i="4"/>
  <c r="BI559" i="4"/>
  <c r="BJ559" i="4" s="1"/>
  <c r="BD560" i="4"/>
  <c r="BI561" i="4"/>
  <c r="BJ561" i="4" s="1"/>
  <c r="BD562" i="4"/>
  <c r="BI563" i="4"/>
  <c r="BJ563" i="4" s="1"/>
  <c r="BD564" i="4"/>
  <c r="BI565" i="4"/>
  <c r="BJ565" i="4" s="1"/>
  <c r="BD566" i="4"/>
  <c r="BI567" i="4"/>
  <c r="BJ567" i="4" s="1"/>
  <c r="BD568" i="4"/>
  <c r="BI569" i="4"/>
  <c r="BJ569" i="4" s="1"/>
  <c r="BD570" i="4"/>
  <c r="BI571" i="4"/>
  <c r="BJ571" i="4" s="1"/>
  <c r="BD572" i="4"/>
  <c r="BI573" i="4"/>
  <c r="BJ573" i="4" s="1"/>
  <c r="BD574" i="4"/>
  <c r="BI575" i="4"/>
  <c r="BJ575" i="4" s="1"/>
  <c r="BD576" i="4"/>
  <c r="BI577" i="4"/>
  <c r="BJ577" i="4" s="1"/>
  <c r="BD578" i="4"/>
  <c r="BI579" i="4"/>
  <c r="BJ579" i="4" s="1"/>
  <c r="BD580" i="4"/>
  <c r="BI581" i="4"/>
  <c r="BJ581" i="4" s="1"/>
  <c r="BD582" i="4"/>
  <c r="BI583" i="4"/>
  <c r="BJ583" i="4" s="1"/>
  <c r="BD584" i="4"/>
  <c r="BI585" i="4"/>
  <c r="BJ585" i="4" s="1"/>
  <c r="BD586" i="4"/>
  <c r="BI587" i="4"/>
  <c r="BJ587" i="4" s="1"/>
  <c r="BD588" i="4"/>
  <c r="BI589" i="4"/>
  <c r="BJ589" i="4" s="1"/>
  <c r="BD590" i="4"/>
  <c r="BI591" i="4"/>
  <c r="BJ591" i="4" s="1"/>
  <c r="BD592" i="4"/>
  <c r="BI593" i="4"/>
  <c r="BJ593" i="4" s="1"/>
  <c r="BD594" i="4"/>
  <c r="BI595" i="4"/>
  <c r="BJ595" i="4" s="1"/>
  <c r="BD596" i="4"/>
  <c r="BI597" i="4"/>
  <c r="BJ597" i="4" s="1"/>
  <c r="BD598" i="4"/>
  <c r="BI599" i="4"/>
  <c r="BJ599" i="4" s="1"/>
  <c r="BD600" i="4"/>
  <c r="BI601" i="4"/>
  <c r="BJ601" i="4" s="1"/>
  <c r="BD602" i="4"/>
  <c r="BI603" i="4"/>
  <c r="BJ603" i="4" s="1"/>
  <c r="BD604" i="4"/>
  <c r="BI605" i="4"/>
  <c r="BJ605" i="4" s="1"/>
  <c r="BD606" i="4"/>
  <c r="BI607" i="4"/>
  <c r="BJ607" i="4" s="1"/>
  <c r="BD608" i="4"/>
  <c r="BI609" i="4"/>
  <c r="BJ609" i="4" s="1"/>
  <c r="BD610" i="4"/>
  <c r="BI611" i="4"/>
  <c r="BJ611" i="4" s="1"/>
  <c r="BD612" i="4"/>
  <c r="BI613" i="4"/>
  <c r="BJ613" i="4" s="1"/>
  <c r="BD614" i="4"/>
  <c r="BI615" i="4"/>
  <c r="BJ615" i="4" s="1"/>
  <c r="BD616" i="4"/>
  <c r="BI617" i="4"/>
  <c r="BJ617" i="4" s="1"/>
  <c r="BD618" i="4"/>
  <c r="BI619" i="4"/>
  <c r="BJ619" i="4" s="1"/>
  <c r="BD620" i="4"/>
  <c r="BI621" i="4"/>
  <c r="BJ621" i="4" s="1"/>
  <c r="BD622" i="4"/>
  <c r="BI623" i="4"/>
  <c r="BJ623" i="4" s="1"/>
  <c r="BD624" i="4"/>
  <c r="BI625" i="4"/>
  <c r="BJ625" i="4" s="1"/>
  <c r="BD626" i="4"/>
  <c r="BI627" i="4"/>
  <c r="BJ627" i="4" s="1"/>
  <c r="BD628" i="4"/>
  <c r="BI629" i="4"/>
  <c r="BJ629" i="4" s="1"/>
  <c r="BJ632" i="4"/>
  <c r="BK633" i="4"/>
  <c r="BA633" i="4"/>
  <c r="BG633" i="4"/>
  <c r="BJ633" i="4" s="1"/>
  <c r="AY633" i="4"/>
  <c r="AZ633" i="4" s="1"/>
  <c r="BJ636" i="4"/>
  <c r="BK637" i="4"/>
  <c r="BA637" i="4"/>
  <c r="BG637" i="4"/>
  <c r="BJ637" i="4" s="1"/>
  <c r="AY637" i="4"/>
  <c r="AZ637" i="4" s="1"/>
  <c r="BJ640" i="4"/>
  <c r="BK641" i="4"/>
  <c r="BA641" i="4"/>
  <c r="BG641" i="4"/>
  <c r="BJ641" i="4" s="1"/>
  <c r="AY641" i="4"/>
  <c r="AZ641" i="4" s="1"/>
  <c r="BJ644" i="4"/>
  <c r="BK645" i="4"/>
  <c r="BA645" i="4"/>
  <c r="BG645" i="4"/>
  <c r="BJ645" i="4" s="1"/>
  <c r="AY645" i="4"/>
  <c r="AZ645" i="4" s="1"/>
  <c r="BJ648" i="4"/>
  <c r="BK649" i="4"/>
  <c r="BA649" i="4"/>
  <c r="BG649" i="4"/>
  <c r="BJ649" i="4" s="1"/>
  <c r="AY649" i="4"/>
  <c r="AZ649" i="4" s="1"/>
  <c r="BJ652" i="4"/>
  <c r="BK653" i="4"/>
  <c r="BA653" i="4"/>
  <c r="BG653" i="4"/>
  <c r="BJ653" i="4" s="1"/>
  <c r="AY653" i="4"/>
  <c r="AZ653" i="4" s="1"/>
  <c r="BJ657" i="4"/>
  <c r="BJ661" i="4"/>
  <c r="AZ661" i="4"/>
  <c r="BJ665" i="4"/>
  <c r="BJ669" i="4"/>
  <c r="AZ669" i="4"/>
  <c r="BJ673" i="4"/>
  <c r="BJ677" i="4"/>
  <c r="AZ677" i="4"/>
  <c r="BJ681" i="4"/>
  <c r="BJ685" i="4"/>
  <c r="AZ685" i="4"/>
  <c r="BJ689" i="4"/>
  <c r="BJ693" i="4"/>
  <c r="AZ693" i="4"/>
  <c r="BJ697" i="4"/>
  <c r="BJ701" i="4"/>
  <c r="AZ701" i="4"/>
  <c r="BJ705" i="4"/>
  <c r="BJ709" i="4"/>
  <c r="AZ709" i="4"/>
  <c r="BJ713" i="4"/>
  <c r="BJ717" i="4"/>
  <c r="AZ717" i="4"/>
  <c r="BJ721" i="4"/>
  <c r="BJ725" i="4"/>
  <c r="AZ725" i="4"/>
  <c r="BJ729" i="4"/>
  <c r="BJ733" i="4"/>
  <c r="AZ733" i="4"/>
  <c r="BJ737" i="4"/>
  <c r="BJ741" i="4"/>
  <c r="AZ741" i="4"/>
  <c r="BJ745" i="4"/>
  <c r="BJ749" i="4"/>
  <c r="BJ753" i="4"/>
  <c r="BJ757" i="4"/>
  <c r="BJ761" i="4"/>
  <c r="BJ765" i="4"/>
  <c r="BJ769" i="4"/>
  <c r="BD630" i="4"/>
  <c r="BD632" i="4"/>
  <c r="BD634" i="4"/>
  <c r="BD636" i="4"/>
  <c r="BD638" i="4"/>
  <c r="BD640" i="4"/>
  <c r="BD642" i="4"/>
  <c r="BD644" i="4"/>
  <c r="BD646" i="4"/>
  <c r="BD648" i="4"/>
  <c r="BD650" i="4"/>
  <c r="BD652" i="4"/>
  <c r="BD654" i="4"/>
  <c r="BB656" i="4"/>
  <c r="BD656" i="4"/>
  <c r="AY657" i="4"/>
  <c r="AZ657" i="4" s="1"/>
  <c r="BA657" i="4"/>
  <c r="BK657" i="4"/>
  <c r="BB658" i="4"/>
  <c r="BD658" i="4"/>
  <c r="AY659" i="4"/>
  <c r="AZ659" i="4" s="1"/>
  <c r="BA659" i="4"/>
  <c r="BK659" i="4"/>
  <c r="BB660" i="4"/>
  <c r="BD660" i="4"/>
  <c r="AY661" i="4"/>
  <c r="BA661" i="4"/>
  <c r="BK661" i="4"/>
  <c r="BB662" i="4"/>
  <c r="BD662" i="4"/>
  <c r="AY663" i="4"/>
  <c r="AZ663" i="4" s="1"/>
  <c r="BA663" i="4"/>
  <c r="BK663" i="4"/>
  <c r="BB664" i="4"/>
  <c r="BD664" i="4"/>
  <c r="AY665" i="4"/>
  <c r="AZ665" i="4" s="1"/>
  <c r="BA665" i="4"/>
  <c r="BK665" i="4"/>
  <c r="BB666" i="4"/>
  <c r="BD666" i="4"/>
  <c r="AY667" i="4"/>
  <c r="AZ667" i="4" s="1"/>
  <c r="BA667" i="4"/>
  <c r="BK667" i="4"/>
  <c r="BB668" i="4"/>
  <c r="BD668" i="4"/>
  <c r="AY669" i="4"/>
  <c r="BA669" i="4"/>
  <c r="BK669" i="4"/>
  <c r="BB670" i="4"/>
  <c r="BD670" i="4"/>
  <c r="AY671" i="4"/>
  <c r="AZ671" i="4" s="1"/>
  <c r="BA671" i="4"/>
  <c r="BK671" i="4"/>
  <c r="BB672" i="4"/>
  <c r="BD672" i="4"/>
  <c r="AY673" i="4"/>
  <c r="AZ673" i="4" s="1"/>
  <c r="BA673" i="4"/>
  <c r="BK673" i="4"/>
  <c r="BB674" i="4"/>
  <c r="BD674" i="4"/>
  <c r="AY675" i="4"/>
  <c r="AZ675" i="4" s="1"/>
  <c r="BA675" i="4"/>
  <c r="BK675" i="4"/>
  <c r="BB676" i="4"/>
  <c r="BD676" i="4"/>
  <c r="AY677" i="4"/>
  <c r="BA677" i="4"/>
  <c r="BK677" i="4"/>
  <c r="BB678" i="4"/>
  <c r="BD678" i="4"/>
  <c r="AY679" i="4"/>
  <c r="AZ679" i="4" s="1"/>
  <c r="BA679" i="4"/>
  <c r="BK679" i="4"/>
  <c r="BB680" i="4"/>
  <c r="BD680" i="4"/>
  <c r="AY681" i="4"/>
  <c r="AZ681" i="4" s="1"/>
  <c r="BA681" i="4"/>
  <c r="BK681" i="4"/>
  <c r="BB682" i="4"/>
  <c r="BD682" i="4"/>
  <c r="AY683" i="4"/>
  <c r="AZ683" i="4" s="1"/>
  <c r="BA683" i="4"/>
  <c r="BK683" i="4"/>
  <c r="BB684" i="4"/>
  <c r="BD684" i="4"/>
  <c r="AY685" i="4"/>
  <c r="BA685" i="4"/>
  <c r="BK685" i="4"/>
  <c r="BB686" i="4"/>
  <c r="BD686" i="4"/>
  <c r="AY687" i="4"/>
  <c r="AZ687" i="4" s="1"/>
  <c r="BA687" i="4"/>
  <c r="BK687" i="4"/>
  <c r="BB688" i="4"/>
  <c r="BD688" i="4"/>
  <c r="AY689" i="4"/>
  <c r="AZ689" i="4" s="1"/>
  <c r="BA689" i="4"/>
  <c r="BK689" i="4"/>
  <c r="BB690" i="4"/>
  <c r="BD690" i="4"/>
  <c r="AY691" i="4"/>
  <c r="AZ691" i="4" s="1"/>
  <c r="BA691" i="4"/>
  <c r="BK691" i="4"/>
  <c r="BB692" i="4"/>
  <c r="BD692" i="4"/>
  <c r="AY693" i="4"/>
  <c r="BA693" i="4"/>
  <c r="BK693" i="4"/>
  <c r="BB694" i="4"/>
  <c r="BD694" i="4"/>
  <c r="AY695" i="4"/>
  <c r="AZ695" i="4" s="1"/>
  <c r="BA695" i="4"/>
  <c r="BK695" i="4"/>
  <c r="BB696" i="4"/>
  <c r="BD696" i="4"/>
  <c r="AY697" i="4"/>
  <c r="AZ697" i="4" s="1"/>
  <c r="BA697" i="4"/>
  <c r="BK697" i="4"/>
  <c r="BB698" i="4"/>
  <c r="BD698" i="4"/>
  <c r="AY699" i="4"/>
  <c r="AZ699" i="4" s="1"/>
  <c r="BA699" i="4"/>
  <c r="BK699" i="4"/>
  <c r="BB700" i="4"/>
  <c r="BD700" i="4"/>
  <c r="AY701" i="4"/>
  <c r="BA701" i="4"/>
  <c r="BK701" i="4"/>
  <c r="BB702" i="4"/>
  <c r="BD702" i="4"/>
  <c r="AY703" i="4"/>
  <c r="AZ703" i="4" s="1"/>
  <c r="BA703" i="4"/>
  <c r="BK703" i="4"/>
  <c r="BB704" i="4"/>
  <c r="BD704" i="4"/>
  <c r="AY705" i="4"/>
  <c r="AZ705" i="4" s="1"/>
  <c r="BA705" i="4"/>
  <c r="BK705" i="4"/>
  <c r="BB706" i="4"/>
  <c r="BD706" i="4"/>
  <c r="AY707" i="4"/>
  <c r="AZ707" i="4" s="1"/>
  <c r="BA707" i="4"/>
  <c r="BK707" i="4"/>
  <c r="BB708" i="4"/>
  <c r="BD708" i="4"/>
  <c r="AY709" i="4"/>
  <c r="BA709" i="4"/>
  <c r="BK709" i="4"/>
  <c r="BB710" i="4"/>
  <c r="BD710" i="4"/>
  <c r="AY711" i="4"/>
  <c r="AZ711" i="4" s="1"/>
  <c r="BA711" i="4"/>
  <c r="BK711" i="4"/>
  <c r="BB712" i="4"/>
  <c r="BD712" i="4"/>
  <c r="AY713" i="4"/>
  <c r="AZ713" i="4" s="1"/>
  <c r="BA713" i="4"/>
  <c r="BK713" i="4"/>
  <c r="BB714" i="4"/>
  <c r="BD714" i="4"/>
  <c r="AY715" i="4"/>
  <c r="AZ715" i="4" s="1"/>
  <c r="BA715" i="4"/>
  <c r="BK715" i="4"/>
  <c r="BB716" i="4"/>
  <c r="BD716" i="4"/>
  <c r="AY717" i="4"/>
  <c r="BA717" i="4"/>
  <c r="BK717" i="4"/>
  <c r="BB718" i="4"/>
  <c r="BD718" i="4"/>
  <c r="AY719" i="4"/>
  <c r="AZ719" i="4" s="1"/>
  <c r="BA719" i="4"/>
  <c r="BK719" i="4"/>
  <c r="BB720" i="4"/>
  <c r="BD720" i="4"/>
  <c r="AY721" i="4"/>
  <c r="AZ721" i="4" s="1"/>
  <c r="BA721" i="4"/>
  <c r="BK721" i="4"/>
  <c r="BB722" i="4"/>
  <c r="BD722" i="4"/>
  <c r="AY723" i="4"/>
  <c r="AZ723" i="4" s="1"/>
  <c r="BA723" i="4"/>
  <c r="BK723" i="4"/>
  <c r="BB724" i="4"/>
  <c r="BD724" i="4"/>
  <c r="AY725" i="4"/>
  <c r="BA725" i="4"/>
  <c r="BK725" i="4"/>
  <c r="BB726" i="4"/>
  <c r="BD726" i="4"/>
  <c r="AY727" i="4"/>
  <c r="AZ727" i="4" s="1"/>
  <c r="BA727" i="4"/>
  <c r="BK727" i="4"/>
  <c r="BB728" i="4"/>
  <c r="BD728" i="4"/>
  <c r="AY729" i="4"/>
  <c r="AZ729" i="4" s="1"/>
  <c r="BA729" i="4"/>
  <c r="BK729" i="4"/>
  <c r="BB730" i="4"/>
  <c r="BD730" i="4"/>
  <c r="AY731" i="4"/>
  <c r="AZ731" i="4" s="1"/>
  <c r="BA731" i="4"/>
  <c r="BK731" i="4"/>
  <c r="BB732" i="4"/>
  <c r="BD732" i="4"/>
  <c r="AY733" i="4"/>
  <c r="BA733" i="4"/>
  <c r="BK733" i="4"/>
  <c r="BB734" i="4"/>
  <c r="BD734" i="4"/>
  <c r="AY735" i="4"/>
  <c r="AZ735" i="4" s="1"/>
  <c r="BA735" i="4"/>
  <c r="BK735" i="4"/>
  <c r="BB736" i="4"/>
  <c r="BD736" i="4"/>
  <c r="AY737" i="4"/>
  <c r="AZ737" i="4" s="1"/>
  <c r="BA737" i="4"/>
  <c r="BK737" i="4"/>
  <c r="BB738" i="4"/>
  <c r="BD738" i="4"/>
  <c r="AY739" i="4"/>
  <c r="AZ739" i="4" s="1"/>
  <c r="BA739" i="4"/>
  <c r="BK739" i="4"/>
  <c r="BB740" i="4"/>
  <c r="BD740" i="4"/>
  <c r="AY741" i="4"/>
  <c r="BA741" i="4"/>
  <c r="BK741" i="4"/>
  <c r="BB742" i="4"/>
  <c r="BD742" i="4"/>
  <c r="AY743" i="4"/>
  <c r="AZ743" i="4" s="1"/>
  <c r="BA743" i="4"/>
  <c r="BK743" i="4"/>
  <c r="BB744" i="4"/>
  <c r="BD744" i="4"/>
  <c r="AY745" i="4"/>
  <c r="AZ745" i="4" s="1"/>
  <c r="BA745" i="4"/>
  <c r="BK745" i="4"/>
  <c r="BB746" i="4"/>
  <c r="BD746" i="4"/>
  <c r="AY747" i="4"/>
  <c r="AZ747" i="4" s="1"/>
  <c r="BA747" i="4"/>
  <c r="BK747" i="4"/>
  <c r="BB748" i="4"/>
  <c r="BD748" i="4"/>
  <c r="AY749" i="4"/>
  <c r="AZ749" i="4" s="1"/>
  <c r="BA749" i="4"/>
  <c r="BK749" i="4"/>
  <c r="BB750" i="4"/>
  <c r="BD750" i="4"/>
  <c r="AY751" i="4"/>
  <c r="AZ751" i="4" s="1"/>
  <c r="BA751" i="4"/>
  <c r="BK751" i="4"/>
  <c r="BB752" i="4"/>
  <c r="BD752" i="4"/>
  <c r="AY753" i="4"/>
  <c r="AZ753" i="4" s="1"/>
  <c r="BA753" i="4"/>
  <c r="BK753" i="4"/>
  <c r="BB754" i="4"/>
  <c r="BD754" i="4"/>
  <c r="AY755" i="4"/>
  <c r="AZ755" i="4" s="1"/>
  <c r="BA755" i="4"/>
  <c r="BK755" i="4"/>
  <c r="BB756" i="4"/>
  <c r="BD756" i="4"/>
  <c r="AY757" i="4"/>
  <c r="AZ757" i="4" s="1"/>
  <c r="BA757" i="4"/>
  <c r="BK757" i="4"/>
  <c r="BB758" i="4"/>
  <c r="BD758" i="4"/>
  <c r="AY759" i="4"/>
  <c r="AZ759" i="4" s="1"/>
  <c r="BA759" i="4"/>
  <c r="BK759" i="4"/>
  <c r="BB760" i="4"/>
  <c r="BD760" i="4"/>
  <c r="AY761" i="4"/>
  <c r="AZ761" i="4" s="1"/>
  <c r="BA761" i="4"/>
  <c r="BK761" i="4"/>
  <c r="BB762" i="4"/>
  <c r="BD762" i="4"/>
  <c r="AY763" i="4"/>
  <c r="AZ763" i="4" s="1"/>
  <c r="BA763" i="4"/>
  <c r="BK763" i="4"/>
  <c r="BB764" i="4"/>
  <c r="BD764" i="4"/>
  <c r="AY765" i="4"/>
  <c r="AZ765" i="4" s="1"/>
  <c r="BA765" i="4"/>
  <c r="BK765" i="4"/>
  <c r="BB766" i="4"/>
  <c r="BD766" i="4"/>
  <c r="AY767" i="4"/>
  <c r="AZ767" i="4" s="1"/>
  <c r="BA767" i="4"/>
  <c r="BK767" i="4"/>
  <c r="BB768" i="4"/>
  <c r="BD768" i="4"/>
  <c r="AY769" i="4"/>
  <c r="AZ769" i="4" s="1"/>
  <c r="BA769" i="4"/>
  <c r="BK769" i="4"/>
  <c r="BB770" i="4"/>
  <c r="BD770" i="4"/>
  <c r="AY771" i="4"/>
  <c r="AZ771" i="4" s="1"/>
  <c r="BA771" i="4"/>
  <c r="BK771" i="4"/>
  <c r="BK772" i="4"/>
  <c r="BA772" i="4"/>
  <c r="BD772" i="4"/>
  <c r="BH772" i="4"/>
  <c r="BJ772" i="4" s="1"/>
  <c r="BC773" i="4"/>
  <c r="BJ773" i="4"/>
  <c r="BK774" i="4"/>
  <c r="BA774" i="4"/>
  <c r="BG774" i="4"/>
  <c r="BJ774" i="4" s="1"/>
  <c r="AY774" i="4"/>
  <c r="AZ774" i="4" s="1"/>
  <c r="BF774" i="4"/>
  <c r="AZ775" i="4"/>
  <c r="BI775" i="4"/>
  <c r="BD776" i="4"/>
  <c r="BC777" i="4"/>
  <c r="BJ777" i="4"/>
  <c r="BK778" i="4"/>
  <c r="BA778" i="4"/>
  <c r="BG778" i="4"/>
  <c r="BJ778" i="4" s="1"/>
  <c r="AY778" i="4"/>
  <c r="AZ778" i="4" s="1"/>
  <c r="BF778" i="4"/>
  <c r="AZ779" i="4"/>
  <c r="BI779" i="4"/>
  <c r="BD780" i="4"/>
  <c r="BC781" i="4"/>
  <c r="BJ781" i="4"/>
  <c r="BK782" i="4"/>
  <c r="BA782" i="4"/>
  <c r="BG782" i="4"/>
  <c r="BJ782" i="4" s="1"/>
  <c r="AY782" i="4"/>
  <c r="AZ782" i="4" s="1"/>
  <c r="BF782" i="4"/>
  <c r="AZ783" i="4"/>
  <c r="BI783" i="4"/>
  <c r="BD784" i="4"/>
  <c r="BC785" i="4"/>
  <c r="BJ785" i="4"/>
  <c r="BK786" i="4"/>
  <c r="BA786" i="4"/>
  <c r="BG786" i="4"/>
  <c r="BJ786" i="4" s="1"/>
  <c r="AY786" i="4"/>
  <c r="AZ786" i="4" s="1"/>
  <c r="BF786" i="4"/>
  <c r="AZ787" i="4"/>
  <c r="BI787" i="4"/>
  <c r="BD788" i="4"/>
  <c r="BC789" i="4"/>
  <c r="BJ789" i="4"/>
  <c r="BK790" i="4"/>
  <c r="BA790" i="4"/>
  <c r="BG790" i="4"/>
  <c r="BJ790" i="4" s="1"/>
  <c r="AY790" i="4"/>
  <c r="AZ790" i="4" s="1"/>
  <c r="BF790" i="4"/>
  <c r="AZ791" i="4"/>
  <c r="BI791" i="4"/>
  <c r="BJ794" i="4"/>
  <c r="BJ798" i="4"/>
  <c r="BJ802" i="4"/>
  <c r="BJ806" i="4"/>
  <c r="BJ810" i="4"/>
  <c r="BJ814" i="4"/>
  <c r="BJ818" i="4"/>
  <c r="BJ822" i="4"/>
  <c r="BJ826" i="4"/>
  <c r="BJ830" i="4"/>
  <c r="BJ834" i="4"/>
  <c r="BJ838" i="4"/>
  <c r="BJ842" i="4"/>
  <c r="BJ846" i="4"/>
  <c r="BJ850" i="4"/>
  <c r="BJ854" i="4"/>
  <c r="BJ858" i="4"/>
  <c r="BJ862" i="4"/>
  <c r="BJ866" i="4"/>
  <c r="BI656" i="4"/>
  <c r="BJ656" i="4" s="1"/>
  <c r="BD657" i="4"/>
  <c r="BI658" i="4"/>
  <c r="BJ658" i="4" s="1"/>
  <c r="BD659" i="4"/>
  <c r="BI660" i="4"/>
  <c r="BJ660" i="4" s="1"/>
  <c r="BD661" i="4"/>
  <c r="BI662" i="4"/>
  <c r="BJ662" i="4" s="1"/>
  <c r="BD663" i="4"/>
  <c r="BI664" i="4"/>
  <c r="BJ664" i="4" s="1"/>
  <c r="BD665" i="4"/>
  <c r="BI666" i="4"/>
  <c r="BJ666" i="4" s="1"/>
  <c r="BD667" i="4"/>
  <c r="BI668" i="4"/>
  <c r="BJ668" i="4" s="1"/>
  <c r="BD669" i="4"/>
  <c r="BI670" i="4"/>
  <c r="BJ670" i="4" s="1"/>
  <c r="BD671" i="4"/>
  <c r="BI672" i="4"/>
  <c r="BJ672" i="4" s="1"/>
  <c r="BD673" i="4"/>
  <c r="BI674" i="4"/>
  <c r="BJ674" i="4" s="1"/>
  <c r="BD675" i="4"/>
  <c r="BI676" i="4"/>
  <c r="BJ676" i="4" s="1"/>
  <c r="BD677" i="4"/>
  <c r="BI678" i="4"/>
  <c r="BJ678" i="4" s="1"/>
  <c r="BD679" i="4"/>
  <c r="BI680" i="4"/>
  <c r="BJ680" i="4" s="1"/>
  <c r="BD681" i="4"/>
  <c r="BI682" i="4"/>
  <c r="BJ682" i="4" s="1"/>
  <c r="BD683" i="4"/>
  <c r="BI684" i="4"/>
  <c r="BJ684" i="4" s="1"/>
  <c r="BD685" i="4"/>
  <c r="BI686" i="4"/>
  <c r="BJ686" i="4" s="1"/>
  <c r="BD687" i="4"/>
  <c r="BI688" i="4"/>
  <c r="BJ688" i="4" s="1"/>
  <c r="BD689" i="4"/>
  <c r="BI690" i="4"/>
  <c r="BJ690" i="4" s="1"/>
  <c r="BD691" i="4"/>
  <c r="BI692" i="4"/>
  <c r="BJ692" i="4" s="1"/>
  <c r="BD693" i="4"/>
  <c r="BI694" i="4"/>
  <c r="BJ694" i="4" s="1"/>
  <c r="BD695" i="4"/>
  <c r="BI696" i="4"/>
  <c r="BJ696" i="4" s="1"/>
  <c r="BD697" i="4"/>
  <c r="BI698" i="4"/>
  <c r="BJ698" i="4" s="1"/>
  <c r="BD699" i="4"/>
  <c r="BI700" i="4"/>
  <c r="BJ700" i="4" s="1"/>
  <c r="BD701" i="4"/>
  <c r="BI702" i="4"/>
  <c r="BJ702" i="4" s="1"/>
  <c r="BD703" i="4"/>
  <c r="BI704" i="4"/>
  <c r="BJ704" i="4" s="1"/>
  <c r="BD705" i="4"/>
  <c r="BI706" i="4"/>
  <c r="BJ706" i="4" s="1"/>
  <c r="BD707" i="4"/>
  <c r="BI708" i="4"/>
  <c r="BJ708" i="4" s="1"/>
  <c r="BD709" i="4"/>
  <c r="BI710" i="4"/>
  <c r="BJ710" i="4" s="1"/>
  <c r="BD711" i="4"/>
  <c r="BI712" i="4"/>
  <c r="BJ712" i="4" s="1"/>
  <c r="BD713" i="4"/>
  <c r="BI714" i="4"/>
  <c r="BJ714" i="4" s="1"/>
  <c r="BD715" i="4"/>
  <c r="BI716" i="4"/>
  <c r="BJ716" i="4" s="1"/>
  <c r="BD717" i="4"/>
  <c r="BI718" i="4"/>
  <c r="BJ718" i="4" s="1"/>
  <c r="BD719" i="4"/>
  <c r="BI720" i="4"/>
  <c r="BJ720" i="4" s="1"/>
  <c r="BD721" i="4"/>
  <c r="BI722" i="4"/>
  <c r="BJ722" i="4" s="1"/>
  <c r="BD723" i="4"/>
  <c r="BI724" i="4"/>
  <c r="BJ724" i="4" s="1"/>
  <c r="BD725" i="4"/>
  <c r="BI726" i="4"/>
  <c r="BJ726" i="4" s="1"/>
  <c r="BD727" i="4"/>
  <c r="BI728" i="4"/>
  <c r="BJ728" i="4" s="1"/>
  <c r="BD729" i="4"/>
  <c r="BI730" i="4"/>
  <c r="BJ730" i="4" s="1"/>
  <c r="BD731" i="4"/>
  <c r="BI732" i="4"/>
  <c r="BJ732" i="4" s="1"/>
  <c r="BD733" i="4"/>
  <c r="BI734" i="4"/>
  <c r="BJ734" i="4" s="1"/>
  <c r="BD735" i="4"/>
  <c r="BI736" i="4"/>
  <c r="BJ736" i="4" s="1"/>
  <c r="BD737" i="4"/>
  <c r="BI738" i="4"/>
  <c r="BJ738" i="4" s="1"/>
  <c r="BD739" i="4"/>
  <c r="BI740" i="4"/>
  <c r="BJ740" i="4" s="1"/>
  <c r="BD741" i="4"/>
  <c r="BI742" i="4"/>
  <c r="BJ742" i="4" s="1"/>
  <c r="BD743" i="4"/>
  <c r="BI744" i="4"/>
  <c r="BJ744" i="4" s="1"/>
  <c r="BD745" i="4"/>
  <c r="BI746" i="4"/>
  <c r="BJ746" i="4" s="1"/>
  <c r="BD747" i="4"/>
  <c r="BI748" i="4"/>
  <c r="BJ748" i="4" s="1"/>
  <c r="BD749" i="4"/>
  <c r="BI750" i="4"/>
  <c r="BJ750" i="4" s="1"/>
  <c r="BD751" i="4"/>
  <c r="BI752" i="4"/>
  <c r="BJ752" i="4" s="1"/>
  <c r="BD753" i="4"/>
  <c r="BI754" i="4"/>
  <c r="BJ754" i="4" s="1"/>
  <c r="BD755" i="4"/>
  <c r="BI756" i="4"/>
  <c r="BJ756" i="4" s="1"/>
  <c r="BD757" i="4"/>
  <c r="BI758" i="4"/>
  <c r="BJ758" i="4" s="1"/>
  <c r="BD759" i="4"/>
  <c r="BI760" i="4"/>
  <c r="BJ760" i="4" s="1"/>
  <c r="BD761" i="4"/>
  <c r="BI762" i="4"/>
  <c r="BJ762" i="4" s="1"/>
  <c r="BD763" i="4"/>
  <c r="BI764" i="4"/>
  <c r="BJ764" i="4" s="1"/>
  <c r="BD765" i="4"/>
  <c r="BI766" i="4"/>
  <c r="BJ766" i="4" s="1"/>
  <c r="BD767" i="4"/>
  <c r="BI768" i="4"/>
  <c r="BJ768" i="4" s="1"/>
  <c r="BD769" i="4"/>
  <c r="BI770" i="4"/>
  <c r="BJ770" i="4" s="1"/>
  <c r="BD771" i="4"/>
  <c r="BJ775" i="4"/>
  <c r="BK776" i="4"/>
  <c r="BA776" i="4"/>
  <c r="BG776" i="4"/>
  <c r="BJ776" i="4" s="1"/>
  <c r="AY776" i="4"/>
  <c r="AZ776" i="4" s="1"/>
  <c r="BJ779" i="4"/>
  <c r="BK780" i="4"/>
  <c r="BA780" i="4"/>
  <c r="BG780" i="4"/>
  <c r="BJ780" i="4" s="1"/>
  <c r="AY780" i="4"/>
  <c r="AZ780" i="4" s="1"/>
  <c r="BJ783" i="4"/>
  <c r="BK784" i="4"/>
  <c r="BA784" i="4"/>
  <c r="BG784" i="4"/>
  <c r="BJ784" i="4" s="1"/>
  <c r="AY784" i="4"/>
  <c r="AZ784" i="4" s="1"/>
  <c r="BJ787" i="4"/>
  <c r="BK788" i="4"/>
  <c r="BA788" i="4"/>
  <c r="BG788" i="4"/>
  <c r="BJ788" i="4" s="1"/>
  <c r="AY788" i="4"/>
  <c r="AZ788" i="4" s="1"/>
  <c r="BJ791" i="4"/>
  <c r="BJ792" i="4"/>
  <c r="BJ796" i="4"/>
  <c r="AZ796" i="4"/>
  <c r="BJ800" i="4"/>
  <c r="BJ804" i="4"/>
  <c r="AZ804" i="4"/>
  <c r="BJ808" i="4"/>
  <c r="BJ812" i="4"/>
  <c r="AZ812" i="4"/>
  <c r="BJ816" i="4"/>
  <c r="BJ820" i="4"/>
  <c r="AZ820" i="4"/>
  <c r="BJ824" i="4"/>
  <c r="BJ828" i="4"/>
  <c r="AZ828" i="4"/>
  <c r="BJ832" i="4"/>
  <c r="BJ836" i="4"/>
  <c r="AZ836" i="4"/>
  <c r="BJ840" i="4"/>
  <c r="BJ844" i="4"/>
  <c r="AZ844" i="4"/>
  <c r="BJ848" i="4"/>
  <c r="BJ852" i="4"/>
  <c r="AZ852" i="4"/>
  <c r="BJ856" i="4"/>
  <c r="BJ860" i="4"/>
  <c r="AZ860" i="4"/>
  <c r="BJ864" i="4"/>
  <c r="AZ868" i="4"/>
  <c r="BD773" i="4"/>
  <c r="BD775" i="4"/>
  <c r="BD777" i="4"/>
  <c r="BD779" i="4"/>
  <c r="BD781" i="4"/>
  <c r="BD783" i="4"/>
  <c r="BD785" i="4"/>
  <c r="BD787" i="4"/>
  <c r="BD789" i="4"/>
  <c r="BD791" i="4"/>
  <c r="AY792" i="4"/>
  <c r="AZ792" i="4" s="1"/>
  <c r="BA792" i="4"/>
  <c r="BK792" i="4"/>
  <c r="BB793" i="4"/>
  <c r="BD793" i="4"/>
  <c r="AY794" i="4"/>
  <c r="AZ794" i="4" s="1"/>
  <c r="BA794" i="4"/>
  <c r="BK794" i="4"/>
  <c r="BB795" i="4"/>
  <c r="BD795" i="4"/>
  <c r="AY796" i="4"/>
  <c r="BA796" i="4"/>
  <c r="BK796" i="4"/>
  <c r="BB797" i="4"/>
  <c r="BD797" i="4"/>
  <c r="AY798" i="4"/>
  <c r="AZ798" i="4" s="1"/>
  <c r="BA798" i="4"/>
  <c r="BK798" i="4"/>
  <c r="BB799" i="4"/>
  <c r="BD799" i="4"/>
  <c r="AY800" i="4"/>
  <c r="AZ800" i="4" s="1"/>
  <c r="BA800" i="4"/>
  <c r="BK800" i="4"/>
  <c r="BB801" i="4"/>
  <c r="BD801" i="4"/>
  <c r="AY802" i="4"/>
  <c r="AZ802" i="4" s="1"/>
  <c r="BA802" i="4"/>
  <c r="BK802" i="4"/>
  <c r="BB803" i="4"/>
  <c r="BD803" i="4"/>
  <c r="AY804" i="4"/>
  <c r="BA804" i="4"/>
  <c r="BK804" i="4"/>
  <c r="BB805" i="4"/>
  <c r="BD805" i="4"/>
  <c r="AY806" i="4"/>
  <c r="AZ806" i="4" s="1"/>
  <c r="BA806" i="4"/>
  <c r="BK806" i="4"/>
  <c r="BB807" i="4"/>
  <c r="BD807" i="4"/>
  <c r="AY808" i="4"/>
  <c r="AZ808" i="4" s="1"/>
  <c r="BA808" i="4"/>
  <c r="BK808" i="4"/>
  <c r="BB809" i="4"/>
  <c r="BD809" i="4"/>
  <c r="AY810" i="4"/>
  <c r="AZ810" i="4" s="1"/>
  <c r="BA810" i="4"/>
  <c r="BK810" i="4"/>
  <c r="BB811" i="4"/>
  <c r="BD811" i="4"/>
  <c r="AY812" i="4"/>
  <c r="BA812" i="4"/>
  <c r="BK812" i="4"/>
  <c r="BB813" i="4"/>
  <c r="BD813" i="4"/>
  <c r="AY814" i="4"/>
  <c r="AZ814" i="4" s="1"/>
  <c r="BA814" i="4"/>
  <c r="BK814" i="4"/>
  <c r="BB815" i="4"/>
  <c r="BD815" i="4"/>
  <c r="AY816" i="4"/>
  <c r="AZ816" i="4" s="1"/>
  <c r="BA816" i="4"/>
  <c r="BK816" i="4"/>
  <c r="BB817" i="4"/>
  <c r="BD817" i="4"/>
  <c r="AY818" i="4"/>
  <c r="AZ818" i="4" s="1"/>
  <c r="BA818" i="4"/>
  <c r="BK818" i="4"/>
  <c r="BB819" i="4"/>
  <c r="BD819" i="4"/>
  <c r="AY820" i="4"/>
  <c r="BA820" i="4"/>
  <c r="BK820" i="4"/>
  <c r="BB821" i="4"/>
  <c r="BD821" i="4"/>
  <c r="AY822" i="4"/>
  <c r="AZ822" i="4" s="1"/>
  <c r="BA822" i="4"/>
  <c r="BK822" i="4"/>
  <c r="BB823" i="4"/>
  <c r="BD823" i="4"/>
  <c r="AY824" i="4"/>
  <c r="AZ824" i="4" s="1"/>
  <c r="BA824" i="4"/>
  <c r="BK824" i="4"/>
  <c r="BB825" i="4"/>
  <c r="BD825" i="4"/>
  <c r="AY826" i="4"/>
  <c r="AZ826" i="4" s="1"/>
  <c r="BA826" i="4"/>
  <c r="BK826" i="4"/>
  <c r="BB827" i="4"/>
  <c r="BD827" i="4"/>
  <c r="AY828" i="4"/>
  <c r="BA828" i="4"/>
  <c r="BK828" i="4"/>
  <c r="BB829" i="4"/>
  <c r="BD829" i="4"/>
  <c r="AY830" i="4"/>
  <c r="AZ830" i="4" s="1"/>
  <c r="BA830" i="4"/>
  <c r="BK830" i="4"/>
  <c r="BB831" i="4"/>
  <c r="BD831" i="4"/>
  <c r="AY832" i="4"/>
  <c r="AZ832" i="4" s="1"/>
  <c r="BA832" i="4"/>
  <c r="BK832" i="4"/>
  <c r="BB833" i="4"/>
  <c r="BD833" i="4"/>
  <c r="AY834" i="4"/>
  <c r="AZ834" i="4" s="1"/>
  <c r="BA834" i="4"/>
  <c r="BK834" i="4"/>
  <c r="BB835" i="4"/>
  <c r="BD835" i="4"/>
  <c r="AY836" i="4"/>
  <c r="BA836" i="4"/>
  <c r="BK836" i="4"/>
  <c r="BB837" i="4"/>
  <c r="BD837" i="4"/>
  <c r="AY838" i="4"/>
  <c r="AZ838" i="4" s="1"/>
  <c r="BA838" i="4"/>
  <c r="BK838" i="4"/>
  <c r="BB839" i="4"/>
  <c r="BD839" i="4"/>
  <c r="AY840" i="4"/>
  <c r="AZ840" i="4" s="1"/>
  <c r="BA840" i="4"/>
  <c r="BK840" i="4"/>
  <c r="BB841" i="4"/>
  <c r="BD841" i="4"/>
  <c r="AY842" i="4"/>
  <c r="AZ842" i="4" s="1"/>
  <c r="BA842" i="4"/>
  <c r="BK842" i="4"/>
  <c r="BB843" i="4"/>
  <c r="BD843" i="4"/>
  <c r="AY844" i="4"/>
  <c r="BA844" i="4"/>
  <c r="BK844" i="4"/>
  <c r="BB845" i="4"/>
  <c r="BD845" i="4"/>
  <c r="AY846" i="4"/>
  <c r="AZ846" i="4" s="1"/>
  <c r="BA846" i="4"/>
  <c r="BK846" i="4"/>
  <c r="BB847" i="4"/>
  <c r="BD847" i="4"/>
  <c r="AY848" i="4"/>
  <c r="AZ848" i="4" s="1"/>
  <c r="BA848" i="4"/>
  <c r="BK848" i="4"/>
  <c r="BB849" i="4"/>
  <c r="BD849" i="4"/>
  <c r="AY850" i="4"/>
  <c r="AZ850" i="4" s="1"/>
  <c r="BA850" i="4"/>
  <c r="BK850" i="4"/>
  <c r="BB851" i="4"/>
  <c r="BD851" i="4"/>
  <c r="AY852" i="4"/>
  <c r="BA852" i="4"/>
  <c r="BK852" i="4"/>
  <c r="BB853" i="4"/>
  <c r="BD853" i="4"/>
  <c r="AY854" i="4"/>
  <c r="AZ854" i="4" s="1"/>
  <c r="BA854" i="4"/>
  <c r="BK854" i="4"/>
  <c r="BB855" i="4"/>
  <c r="BD855" i="4"/>
  <c r="AY856" i="4"/>
  <c r="AZ856" i="4" s="1"/>
  <c r="BA856" i="4"/>
  <c r="BK856" i="4"/>
  <c r="BB857" i="4"/>
  <c r="BD857" i="4"/>
  <c r="AY858" i="4"/>
  <c r="AZ858" i="4" s="1"/>
  <c r="BA858" i="4"/>
  <c r="BK858" i="4"/>
  <c r="BB859" i="4"/>
  <c r="BD859" i="4"/>
  <c r="AY860" i="4"/>
  <c r="BA860" i="4"/>
  <c r="BK860" i="4"/>
  <c r="BB861" i="4"/>
  <c r="BD861" i="4"/>
  <c r="AY862" i="4"/>
  <c r="AZ862" i="4" s="1"/>
  <c r="BA862" i="4"/>
  <c r="BK862" i="4"/>
  <c r="BB863" i="4"/>
  <c r="BD863" i="4"/>
  <c r="AY864" i="4"/>
  <c r="AZ864" i="4" s="1"/>
  <c r="BA864" i="4"/>
  <c r="BK864" i="4"/>
  <c r="BB865" i="4"/>
  <c r="BD865" i="4"/>
  <c r="AY866" i="4"/>
  <c r="AZ866" i="4" s="1"/>
  <c r="BA866" i="4"/>
  <c r="BK866" i="4"/>
  <c r="BB867" i="4"/>
  <c r="BD867" i="4"/>
  <c r="AY868" i="4"/>
  <c r="AZ869" i="4"/>
  <c r="BI869" i="4"/>
  <c r="BD870" i="4"/>
  <c r="BC871" i="4"/>
  <c r="BJ871" i="4"/>
  <c r="BK872" i="4"/>
  <c r="BA872" i="4"/>
  <c r="BG872" i="4"/>
  <c r="BJ872" i="4" s="1"/>
  <c r="AY872" i="4"/>
  <c r="AZ872" i="4" s="1"/>
  <c r="BF872" i="4"/>
  <c r="AZ873" i="4"/>
  <c r="BI873" i="4"/>
  <c r="BD874" i="4"/>
  <c r="BC875" i="4"/>
  <c r="BJ875" i="4"/>
  <c r="BK876" i="4"/>
  <c r="BA876" i="4"/>
  <c r="BG876" i="4"/>
  <c r="BJ876" i="4" s="1"/>
  <c r="AY876" i="4"/>
  <c r="AZ876" i="4" s="1"/>
  <c r="BF876" i="4"/>
  <c r="AZ877" i="4"/>
  <c r="BI877" i="4"/>
  <c r="BJ880" i="4"/>
  <c r="BJ884" i="4"/>
  <c r="BJ888" i="4"/>
  <c r="BJ892" i="4"/>
  <c r="BJ896" i="4"/>
  <c r="BJ900" i="4"/>
  <c r="BJ904" i="4"/>
  <c r="BJ908" i="4"/>
  <c r="BJ912" i="4"/>
  <c r="BD792" i="4"/>
  <c r="BI793" i="4"/>
  <c r="BJ793" i="4" s="1"/>
  <c r="BD794" i="4"/>
  <c r="BI795" i="4"/>
  <c r="BJ795" i="4" s="1"/>
  <c r="BD796" i="4"/>
  <c r="BI797" i="4"/>
  <c r="BJ797" i="4" s="1"/>
  <c r="BD798" i="4"/>
  <c r="BI799" i="4"/>
  <c r="BJ799" i="4" s="1"/>
  <c r="BD800" i="4"/>
  <c r="BI801" i="4"/>
  <c r="BJ801" i="4" s="1"/>
  <c r="BD802" i="4"/>
  <c r="BI803" i="4"/>
  <c r="BJ803" i="4" s="1"/>
  <c r="BD804" i="4"/>
  <c r="BI805" i="4"/>
  <c r="BJ805" i="4" s="1"/>
  <c r="BD806" i="4"/>
  <c r="BI807" i="4"/>
  <c r="BJ807" i="4" s="1"/>
  <c r="BD808" i="4"/>
  <c r="BI809" i="4"/>
  <c r="BJ809" i="4" s="1"/>
  <c r="BD810" i="4"/>
  <c r="BI811" i="4"/>
  <c r="BJ811" i="4" s="1"/>
  <c r="BD812" i="4"/>
  <c r="BI813" i="4"/>
  <c r="BJ813" i="4" s="1"/>
  <c r="BD814" i="4"/>
  <c r="BI815" i="4"/>
  <c r="BJ815" i="4" s="1"/>
  <c r="BD816" i="4"/>
  <c r="BI817" i="4"/>
  <c r="BJ817" i="4" s="1"/>
  <c r="BD818" i="4"/>
  <c r="BI819" i="4"/>
  <c r="BJ819" i="4" s="1"/>
  <c r="BD820" i="4"/>
  <c r="BI821" i="4"/>
  <c r="BJ821" i="4" s="1"/>
  <c r="BD822" i="4"/>
  <c r="BI823" i="4"/>
  <c r="BJ823" i="4" s="1"/>
  <c r="BD824" i="4"/>
  <c r="BI825" i="4"/>
  <c r="BJ825" i="4" s="1"/>
  <c r="BD826" i="4"/>
  <c r="BI827" i="4"/>
  <c r="BJ827" i="4" s="1"/>
  <c r="BD828" i="4"/>
  <c r="BI829" i="4"/>
  <c r="BJ829" i="4" s="1"/>
  <c r="BD830" i="4"/>
  <c r="BI831" i="4"/>
  <c r="BJ831" i="4" s="1"/>
  <c r="BD832" i="4"/>
  <c r="BI833" i="4"/>
  <c r="BJ833" i="4" s="1"/>
  <c r="BD834" i="4"/>
  <c r="BI835" i="4"/>
  <c r="BJ835" i="4" s="1"/>
  <c r="BD836" i="4"/>
  <c r="BI837" i="4"/>
  <c r="BJ837" i="4" s="1"/>
  <c r="BD838" i="4"/>
  <c r="BI839" i="4"/>
  <c r="BJ839" i="4" s="1"/>
  <c r="BD840" i="4"/>
  <c r="BI841" i="4"/>
  <c r="BJ841" i="4" s="1"/>
  <c r="BD842" i="4"/>
  <c r="BI843" i="4"/>
  <c r="BJ843" i="4" s="1"/>
  <c r="BD844" i="4"/>
  <c r="BI845" i="4"/>
  <c r="BJ845" i="4" s="1"/>
  <c r="BD846" i="4"/>
  <c r="BI847" i="4"/>
  <c r="BJ847" i="4" s="1"/>
  <c r="BD848" i="4"/>
  <c r="BI849" i="4"/>
  <c r="BJ849" i="4" s="1"/>
  <c r="BD850" i="4"/>
  <c r="BI851" i="4"/>
  <c r="BJ851" i="4" s="1"/>
  <c r="BD852" i="4"/>
  <c r="BI853" i="4"/>
  <c r="BJ853" i="4" s="1"/>
  <c r="BD854" i="4"/>
  <c r="BI855" i="4"/>
  <c r="BJ855" i="4" s="1"/>
  <c r="BD856" i="4"/>
  <c r="BI857" i="4"/>
  <c r="BJ857" i="4" s="1"/>
  <c r="BD858" i="4"/>
  <c r="BI859" i="4"/>
  <c r="BJ859" i="4" s="1"/>
  <c r="BD860" i="4"/>
  <c r="BI861" i="4"/>
  <c r="BJ861" i="4" s="1"/>
  <c r="BD862" i="4"/>
  <c r="BI863" i="4"/>
  <c r="BJ863" i="4" s="1"/>
  <c r="BD864" i="4"/>
  <c r="BI865" i="4"/>
  <c r="BJ865" i="4" s="1"/>
  <c r="BD866" i="4"/>
  <c r="BI867" i="4"/>
  <c r="BJ867" i="4" s="1"/>
  <c r="BK868" i="4"/>
  <c r="BA868" i="4"/>
  <c r="BD868" i="4"/>
  <c r="BH868" i="4"/>
  <c r="BJ868" i="4" s="1"/>
  <c r="BJ869" i="4"/>
  <c r="BK870" i="4"/>
  <c r="BA870" i="4"/>
  <c r="BG870" i="4"/>
  <c r="BJ870" i="4" s="1"/>
  <c r="AY870" i="4"/>
  <c r="AZ870" i="4" s="1"/>
  <c r="BJ873" i="4"/>
  <c r="BK874" i="4"/>
  <c r="BA874" i="4"/>
  <c r="BG874" i="4"/>
  <c r="BJ874" i="4" s="1"/>
  <c r="AY874" i="4"/>
  <c r="AZ874" i="4" s="1"/>
  <c r="BJ877" i="4"/>
  <c r="BH878" i="4"/>
  <c r="BD878" i="4"/>
  <c r="BK878" i="4"/>
  <c r="BA878" i="4"/>
  <c r="BG878" i="4"/>
  <c r="BJ878" i="4" s="1"/>
  <c r="AY878" i="4"/>
  <c r="AZ878" i="4"/>
  <c r="BJ882" i="4"/>
  <c r="BJ886" i="4"/>
  <c r="AZ886" i="4"/>
  <c r="BJ890" i="4"/>
  <c r="BJ894" i="4"/>
  <c r="AZ894" i="4"/>
  <c r="BJ898" i="4"/>
  <c r="BJ902" i="4"/>
  <c r="AZ902" i="4"/>
  <c r="BJ906" i="4"/>
  <c r="BJ910" i="4"/>
  <c r="AZ910" i="4"/>
  <c r="AZ916" i="4"/>
  <c r="AZ924" i="4"/>
  <c r="BD869" i="4"/>
  <c r="BD871" i="4"/>
  <c r="BD873" i="4"/>
  <c r="BD875" i="4"/>
  <c r="BD877" i="4"/>
  <c r="BB879" i="4"/>
  <c r="BD879" i="4"/>
  <c r="AY880" i="4"/>
  <c r="AZ880" i="4" s="1"/>
  <c r="BA880" i="4"/>
  <c r="BK880" i="4"/>
  <c r="BB881" i="4"/>
  <c r="BD881" i="4"/>
  <c r="AY882" i="4"/>
  <c r="AZ882" i="4" s="1"/>
  <c r="BA882" i="4"/>
  <c r="BK882" i="4"/>
  <c r="BB883" i="4"/>
  <c r="BD883" i="4"/>
  <c r="AY884" i="4"/>
  <c r="AZ884" i="4" s="1"/>
  <c r="BA884" i="4"/>
  <c r="BK884" i="4"/>
  <c r="BB885" i="4"/>
  <c r="BD885" i="4"/>
  <c r="AY886" i="4"/>
  <c r="BA886" i="4"/>
  <c r="BK886" i="4"/>
  <c r="BB887" i="4"/>
  <c r="BD887" i="4"/>
  <c r="AY888" i="4"/>
  <c r="AZ888" i="4" s="1"/>
  <c r="BA888" i="4"/>
  <c r="BK888" i="4"/>
  <c r="BB889" i="4"/>
  <c r="BD889" i="4"/>
  <c r="AY890" i="4"/>
  <c r="AZ890" i="4" s="1"/>
  <c r="BA890" i="4"/>
  <c r="BK890" i="4"/>
  <c r="BB891" i="4"/>
  <c r="BD891" i="4"/>
  <c r="AY892" i="4"/>
  <c r="AZ892" i="4" s="1"/>
  <c r="BA892" i="4"/>
  <c r="BK892" i="4"/>
  <c r="BB893" i="4"/>
  <c r="BD893" i="4"/>
  <c r="AY894" i="4"/>
  <c r="BA894" i="4"/>
  <c r="BK894" i="4"/>
  <c r="BB895" i="4"/>
  <c r="BD895" i="4"/>
  <c r="AY896" i="4"/>
  <c r="AZ896" i="4" s="1"/>
  <c r="BA896" i="4"/>
  <c r="BK896" i="4"/>
  <c r="BB897" i="4"/>
  <c r="BD897" i="4"/>
  <c r="AY898" i="4"/>
  <c r="AZ898" i="4" s="1"/>
  <c r="BA898" i="4"/>
  <c r="BK898" i="4"/>
  <c r="BB899" i="4"/>
  <c r="BD899" i="4"/>
  <c r="AY900" i="4"/>
  <c r="AZ900" i="4" s="1"/>
  <c r="BA900" i="4"/>
  <c r="BK900" i="4"/>
  <c r="BB901" i="4"/>
  <c r="BD901" i="4"/>
  <c r="AY902" i="4"/>
  <c r="BA902" i="4"/>
  <c r="BK902" i="4"/>
  <c r="BB903" i="4"/>
  <c r="BD903" i="4"/>
  <c r="AY904" i="4"/>
  <c r="AZ904" i="4" s="1"/>
  <c r="BA904" i="4"/>
  <c r="BK904" i="4"/>
  <c r="BB905" i="4"/>
  <c r="BD905" i="4"/>
  <c r="AY906" i="4"/>
  <c r="AZ906" i="4" s="1"/>
  <c r="BA906" i="4"/>
  <c r="BK906" i="4"/>
  <c r="BB907" i="4"/>
  <c r="BD907" i="4"/>
  <c r="AY908" i="4"/>
  <c r="AZ908" i="4" s="1"/>
  <c r="BA908" i="4"/>
  <c r="BK908" i="4"/>
  <c r="BB909" i="4"/>
  <c r="BD909" i="4"/>
  <c r="AY910" i="4"/>
  <c r="BA910" i="4"/>
  <c r="BK910" i="4"/>
  <c r="BB911" i="4"/>
  <c r="BD911" i="4"/>
  <c r="AY912" i="4"/>
  <c r="AZ912" i="4" s="1"/>
  <c r="BA912" i="4"/>
  <c r="BK912" i="4"/>
  <c r="BB913" i="4"/>
  <c r="BD913" i="4"/>
  <c r="AY914" i="4"/>
  <c r="AZ914" i="4" s="1"/>
  <c r="BA914" i="4"/>
  <c r="AZ915" i="4"/>
  <c r="BI915" i="4"/>
  <c r="BJ915" i="4" s="1"/>
  <c r="BD916" i="4"/>
  <c r="BC917" i="4"/>
  <c r="BJ917" i="4"/>
  <c r="BK918" i="4"/>
  <c r="BA918" i="4"/>
  <c r="BG918" i="4"/>
  <c r="BJ918" i="4" s="1"/>
  <c r="AY918" i="4"/>
  <c r="AZ918" i="4" s="1"/>
  <c r="BF918" i="4"/>
  <c r="AZ919" i="4"/>
  <c r="BI919" i="4"/>
  <c r="BD920" i="4"/>
  <c r="BC921" i="4"/>
  <c r="BJ921" i="4"/>
  <c r="BK922" i="4"/>
  <c r="BA922" i="4"/>
  <c r="BG922" i="4"/>
  <c r="BJ922" i="4" s="1"/>
  <c r="AY922" i="4"/>
  <c r="AZ922" i="4" s="1"/>
  <c r="BF922" i="4"/>
  <c r="AZ923" i="4"/>
  <c r="BI923" i="4"/>
  <c r="BJ923" i="4" s="1"/>
  <c r="BD924" i="4"/>
  <c r="BJ926" i="4"/>
  <c r="BJ930" i="4"/>
  <c r="BI879" i="4"/>
  <c r="BJ879" i="4" s="1"/>
  <c r="BD880" i="4"/>
  <c r="BI881" i="4"/>
  <c r="BJ881" i="4" s="1"/>
  <c r="BD882" i="4"/>
  <c r="BI883" i="4"/>
  <c r="BJ883" i="4" s="1"/>
  <c r="BD884" i="4"/>
  <c r="BI885" i="4"/>
  <c r="BJ885" i="4" s="1"/>
  <c r="BD886" i="4"/>
  <c r="BI887" i="4"/>
  <c r="BJ887" i="4" s="1"/>
  <c r="BD888" i="4"/>
  <c r="BI889" i="4"/>
  <c r="BJ889" i="4" s="1"/>
  <c r="BD890" i="4"/>
  <c r="BI891" i="4"/>
  <c r="BJ891" i="4" s="1"/>
  <c r="BD892" i="4"/>
  <c r="BI893" i="4"/>
  <c r="BJ893" i="4" s="1"/>
  <c r="BD894" i="4"/>
  <c r="BI895" i="4"/>
  <c r="BJ895" i="4" s="1"/>
  <c r="BD896" i="4"/>
  <c r="BI897" i="4"/>
  <c r="BJ897" i="4" s="1"/>
  <c r="BD898" i="4"/>
  <c r="BI899" i="4"/>
  <c r="BJ899" i="4" s="1"/>
  <c r="BD900" i="4"/>
  <c r="BI901" i="4"/>
  <c r="BJ901" i="4" s="1"/>
  <c r="BD902" i="4"/>
  <c r="BI903" i="4"/>
  <c r="BJ903" i="4" s="1"/>
  <c r="BD904" i="4"/>
  <c r="BI905" i="4"/>
  <c r="BJ905" i="4" s="1"/>
  <c r="BD906" i="4"/>
  <c r="BI907" i="4"/>
  <c r="BJ907" i="4" s="1"/>
  <c r="BD908" i="4"/>
  <c r="BI909" i="4"/>
  <c r="BJ909" i="4" s="1"/>
  <c r="BD910" i="4"/>
  <c r="BI911" i="4"/>
  <c r="BJ911" i="4" s="1"/>
  <c r="BD912" i="4"/>
  <c r="BI913" i="4"/>
  <c r="BJ913" i="4" s="1"/>
  <c r="BD914" i="4"/>
  <c r="BH914" i="4"/>
  <c r="BJ914" i="4" s="1"/>
  <c r="BK916" i="4"/>
  <c r="BA916" i="4"/>
  <c r="BG916" i="4"/>
  <c r="BJ916" i="4" s="1"/>
  <c r="AY916" i="4"/>
  <c r="BJ919" i="4"/>
  <c r="BK920" i="4"/>
  <c r="BA920" i="4"/>
  <c r="BG920" i="4"/>
  <c r="BJ920" i="4" s="1"/>
  <c r="AY920" i="4"/>
  <c r="AZ920" i="4" s="1"/>
  <c r="BK924" i="4"/>
  <c r="BA924" i="4"/>
  <c r="BG924" i="4"/>
  <c r="BJ924" i="4" s="1"/>
  <c r="AY924" i="4"/>
  <c r="BJ928" i="4"/>
  <c r="AZ928" i="4"/>
  <c r="AZ934" i="4"/>
  <c r="AZ942" i="4"/>
  <c r="BD915" i="4"/>
  <c r="BD917" i="4"/>
  <c r="BD919" i="4"/>
  <c r="BD921" i="4"/>
  <c r="BD923" i="4"/>
  <c r="BB925" i="4"/>
  <c r="BD925" i="4"/>
  <c r="AY926" i="4"/>
  <c r="AZ926" i="4" s="1"/>
  <c r="BA926" i="4"/>
  <c r="BK926" i="4"/>
  <c r="BB927" i="4"/>
  <c r="BD927" i="4"/>
  <c r="AY928" i="4"/>
  <c r="BA928" i="4"/>
  <c r="BK928" i="4"/>
  <c r="BB929" i="4"/>
  <c r="BD929" i="4"/>
  <c r="AY930" i="4"/>
  <c r="AZ930" i="4" s="1"/>
  <c r="BA930" i="4"/>
  <c r="BK930" i="4"/>
  <c r="BB931" i="4"/>
  <c r="BD931" i="4"/>
  <c r="AY932" i="4"/>
  <c r="AZ932" i="4" s="1"/>
  <c r="BA932" i="4"/>
  <c r="AZ933" i="4"/>
  <c r="BI933" i="4"/>
  <c r="BJ933" i="4" s="1"/>
  <c r="BD934" i="4"/>
  <c r="BC935" i="4"/>
  <c r="BJ935" i="4"/>
  <c r="BK936" i="4"/>
  <c r="BA936" i="4"/>
  <c r="BG936" i="4"/>
  <c r="BJ936" i="4" s="1"/>
  <c r="AY936" i="4"/>
  <c r="AZ936" i="4" s="1"/>
  <c r="BF936" i="4"/>
  <c r="AZ937" i="4"/>
  <c r="BI937" i="4"/>
  <c r="BD938" i="4"/>
  <c r="BC939" i="4"/>
  <c r="BJ939" i="4"/>
  <c r="BK940" i="4"/>
  <c r="BA940" i="4"/>
  <c r="BG940" i="4"/>
  <c r="BJ940" i="4" s="1"/>
  <c r="AY940" i="4"/>
  <c r="AZ940" i="4" s="1"/>
  <c r="BF940" i="4"/>
  <c r="AZ941" i="4"/>
  <c r="BI941" i="4"/>
  <c r="BJ941" i="4" s="1"/>
  <c r="BD942" i="4"/>
  <c r="BC943" i="4"/>
  <c r="BJ943" i="4"/>
  <c r="BK944" i="4"/>
  <c r="BA944" i="4"/>
  <c r="BG944" i="4"/>
  <c r="AY944" i="4"/>
  <c r="AZ944" i="4" s="1"/>
  <c r="BH944" i="4"/>
  <c r="BJ945" i="4"/>
  <c r="BB947" i="4"/>
  <c r="BC947" i="4"/>
  <c r="BJ949" i="4"/>
  <c r="BB951" i="4"/>
  <c r="BC951" i="4"/>
  <c r="BJ953" i="4"/>
  <c r="BI925" i="4"/>
  <c r="BJ925" i="4" s="1"/>
  <c r="BD926" i="4"/>
  <c r="BI927" i="4"/>
  <c r="BJ927" i="4" s="1"/>
  <c r="BD928" i="4"/>
  <c r="BI929" i="4"/>
  <c r="BJ929" i="4" s="1"/>
  <c r="BD930" i="4"/>
  <c r="BI931" i="4"/>
  <c r="BJ931" i="4" s="1"/>
  <c r="BD932" i="4"/>
  <c r="BH932" i="4"/>
  <c r="BJ932" i="4" s="1"/>
  <c r="BK934" i="4"/>
  <c r="BA934" i="4"/>
  <c r="BG934" i="4"/>
  <c r="BJ934" i="4" s="1"/>
  <c r="AY934" i="4"/>
  <c r="BJ937" i="4"/>
  <c r="BK938" i="4"/>
  <c r="BA938" i="4"/>
  <c r="BG938" i="4"/>
  <c r="BJ938" i="4" s="1"/>
  <c r="AY938" i="4"/>
  <c r="AZ938" i="4" s="1"/>
  <c r="BK942" i="4"/>
  <c r="BA942" i="4"/>
  <c r="BG942" i="4"/>
  <c r="BJ942" i="4" s="1"/>
  <c r="AY942" i="4"/>
  <c r="BE944" i="4"/>
  <c r="BF944" i="4"/>
  <c r="BK945" i="4"/>
  <c r="BK946" i="4"/>
  <c r="BA946" i="4"/>
  <c r="BH946" i="4"/>
  <c r="BD946" i="4"/>
  <c r="BG946" i="4"/>
  <c r="BJ946" i="4" s="1"/>
  <c r="AY946" i="4"/>
  <c r="AZ946" i="4" s="1"/>
  <c r="BE948" i="4"/>
  <c r="BF948" i="4"/>
  <c r="BK949" i="4"/>
  <c r="BK950" i="4"/>
  <c r="BA950" i="4"/>
  <c r="BH950" i="4"/>
  <c r="BD950" i="4"/>
  <c r="BG950" i="4"/>
  <c r="BJ950" i="4" s="1"/>
  <c r="AY950" i="4"/>
  <c r="AZ950" i="4" s="1"/>
  <c r="BE952" i="4"/>
  <c r="BF952" i="4"/>
  <c r="BK953" i="4"/>
  <c r="BK954" i="4"/>
  <c r="BA954" i="4"/>
  <c r="BH954" i="4"/>
  <c r="BD954" i="4"/>
  <c r="BG954" i="4"/>
  <c r="BJ954" i="4" s="1"/>
  <c r="AY954" i="4"/>
  <c r="AZ954" i="4" s="1"/>
  <c r="AZ945" i="4"/>
  <c r="BJ947" i="4"/>
  <c r="BK948" i="4"/>
  <c r="BA948" i="4"/>
  <c r="BG948" i="4"/>
  <c r="BJ948" i="4" s="1"/>
  <c r="AY948" i="4"/>
  <c r="AZ948" i="4" s="1"/>
  <c r="AZ949" i="4"/>
  <c r="BJ951" i="4"/>
  <c r="BK952" i="4"/>
  <c r="BA952" i="4"/>
  <c r="BG952" i="4"/>
  <c r="BJ952" i="4" s="1"/>
  <c r="AY952" i="4"/>
  <c r="AZ952" i="4" s="1"/>
  <c r="AZ953" i="4"/>
  <c r="BC955" i="4"/>
  <c r="BJ955" i="4"/>
  <c r="BK956" i="4"/>
  <c r="BA956" i="4"/>
  <c r="BG956" i="4"/>
  <c r="BJ956" i="4" s="1"/>
  <c r="AY956" i="4"/>
  <c r="AZ956" i="4" s="1"/>
  <c r="BF956" i="4"/>
  <c r="AZ957" i="4"/>
  <c r="BI957" i="4"/>
  <c r="BD958" i="4"/>
  <c r="BC959" i="4"/>
  <c r="BJ959" i="4"/>
  <c r="BK960" i="4"/>
  <c r="BA960" i="4"/>
  <c r="BG960" i="4"/>
  <c r="BJ960" i="4" s="1"/>
  <c r="AY960" i="4"/>
  <c r="AZ960" i="4" s="1"/>
  <c r="BF960" i="4"/>
  <c r="AZ961" i="4"/>
  <c r="BI961" i="4"/>
  <c r="BD962" i="4"/>
  <c r="BC963" i="4"/>
  <c r="BJ963" i="4"/>
  <c r="BK964" i="4"/>
  <c r="BA964" i="4"/>
  <c r="BG964" i="4"/>
  <c r="BJ964" i="4" s="1"/>
  <c r="AY964" i="4"/>
  <c r="AZ964" i="4" s="1"/>
  <c r="BF964" i="4"/>
  <c r="AZ965" i="4"/>
  <c r="BI965" i="4"/>
  <c r="BD966" i="4"/>
  <c r="BC967" i="4"/>
  <c r="BJ967" i="4"/>
  <c r="BK968" i="4"/>
  <c r="BA968" i="4"/>
  <c r="BG968" i="4"/>
  <c r="BJ968" i="4" s="1"/>
  <c r="AY968" i="4"/>
  <c r="AZ968" i="4" s="1"/>
  <c r="BF968" i="4"/>
  <c r="AZ969" i="4"/>
  <c r="BI969" i="4"/>
  <c r="BD970" i="4"/>
  <c r="BK971" i="4"/>
  <c r="BI971" i="4"/>
  <c r="BC971" i="4"/>
  <c r="BJ957" i="4"/>
  <c r="BK958" i="4"/>
  <c r="BA958" i="4"/>
  <c r="BG958" i="4"/>
  <c r="BJ958" i="4" s="1"/>
  <c r="AY958" i="4"/>
  <c r="AZ958" i="4" s="1"/>
  <c r="BJ961" i="4"/>
  <c r="BK962" i="4"/>
  <c r="BA962" i="4"/>
  <c r="BG962" i="4"/>
  <c r="BJ962" i="4" s="1"/>
  <c r="AY962" i="4"/>
  <c r="AZ962" i="4" s="1"/>
  <c r="BJ965" i="4"/>
  <c r="BK966" i="4"/>
  <c r="BA966" i="4"/>
  <c r="BG966" i="4"/>
  <c r="BJ966" i="4" s="1"/>
  <c r="AY966" i="4"/>
  <c r="AZ966" i="4" s="1"/>
  <c r="BJ969" i="4"/>
  <c r="BK970" i="4"/>
  <c r="BA970" i="4"/>
  <c r="BG970" i="4"/>
  <c r="BJ970" i="4" s="1"/>
  <c r="AY970" i="4"/>
  <c r="AZ970" i="4" s="1"/>
  <c r="BJ971" i="4"/>
  <c r="AZ972" i="4"/>
  <c r="BD972" i="4"/>
  <c r="BH972" i="4"/>
  <c r="BJ972" i="4" s="1"/>
  <c r="BJ975" i="4"/>
  <c r="BK975" i="4"/>
  <c r="BK976" i="4"/>
  <c r="BA976" i="4"/>
  <c r="BG976" i="4"/>
  <c r="AY976" i="4"/>
  <c r="AZ976" i="4" s="1"/>
  <c r="BJ979" i="4"/>
  <c r="BK979" i="4"/>
  <c r="BK980" i="4"/>
  <c r="BA980" i="4"/>
  <c r="BG980" i="4"/>
  <c r="AY980" i="4"/>
  <c r="AZ980" i="4" s="1"/>
  <c r="BJ983" i="4"/>
  <c r="BK983" i="4"/>
  <c r="BK984" i="4"/>
  <c r="BA984" i="4"/>
  <c r="BG984" i="4"/>
  <c r="AY984" i="4"/>
  <c r="AZ984" i="4" s="1"/>
  <c r="BJ987" i="4"/>
  <c r="BK987" i="4"/>
  <c r="BK988" i="4"/>
  <c r="BA988" i="4"/>
  <c r="BG988" i="4"/>
  <c r="AY988" i="4"/>
  <c r="AZ988" i="4" s="1"/>
  <c r="BJ991" i="4"/>
  <c r="BK991" i="4"/>
  <c r="BK992" i="4"/>
  <c r="BA992" i="4"/>
  <c r="BG992" i="4"/>
  <c r="AY992" i="4"/>
  <c r="AZ992" i="4" s="1"/>
  <c r="BE993" i="4"/>
  <c r="BF993" i="4"/>
  <c r="BK994" i="4"/>
  <c r="BK995" i="4"/>
  <c r="BA995" i="4"/>
  <c r="BH995" i="4"/>
  <c r="BD995" i="4"/>
  <c r="BG995" i="4"/>
  <c r="BJ995" i="4" s="1"/>
  <c r="AY995" i="4"/>
  <c r="AZ995" i="4"/>
  <c r="BE997" i="4"/>
  <c r="BF997" i="4"/>
  <c r="BK998" i="4"/>
  <c r="BK999" i="4"/>
  <c r="BA999" i="4"/>
  <c r="BH999" i="4"/>
  <c r="BD999" i="4"/>
  <c r="BG999" i="4"/>
  <c r="BJ999" i="4" s="1"/>
  <c r="AY999" i="4"/>
  <c r="AZ999" i="4"/>
  <c r="BE1001" i="4"/>
  <c r="BF1001" i="4"/>
  <c r="BK1002" i="4"/>
  <c r="BK1003" i="4"/>
  <c r="BA1003" i="4"/>
  <c r="BH1003" i="4"/>
  <c r="BD1003" i="4"/>
  <c r="BG1003" i="4"/>
  <c r="BJ1003" i="4" s="1"/>
  <c r="AY1003" i="4"/>
  <c r="AZ1003" i="4"/>
  <c r="BE1005" i="4"/>
  <c r="BF1005" i="4"/>
  <c r="BD933" i="4"/>
  <c r="BD935" i="4"/>
  <c r="BD937" i="4"/>
  <c r="BD939" i="4"/>
  <c r="BD941" i="4"/>
  <c r="BD943" i="4"/>
  <c r="BD945" i="4"/>
  <c r="BD947" i="4"/>
  <c r="BD949" i="4"/>
  <c r="BD951" i="4"/>
  <c r="BD953" i="4"/>
  <c r="BD955" i="4"/>
  <c r="BD957" i="4"/>
  <c r="BD959" i="4"/>
  <c r="BD961" i="4"/>
  <c r="BD963" i="4"/>
  <c r="BD965" i="4"/>
  <c r="BD967" i="4"/>
  <c r="BD969" i="4"/>
  <c r="BD971" i="4"/>
  <c r="AY972" i="4"/>
  <c r="BA972" i="4"/>
  <c r="BH973" i="4"/>
  <c r="BJ973" i="4" s="1"/>
  <c r="BD973" i="4"/>
  <c r="BC973" i="4"/>
  <c r="BK973" i="4"/>
  <c r="BK974" i="4"/>
  <c r="BA974" i="4"/>
  <c r="BG974" i="4"/>
  <c r="BJ974" i="4" s="1"/>
  <c r="AY974" i="4"/>
  <c r="AZ974" i="4" s="1"/>
  <c r="BF974" i="4"/>
  <c r="AZ975" i="4"/>
  <c r="BD976" i="4"/>
  <c r="BH976" i="4"/>
  <c r="BC977" i="4"/>
  <c r="BJ977" i="4"/>
  <c r="BK978" i="4"/>
  <c r="BA978" i="4"/>
  <c r="BG978" i="4"/>
  <c r="BJ978" i="4" s="1"/>
  <c r="AY978" i="4"/>
  <c r="AZ978" i="4" s="1"/>
  <c r="BF978" i="4"/>
  <c r="AZ979" i="4"/>
  <c r="BD980" i="4"/>
  <c r="BH980" i="4"/>
  <c r="BC981" i="4"/>
  <c r="BJ981" i="4"/>
  <c r="BK982" i="4"/>
  <c r="BA982" i="4"/>
  <c r="BG982" i="4"/>
  <c r="BJ982" i="4" s="1"/>
  <c r="AY982" i="4"/>
  <c r="AZ982" i="4" s="1"/>
  <c r="BF982" i="4"/>
  <c r="AZ983" i="4"/>
  <c r="BD984" i="4"/>
  <c r="BH984" i="4"/>
  <c r="BC985" i="4"/>
  <c r="BJ985" i="4"/>
  <c r="BK986" i="4"/>
  <c r="BA986" i="4"/>
  <c r="BG986" i="4"/>
  <c r="BJ986" i="4" s="1"/>
  <c r="AY986" i="4"/>
  <c r="AZ986" i="4" s="1"/>
  <c r="BF986" i="4"/>
  <c r="AZ987" i="4"/>
  <c r="BD988" i="4"/>
  <c r="BH988" i="4"/>
  <c r="BC989" i="4"/>
  <c r="BJ989" i="4"/>
  <c r="BK990" i="4"/>
  <c r="BA990" i="4"/>
  <c r="BG990" i="4"/>
  <c r="BJ990" i="4" s="1"/>
  <c r="AY990" i="4"/>
  <c r="AZ990" i="4" s="1"/>
  <c r="BF990" i="4"/>
  <c r="AZ991" i="4"/>
  <c r="BD992" i="4"/>
  <c r="BH992" i="4"/>
  <c r="BJ994" i="4"/>
  <c r="BB996" i="4"/>
  <c r="BC996" i="4"/>
  <c r="BJ998" i="4"/>
  <c r="BB1000" i="4"/>
  <c r="BC1000" i="4"/>
  <c r="BJ1002" i="4"/>
  <c r="BB1004" i="4"/>
  <c r="BC1004" i="4"/>
  <c r="BD975" i="4"/>
  <c r="BD977" i="4"/>
  <c r="BD979" i="4"/>
  <c r="BD981" i="4"/>
  <c r="BD983" i="4"/>
  <c r="BD985" i="4"/>
  <c r="BD987" i="4"/>
  <c r="BD989" i="4"/>
  <c r="BD991" i="4"/>
  <c r="BK993" i="4"/>
  <c r="BA993" i="4"/>
  <c r="BG993" i="4"/>
  <c r="BJ993" i="4" s="1"/>
  <c r="AY993" i="4"/>
  <c r="AZ993" i="4" s="1"/>
  <c r="AZ994" i="4"/>
  <c r="BJ996" i="4"/>
  <c r="BK997" i="4"/>
  <c r="BA997" i="4"/>
  <c r="BG997" i="4"/>
  <c r="BJ997" i="4" s="1"/>
  <c r="AY997" i="4"/>
  <c r="AZ997" i="4" s="1"/>
  <c r="AZ998" i="4"/>
  <c r="BJ1000" i="4"/>
  <c r="BK1001" i="4"/>
  <c r="BA1001" i="4"/>
  <c r="BG1001" i="4"/>
  <c r="BJ1001" i="4" s="1"/>
  <c r="AY1001" i="4"/>
  <c r="AZ1001" i="4" s="1"/>
  <c r="AZ1002" i="4"/>
  <c r="BJ1004" i="4"/>
  <c r="BK1005" i="4"/>
  <c r="BA1005" i="4"/>
  <c r="BG1005" i="4"/>
  <c r="BJ1005" i="4" s="1"/>
  <c r="AY1005" i="4"/>
  <c r="AZ1005" i="4" s="1"/>
  <c r="BD994" i="4"/>
  <c r="BD996" i="4"/>
  <c r="BD998" i="4"/>
  <c r="BD1000" i="4"/>
  <c r="BD1002" i="4"/>
  <c r="BD1004" i="4"/>
  <c r="BL417" i="26"/>
  <c r="BL418" i="26"/>
  <c r="BB418" i="26"/>
  <c r="BI418" i="26"/>
  <c r="BE418" i="26"/>
  <c r="BH418" i="26"/>
  <c r="BK418" i="26" s="1"/>
  <c r="AZ418" i="26"/>
  <c r="BA418" i="26" s="1"/>
  <c r="BF420" i="26"/>
  <c r="BG420" i="26"/>
  <c r="BL421" i="26"/>
  <c r="BL422" i="26"/>
  <c r="BB422" i="26"/>
  <c r="BI422" i="26"/>
  <c r="BE422" i="26"/>
  <c r="BH422" i="26"/>
  <c r="BK422" i="26" s="1"/>
  <c r="AZ422" i="26"/>
  <c r="BA422" i="26" s="1"/>
  <c r="BF424" i="26"/>
  <c r="BG424" i="26"/>
  <c r="BL425" i="26"/>
  <c r="BL426" i="26"/>
  <c r="BB426" i="26"/>
  <c r="BI426" i="26"/>
  <c r="BE426" i="26"/>
  <c r="BH426" i="26"/>
  <c r="BK426" i="26" s="1"/>
  <c r="AZ426" i="26"/>
  <c r="BA426" i="26" s="1"/>
  <c r="BF428" i="26"/>
  <c r="BG428" i="26"/>
  <c r="BL429" i="26"/>
  <c r="BL430" i="26"/>
  <c r="BB430" i="26"/>
  <c r="BI430" i="26"/>
  <c r="BE430" i="26"/>
  <c r="BH430" i="26"/>
  <c r="BK430" i="26" s="1"/>
  <c r="AZ430" i="26"/>
  <c r="BA430" i="26" s="1"/>
  <c r="BF432" i="26"/>
  <c r="BG432" i="26"/>
  <c r="BL433" i="26"/>
  <c r="BL434" i="26"/>
  <c r="BB434" i="26"/>
  <c r="BI434" i="26"/>
  <c r="BE434" i="26"/>
  <c r="BH434" i="26"/>
  <c r="BK434" i="26" s="1"/>
  <c r="AZ434" i="26"/>
  <c r="BA434" i="26" s="1"/>
  <c r="BF436" i="26"/>
  <c r="BG436" i="26"/>
  <c r="BL437" i="26"/>
  <c r="BL438" i="26"/>
  <c r="BB438" i="26"/>
  <c r="BI438" i="26"/>
  <c r="BE438" i="26"/>
  <c r="BH438" i="26"/>
  <c r="BK438" i="26" s="1"/>
  <c r="AZ438" i="26"/>
  <c r="BA438" i="26" s="1"/>
  <c r="BF440" i="26"/>
  <c r="BG440" i="26"/>
  <c r="BL441" i="26"/>
  <c r="BL442" i="26"/>
  <c r="BB442" i="26"/>
  <c r="BI442" i="26"/>
  <c r="BE442" i="26"/>
  <c r="BH442" i="26"/>
  <c r="BK442" i="26" s="1"/>
  <c r="AZ442" i="26"/>
  <c r="BA442" i="26" s="1"/>
  <c r="BF444" i="26"/>
  <c r="BG444" i="26"/>
  <c r="BL445" i="26"/>
  <c r="BL446" i="26"/>
  <c r="BB446" i="26"/>
  <c r="BI446" i="26"/>
  <c r="BE446" i="26"/>
  <c r="BH446" i="26"/>
  <c r="BK446" i="26" s="1"/>
  <c r="AZ446" i="26"/>
  <c r="BA446" i="26" s="1"/>
  <c r="BF448" i="26"/>
  <c r="BG448" i="26"/>
  <c r="BL449" i="26"/>
  <c r="BL450" i="26"/>
  <c r="BB450" i="26"/>
  <c r="BI450" i="26"/>
  <c r="BE450" i="26"/>
  <c r="BH450" i="26"/>
  <c r="BK450" i="26" s="1"/>
  <c r="AZ450" i="26"/>
  <c r="BA450" i="26" s="1"/>
  <c r="BF452" i="26"/>
  <c r="BG452" i="26"/>
  <c r="BL453" i="26"/>
  <c r="BL454" i="26"/>
  <c r="BB454" i="26"/>
  <c r="BI454" i="26"/>
  <c r="BE454" i="26"/>
  <c r="BH454" i="26"/>
  <c r="BK454" i="26" s="1"/>
  <c r="AZ454" i="26"/>
  <c r="BA454" i="26" s="1"/>
  <c r="BF456" i="26"/>
  <c r="BG456" i="26"/>
  <c r="BL457" i="26"/>
  <c r="BL458" i="26"/>
  <c r="BB458" i="26"/>
  <c r="BI458" i="26"/>
  <c r="BE458" i="26"/>
  <c r="BH458" i="26"/>
  <c r="BK458" i="26" s="1"/>
  <c r="AZ458" i="26"/>
  <c r="BA458" i="26" s="1"/>
  <c r="BF460" i="26"/>
  <c r="BG460" i="26"/>
  <c r="BL461" i="26"/>
  <c r="BL462" i="26"/>
  <c r="BB462" i="26"/>
  <c r="BI462" i="26"/>
  <c r="BE462" i="26"/>
  <c r="BH462" i="26"/>
  <c r="BK462" i="26" s="1"/>
  <c r="AZ462" i="26"/>
  <c r="BA462" i="26" s="1"/>
  <c r="BF464" i="26"/>
  <c r="BG464" i="26"/>
  <c r="BL465" i="26"/>
  <c r="BL466" i="26"/>
  <c r="BB466" i="26"/>
  <c r="BI466" i="26"/>
  <c r="BE466" i="26"/>
  <c r="BH466" i="26"/>
  <c r="BK466" i="26" s="1"/>
  <c r="AZ466" i="26"/>
  <c r="BA466" i="26" s="1"/>
  <c r="BF468" i="26"/>
  <c r="BG468" i="26"/>
  <c r="BL469" i="26"/>
  <c r="BL470" i="26"/>
  <c r="BB470" i="26"/>
  <c r="BI470" i="26"/>
  <c r="BE470" i="26"/>
  <c r="BH470" i="26"/>
  <c r="BK470" i="26" s="1"/>
  <c r="AZ470" i="26"/>
  <c r="BA470" i="26" s="1"/>
  <c r="BF472" i="26"/>
  <c r="BG472" i="26"/>
  <c r="BL473" i="26"/>
  <c r="BL474" i="26"/>
  <c r="BB474" i="26"/>
  <c r="BI474" i="26"/>
  <c r="BE474" i="26"/>
  <c r="BH474" i="26"/>
  <c r="BK474" i="26" s="1"/>
  <c r="AZ474" i="26"/>
  <c r="BA474" i="26" s="1"/>
  <c r="BF476" i="26"/>
  <c r="BG476" i="26"/>
  <c r="BL477" i="26"/>
  <c r="BL478" i="26"/>
  <c r="BB478" i="26"/>
  <c r="BI478" i="26"/>
  <c r="BE478" i="26"/>
  <c r="BH478" i="26"/>
  <c r="BK478" i="26" s="1"/>
  <c r="AZ478" i="26"/>
  <c r="BA478" i="26" s="1"/>
  <c r="BF480" i="26"/>
  <c r="BG480" i="26"/>
  <c r="BL481" i="26"/>
  <c r="BL482" i="26"/>
  <c r="BB482" i="26"/>
  <c r="BI482" i="26"/>
  <c r="BE482" i="26"/>
  <c r="BH482" i="26"/>
  <c r="BK482" i="26" s="1"/>
  <c r="AZ482" i="26"/>
  <c r="BA482" i="26" s="1"/>
  <c r="BF484" i="26"/>
  <c r="BG484" i="26"/>
  <c r="BL485" i="26"/>
  <c r="BL486" i="26"/>
  <c r="BB486" i="26"/>
  <c r="BI486" i="26"/>
  <c r="BE486" i="26"/>
  <c r="BH486" i="26"/>
  <c r="BK486" i="26" s="1"/>
  <c r="AZ486" i="26"/>
  <c r="BA486" i="26" s="1"/>
  <c r="BF488" i="26"/>
  <c r="BG488" i="26"/>
  <c r="BL489" i="26"/>
  <c r="BL490" i="26"/>
  <c r="BB490" i="26"/>
  <c r="BI490" i="26"/>
  <c r="BE490" i="26"/>
  <c r="BH490" i="26"/>
  <c r="BK490" i="26" s="1"/>
  <c r="AZ490" i="26"/>
  <c r="BA490" i="26" s="1"/>
  <c r="BF492" i="26"/>
  <c r="BG492" i="26"/>
  <c r="BL493" i="26"/>
  <c r="BL494" i="26"/>
  <c r="BB494" i="26"/>
  <c r="BI494" i="26"/>
  <c r="BE494" i="26"/>
  <c r="BH494" i="26"/>
  <c r="BK494" i="26" s="1"/>
  <c r="AZ494" i="26"/>
  <c r="BA494" i="26" s="1"/>
  <c r="BF496" i="26"/>
  <c r="BG496" i="26"/>
  <c r="BL497" i="26"/>
  <c r="BL498" i="26"/>
  <c r="BB498" i="26"/>
  <c r="BI498" i="26"/>
  <c r="BE498" i="26"/>
  <c r="BH498" i="26"/>
  <c r="BK498" i="26" s="1"/>
  <c r="AZ498" i="26"/>
  <c r="BA498" i="26" s="1"/>
  <c r="BF500" i="26"/>
  <c r="BG500" i="26"/>
  <c r="BL501" i="26"/>
  <c r="BL502" i="26"/>
  <c r="BB502" i="26"/>
  <c r="BI502" i="26"/>
  <c r="BE502" i="26"/>
  <c r="BH502" i="26"/>
  <c r="BK502" i="26" s="1"/>
  <c r="AZ502" i="26"/>
  <c r="BA502" i="26" s="1"/>
  <c r="BF504" i="26"/>
  <c r="BG504" i="26"/>
  <c r="BL505" i="26"/>
  <c r="BL506" i="26"/>
  <c r="BB506" i="26"/>
  <c r="BI506" i="26"/>
  <c r="BE506" i="26"/>
  <c r="BH506" i="26"/>
  <c r="BK506" i="26" s="1"/>
  <c r="AZ506" i="26"/>
  <c r="BA506" i="26" s="1"/>
  <c r="BF508" i="26"/>
  <c r="BG508" i="26"/>
  <c r="BL509" i="26"/>
  <c r="BL510" i="26"/>
  <c r="BB510" i="26"/>
  <c r="BI510" i="26"/>
  <c r="BE510" i="26"/>
  <c r="BH510" i="26"/>
  <c r="BK510" i="26" s="1"/>
  <c r="AZ510" i="26"/>
  <c r="BA510" i="26" s="1"/>
  <c r="BF512" i="26"/>
  <c r="BG512" i="26"/>
  <c r="BL513" i="26"/>
  <c r="BL514" i="26"/>
  <c r="BB514" i="26"/>
  <c r="BI514" i="26"/>
  <c r="BE514" i="26"/>
  <c r="BH514" i="26"/>
  <c r="BK514" i="26" s="1"/>
  <c r="AZ514" i="26"/>
  <c r="BA514" i="26" s="1"/>
  <c r="BF516" i="26"/>
  <c r="BG516" i="26"/>
  <c r="BL517" i="26"/>
  <c r="BL518" i="26"/>
  <c r="BB518" i="26"/>
  <c r="BI518" i="26"/>
  <c r="BE518" i="26"/>
  <c r="BH518" i="26"/>
  <c r="BK518" i="26" s="1"/>
  <c r="AZ518" i="26"/>
  <c r="BA518" i="26" s="1"/>
  <c r="BF520" i="26"/>
  <c r="BG520" i="26"/>
  <c r="BL521" i="26"/>
  <c r="BL522" i="26"/>
  <c r="BB522" i="26"/>
  <c r="BI522" i="26"/>
  <c r="BE522" i="26"/>
  <c r="BH522" i="26"/>
  <c r="BK522" i="26" s="1"/>
  <c r="AZ522" i="26"/>
  <c r="BA522" i="26" s="1"/>
  <c r="BF524" i="26"/>
  <c r="BG524" i="26"/>
  <c r="BL525" i="26"/>
  <c r="BL526" i="26"/>
  <c r="BB526" i="26"/>
  <c r="BI526" i="26"/>
  <c r="BE526" i="26"/>
  <c r="BH526" i="26"/>
  <c r="BK526" i="26" s="1"/>
  <c r="AZ526" i="26"/>
  <c r="BA526" i="26" s="1"/>
  <c r="BF528" i="26"/>
  <c r="BG528" i="26"/>
  <c r="BL529" i="26"/>
  <c r="BL530" i="26"/>
  <c r="BB530" i="26"/>
  <c r="BI530" i="26"/>
  <c r="BE530" i="26"/>
  <c r="BH530" i="26"/>
  <c r="BK530" i="26" s="1"/>
  <c r="AZ530" i="26"/>
  <c r="BA530" i="26" s="1"/>
  <c r="BF532" i="26"/>
  <c r="BG532" i="26"/>
  <c r="BL533" i="26"/>
  <c r="BL534" i="26"/>
  <c r="BB534" i="26"/>
  <c r="BI534" i="26"/>
  <c r="BE534" i="26"/>
  <c r="BH534" i="26"/>
  <c r="BK534" i="26" s="1"/>
  <c r="AZ534" i="26"/>
  <c r="BA534" i="26" s="1"/>
  <c r="BF536" i="26"/>
  <c r="BG536" i="26"/>
  <c r="BL537" i="26"/>
  <c r="BL538" i="26"/>
  <c r="BB538" i="26"/>
  <c r="BI538" i="26"/>
  <c r="BE538" i="26"/>
  <c r="BH538" i="26"/>
  <c r="BK538" i="26" s="1"/>
  <c r="AZ538" i="26"/>
  <c r="BA538" i="26" s="1"/>
  <c r="BF540" i="26"/>
  <c r="BG540" i="26"/>
  <c r="BL541" i="26"/>
  <c r="BL542" i="26"/>
  <c r="BB542" i="26"/>
  <c r="BI542" i="26"/>
  <c r="BE542" i="26"/>
  <c r="BH542" i="26"/>
  <c r="BK542" i="26" s="1"/>
  <c r="AZ542" i="26"/>
  <c r="BA542" i="26" s="1"/>
  <c r="BF544" i="26"/>
  <c r="BG544" i="26"/>
  <c r="BL545" i="26"/>
  <c r="BL546" i="26"/>
  <c r="BB546" i="26"/>
  <c r="BI546" i="26"/>
  <c r="BE546" i="26"/>
  <c r="BH546" i="26"/>
  <c r="BK546" i="26" s="1"/>
  <c r="AZ546" i="26"/>
  <c r="BA546" i="26" s="1"/>
  <c r="BF548" i="26"/>
  <c r="BG548" i="26"/>
  <c r="BL549" i="26"/>
  <c r="BL550" i="26"/>
  <c r="BB550" i="26"/>
  <c r="BI550" i="26"/>
  <c r="BE550" i="26"/>
  <c r="BH550" i="26"/>
  <c r="BK550" i="26" s="1"/>
  <c r="AZ550" i="26"/>
  <c r="BA550" i="26" s="1"/>
  <c r="BK555" i="26"/>
  <c r="BK559" i="26"/>
  <c r="BK563" i="26"/>
  <c r="BK567" i="26"/>
  <c r="BK571" i="26"/>
  <c r="BK575" i="26"/>
  <c r="BK579" i="26"/>
  <c r="BK583" i="26"/>
  <c r="BK417" i="26"/>
  <c r="BC419" i="26"/>
  <c r="BD419" i="26"/>
  <c r="BK421" i="26"/>
  <c r="BC423" i="26"/>
  <c r="BD423" i="26"/>
  <c r="BK425" i="26"/>
  <c r="BC427" i="26"/>
  <c r="BD427" i="26"/>
  <c r="BK429" i="26"/>
  <c r="BC431" i="26"/>
  <c r="BD431" i="26"/>
  <c r="BK433" i="26"/>
  <c r="BC435" i="26"/>
  <c r="BD435" i="26"/>
  <c r="BK437" i="26"/>
  <c r="BC439" i="26"/>
  <c r="BD439" i="26"/>
  <c r="BK441" i="26"/>
  <c r="BC443" i="26"/>
  <c r="BD443" i="26"/>
  <c r="BK445" i="26"/>
  <c r="BC447" i="26"/>
  <c r="BD447" i="26"/>
  <c r="BK449" i="26"/>
  <c r="BC451" i="26"/>
  <c r="BD451" i="26"/>
  <c r="BK453" i="26"/>
  <c r="BC455" i="26"/>
  <c r="BD455" i="26"/>
  <c r="BK457" i="26"/>
  <c r="BC459" i="26"/>
  <c r="BD459" i="26"/>
  <c r="BK461" i="26"/>
  <c r="BC463" i="26"/>
  <c r="BD463" i="26"/>
  <c r="BK465" i="26"/>
  <c r="BC467" i="26"/>
  <c r="BD467" i="26"/>
  <c r="BK469" i="26"/>
  <c r="BC471" i="26"/>
  <c r="BD471" i="26"/>
  <c r="BK473" i="26"/>
  <c r="BC475" i="26"/>
  <c r="BD475" i="26"/>
  <c r="BK477" i="26"/>
  <c r="BC479" i="26"/>
  <c r="BD479" i="26"/>
  <c r="BK481" i="26"/>
  <c r="BC483" i="26"/>
  <c r="BD483" i="26"/>
  <c r="BK485" i="26"/>
  <c r="BC487" i="26"/>
  <c r="BD487" i="26"/>
  <c r="BK489" i="26"/>
  <c r="BC491" i="26"/>
  <c r="BD491" i="26"/>
  <c r="BK493" i="26"/>
  <c r="BC495" i="26"/>
  <c r="BD495" i="26"/>
  <c r="BK497" i="26"/>
  <c r="BC499" i="26"/>
  <c r="BD499" i="26"/>
  <c r="BK501" i="26"/>
  <c r="BC503" i="26"/>
  <c r="BD503" i="26"/>
  <c r="BK505" i="26"/>
  <c r="BC507" i="26"/>
  <c r="BD507" i="26"/>
  <c r="BK509" i="26"/>
  <c r="BC511" i="26"/>
  <c r="BD511" i="26"/>
  <c r="BK513" i="26"/>
  <c r="BC515" i="26"/>
  <c r="BD515" i="26"/>
  <c r="BK517" i="26"/>
  <c r="BC519" i="26"/>
  <c r="BD519" i="26"/>
  <c r="BK521" i="26"/>
  <c r="BC523" i="26"/>
  <c r="BD523" i="26"/>
  <c r="BK525" i="26"/>
  <c r="BC527" i="26"/>
  <c r="BD527" i="26"/>
  <c r="BK529" i="26"/>
  <c r="BC531" i="26"/>
  <c r="BD531" i="26"/>
  <c r="BK533" i="26"/>
  <c r="BC535" i="26"/>
  <c r="BD535" i="26"/>
  <c r="BK537" i="26"/>
  <c r="BC539" i="26"/>
  <c r="BD539" i="26"/>
  <c r="BK541" i="26"/>
  <c r="BC543" i="26"/>
  <c r="BD543" i="26"/>
  <c r="BK545" i="26"/>
  <c r="BC547" i="26"/>
  <c r="BD547" i="26"/>
  <c r="BK549" i="26"/>
  <c r="BC551" i="26"/>
  <c r="BD551" i="26"/>
  <c r="BA417" i="26"/>
  <c r="BK419" i="26"/>
  <c r="BL420" i="26"/>
  <c r="BB420" i="26"/>
  <c r="BH420" i="26"/>
  <c r="BK420" i="26" s="1"/>
  <c r="AZ420" i="26"/>
  <c r="BA420" i="26" s="1"/>
  <c r="BA421" i="26"/>
  <c r="BK423" i="26"/>
  <c r="BL424" i="26"/>
  <c r="BB424" i="26"/>
  <c r="BH424" i="26"/>
  <c r="BK424" i="26" s="1"/>
  <c r="AZ424" i="26"/>
  <c r="BA424" i="26" s="1"/>
  <c r="BA425" i="26"/>
  <c r="BK427" i="26"/>
  <c r="BL428" i="26"/>
  <c r="BB428" i="26"/>
  <c r="BH428" i="26"/>
  <c r="BK428" i="26" s="1"/>
  <c r="AZ428" i="26"/>
  <c r="BA428" i="26" s="1"/>
  <c r="BA429" i="26"/>
  <c r="BK431" i="26"/>
  <c r="BL432" i="26"/>
  <c r="BB432" i="26"/>
  <c r="BH432" i="26"/>
  <c r="BK432" i="26" s="1"/>
  <c r="AZ432" i="26"/>
  <c r="BA432" i="26" s="1"/>
  <c r="BA433" i="26"/>
  <c r="BK435" i="26"/>
  <c r="BL436" i="26"/>
  <c r="BB436" i="26"/>
  <c r="BH436" i="26"/>
  <c r="BK436" i="26" s="1"/>
  <c r="AZ436" i="26"/>
  <c r="BA436" i="26" s="1"/>
  <c r="BA437" i="26"/>
  <c r="BK439" i="26"/>
  <c r="BL440" i="26"/>
  <c r="BB440" i="26"/>
  <c r="BH440" i="26"/>
  <c r="BK440" i="26" s="1"/>
  <c r="AZ440" i="26"/>
  <c r="BA440" i="26" s="1"/>
  <c r="BA441" i="26"/>
  <c r="BK443" i="26"/>
  <c r="BL444" i="26"/>
  <c r="BB444" i="26"/>
  <c r="BH444" i="26"/>
  <c r="BK444" i="26" s="1"/>
  <c r="AZ444" i="26"/>
  <c r="BA444" i="26" s="1"/>
  <c r="BA445" i="26"/>
  <c r="BK447" i="26"/>
  <c r="BL448" i="26"/>
  <c r="BB448" i="26"/>
  <c r="BH448" i="26"/>
  <c r="BK448" i="26" s="1"/>
  <c r="AZ448" i="26"/>
  <c r="BA448" i="26" s="1"/>
  <c r="BA449" i="26"/>
  <c r="BK451" i="26"/>
  <c r="BL452" i="26"/>
  <c r="BB452" i="26"/>
  <c r="BH452" i="26"/>
  <c r="BK452" i="26" s="1"/>
  <c r="AZ452" i="26"/>
  <c r="BA452" i="26" s="1"/>
  <c r="BA453" i="26"/>
  <c r="BK455" i="26"/>
  <c r="BL456" i="26"/>
  <c r="BB456" i="26"/>
  <c r="BH456" i="26"/>
  <c r="BK456" i="26" s="1"/>
  <c r="AZ456" i="26"/>
  <c r="BA456" i="26" s="1"/>
  <c r="BA457" i="26"/>
  <c r="BK459" i="26"/>
  <c r="BL460" i="26"/>
  <c r="BB460" i="26"/>
  <c r="BH460" i="26"/>
  <c r="BK460" i="26" s="1"/>
  <c r="AZ460" i="26"/>
  <c r="BA460" i="26" s="1"/>
  <c r="BA461" i="26"/>
  <c r="BK463" i="26"/>
  <c r="BL464" i="26"/>
  <c r="BB464" i="26"/>
  <c r="BH464" i="26"/>
  <c r="BK464" i="26" s="1"/>
  <c r="AZ464" i="26"/>
  <c r="BA464" i="26" s="1"/>
  <c r="BA465" i="26"/>
  <c r="BK467" i="26"/>
  <c r="BL468" i="26"/>
  <c r="BB468" i="26"/>
  <c r="BH468" i="26"/>
  <c r="BK468" i="26" s="1"/>
  <c r="AZ468" i="26"/>
  <c r="BA468" i="26" s="1"/>
  <c r="BA469" i="26"/>
  <c r="BK471" i="26"/>
  <c r="BL472" i="26"/>
  <c r="BB472" i="26"/>
  <c r="BH472" i="26"/>
  <c r="BK472" i="26" s="1"/>
  <c r="AZ472" i="26"/>
  <c r="BA472" i="26" s="1"/>
  <c r="BA473" i="26"/>
  <c r="BK475" i="26"/>
  <c r="BL476" i="26"/>
  <c r="BB476" i="26"/>
  <c r="BH476" i="26"/>
  <c r="BK476" i="26" s="1"/>
  <c r="AZ476" i="26"/>
  <c r="BA476" i="26" s="1"/>
  <c r="BA477" i="26"/>
  <c r="BK479" i="26"/>
  <c r="BL480" i="26"/>
  <c r="BB480" i="26"/>
  <c r="BH480" i="26"/>
  <c r="BK480" i="26" s="1"/>
  <c r="AZ480" i="26"/>
  <c r="BA480" i="26" s="1"/>
  <c r="BA481" i="26"/>
  <c r="BK483" i="26"/>
  <c r="BL484" i="26"/>
  <c r="BB484" i="26"/>
  <c r="BH484" i="26"/>
  <c r="BK484" i="26" s="1"/>
  <c r="AZ484" i="26"/>
  <c r="BA484" i="26" s="1"/>
  <c r="BA485" i="26"/>
  <c r="BK487" i="26"/>
  <c r="BL488" i="26"/>
  <c r="BB488" i="26"/>
  <c r="BH488" i="26"/>
  <c r="BK488" i="26" s="1"/>
  <c r="AZ488" i="26"/>
  <c r="BA488" i="26" s="1"/>
  <c r="BA489" i="26"/>
  <c r="BK491" i="26"/>
  <c r="BL492" i="26"/>
  <c r="BB492" i="26"/>
  <c r="BH492" i="26"/>
  <c r="BK492" i="26" s="1"/>
  <c r="AZ492" i="26"/>
  <c r="BA492" i="26" s="1"/>
  <c r="BA493" i="26"/>
  <c r="BK495" i="26"/>
  <c r="BL496" i="26"/>
  <c r="BB496" i="26"/>
  <c r="BH496" i="26"/>
  <c r="BK496" i="26" s="1"/>
  <c r="AZ496" i="26"/>
  <c r="BA496" i="26" s="1"/>
  <c r="BA497" i="26"/>
  <c r="BK499" i="26"/>
  <c r="BL500" i="26"/>
  <c r="BB500" i="26"/>
  <c r="BH500" i="26"/>
  <c r="BK500" i="26" s="1"/>
  <c r="AZ500" i="26"/>
  <c r="BA500" i="26" s="1"/>
  <c r="BA501" i="26"/>
  <c r="BK503" i="26"/>
  <c r="BL504" i="26"/>
  <c r="BB504" i="26"/>
  <c r="BH504" i="26"/>
  <c r="BK504" i="26" s="1"/>
  <c r="AZ504" i="26"/>
  <c r="BA504" i="26" s="1"/>
  <c r="BA505" i="26"/>
  <c r="BK507" i="26"/>
  <c r="BL508" i="26"/>
  <c r="BB508" i="26"/>
  <c r="BH508" i="26"/>
  <c r="BK508" i="26" s="1"/>
  <c r="AZ508" i="26"/>
  <c r="BA508" i="26" s="1"/>
  <c r="BA509" i="26"/>
  <c r="BK511" i="26"/>
  <c r="BL512" i="26"/>
  <c r="BB512" i="26"/>
  <c r="BH512" i="26"/>
  <c r="BK512" i="26" s="1"/>
  <c r="AZ512" i="26"/>
  <c r="BA512" i="26" s="1"/>
  <c r="BA513" i="26"/>
  <c r="BK515" i="26"/>
  <c r="BL516" i="26"/>
  <c r="BB516" i="26"/>
  <c r="BH516" i="26"/>
  <c r="BK516" i="26" s="1"/>
  <c r="AZ516" i="26"/>
  <c r="BA516" i="26" s="1"/>
  <c r="BA517" i="26"/>
  <c r="BK519" i="26"/>
  <c r="BL520" i="26"/>
  <c r="BB520" i="26"/>
  <c r="BH520" i="26"/>
  <c r="BK520" i="26" s="1"/>
  <c r="AZ520" i="26"/>
  <c r="BA520" i="26" s="1"/>
  <c r="BA521" i="26"/>
  <c r="BK523" i="26"/>
  <c r="BL524" i="26"/>
  <c r="BB524" i="26"/>
  <c r="BH524" i="26"/>
  <c r="BK524" i="26" s="1"/>
  <c r="AZ524" i="26"/>
  <c r="BA524" i="26" s="1"/>
  <c r="BA525" i="26"/>
  <c r="BK527" i="26"/>
  <c r="BL528" i="26"/>
  <c r="BB528" i="26"/>
  <c r="BH528" i="26"/>
  <c r="BK528" i="26" s="1"/>
  <c r="AZ528" i="26"/>
  <c r="BA528" i="26" s="1"/>
  <c r="BA529" i="26"/>
  <c r="BK531" i="26"/>
  <c r="BL532" i="26"/>
  <c r="BB532" i="26"/>
  <c r="BH532" i="26"/>
  <c r="BK532" i="26" s="1"/>
  <c r="AZ532" i="26"/>
  <c r="BA532" i="26" s="1"/>
  <c r="BA533" i="26"/>
  <c r="BK535" i="26"/>
  <c r="BL536" i="26"/>
  <c r="BB536" i="26"/>
  <c r="BH536" i="26"/>
  <c r="BK536" i="26" s="1"/>
  <c r="AZ536" i="26"/>
  <c r="BA536" i="26" s="1"/>
  <c r="BA537" i="26"/>
  <c r="BK539" i="26"/>
  <c r="BL540" i="26"/>
  <c r="BB540" i="26"/>
  <c r="BH540" i="26"/>
  <c r="BK540" i="26" s="1"/>
  <c r="AZ540" i="26"/>
  <c r="BA540" i="26" s="1"/>
  <c r="BA541" i="26"/>
  <c r="BK543" i="26"/>
  <c r="BL544" i="26"/>
  <c r="BB544" i="26"/>
  <c r="BH544" i="26"/>
  <c r="BK544" i="26" s="1"/>
  <c r="AZ544" i="26"/>
  <c r="BA544" i="26" s="1"/>
  <c r="BA545" i="26"/>
  <c r="BK547" i="26"/>
  <c r="BL548" i="26"/>
  <c r="BB548" i="26"/>
  <c r="BH548" i="26"/>
  <c r="BK548" i="26" s="1"/>
  <c r="AZ548" i="26"/>
  <c r="BA548" i="26" s="1"/>
  <c r="BA549" i="26"/>
  <c r="BK551" i="26"/>
  <c r="BK553" i="26"/>
  <c r="BA553" i="26"/>
  <c r="BK557" i="26"/>
  <c r="BK561" i="26"/>
  <c r="BA561" i="26"/>
  <c r="BK565" i="26"/>
  <c r="BK569" i="26"/>
  <c r="BA569" i="26"/>
  <c r="BK573" i="26"/>
  <c r="BK577" i="26"/>
  <c r="BA577" i="26"/>
  <c r="BK581" i="26"/>
  <c r="BK585" i="26"/>
  <c r="BA585" i="26"/>
  <c r="BA592" i="26"/>
  <c r="BA600" i="26"/>
  <c r="BA608" i="26"/>
  <c r="BA616" i="26"/>
  <c r="BC552" i="26"/>
  <c r="BE552" i="26"/>
  <c r="AZ553" i="26"/>
  <c r="BB553" i="26"/>
  <c r="BL553" i="26"/>
  <c r="BC554" i="26"/>
  <c r="BE554" i="26"/>
  <c r="AZ555" i="26"/>
  <c r="BA555" i="26" s="1"/>
  <c r="BB555" i="26"/>
  <c r="BL555" i="26"/>
  <c r="BC556" i="26"/>
  <c r="BE556" i="26"/>
  <c r="AZ557" i="26"/>
  <c r="BA557" i="26" s="1"/>
  <c r="BB557" i="26"/>
  <c r="BL557" i="26"/>
  <c r="BC558" i="26"/>
  <c r="BE558" i="26"/>
  <c r="AZ559" i="26"/>
  <c r="BA559" i="26" s="1"/>
  <c r="BB559" i="26"/>
  <c r="BL559" i="26"/>
  <c r="BC560" i="26"/>
  <c r="BE560" i="26"/>
  <c r="AZ561" i="26"/>
  <c r="BB561" i="26"/>
  <c r="BL561" i="26"/>
  <c r="BC562" i="26"/>
  <c r="BE562" i="26"/>
  <c r="AZ563" i="26"/>
  <c r="BA563" i="26" s="1"/>
  <c r="BB563" i="26"/>
  <c r="BL563" i="26"/>
  <c r="BC564" i="26"/>
  <c r="BE564" i="26"/>
  <c r="AZ565" i="26"/>
  <c r="BA565" i="26" s="1"/>
  <c r="BB565" i="26"/>
  <c r="BL565" i="26"/>
  <c r="BC566" i="26"/>
  <c r="BE566" i="26"/>
  <c r="AZ567" i="26"/>
  <c r="BA567" i="26" s="1"/>
  <c r="BB567" i="26"/>
  <c r="BL567" i="26"/>
  <c r="BC568" i="26"/>
  <c r="BE568" i="26"/>
  <c r="AZ569" i="26"/>
  <c r="BB569" i="26"/>
  <c r="BL569" i="26"/>
  <c r="BC570" i="26"/>
  <c r="BE570" i="26"/>
  <c r="AZ571" i="26"/>
  <c r="BA571" i="26" s="1"/>
  <c r="BB571" i="26"/>
  <c r="BL571" i="26"/>
  <c r="BC572" i="26"/>
  <c r="BE572" i="26"/>
  <c r="AZ573" i="26"/>
  <c r="BA573" i="26" s="1"/>
  <c r="BB573" i="26"/>
  <c r="BL573" i="26"/>
  <c r="BC574" i="26"/>
  <c r="BE574" i="26"/>
  <c r="AZ575" i="26"/>
  <c r="BA575" i="26" s="1"/>
  <c r="BB575" i="26"/>
  <c r="BL575" i="26"/>
  <c r="BC576" i="26"/>
  <c r="BE576" i="26"/>
  <c r="AZ577" i="26"/>
  <c r="BB577" i="26"/>
  <c r="BL577" i="26"/>
  <c r="BC578" i="26"/>
  <c r="BE578" i="26"/>
  <c r="AZ579" i="26"/>
  <c r="BA579" i="26" s="1"/>
  <c r="BB579" i="26"/>
  <c r="BL579" i="26"/>
  <c r="BC580" i="26"/>
  <c r="BE580" i="26"/>
  <c r="AZ581" i="26"/>
  <c r="BA581" i="26" s="1"/>
  <c r="BB581" i="26"/>
  <c r="BL581" i="26"/>
  <c r="BC582" i="26"/>
  <c r="BE582" i="26"/>
  <c r="AZ583" i="26"/>
  <c r="BA583" i="26" s="1"/>
  <c r="BB583" i="26"/>
  <c r="BL583" i="26"/>
  <c r="BC584" i="26"/>
  <c r="BE584" i="26"/>
  <c r="AZ585" i="26"/>
  <c r="BB585" i="26"/>
  <c r="BL585" i="26"/>
  <c r="BL586" i="26"/>
  <c r="BB586" i="26"/>
  <c r="BH586" i="26"/>
  <c r="BK586" i="26" s="1"/>
  <c r="AZ586" i="26"/>
  <c r="BA586" i="26" s="1"/>
  <c r="BG586" i="26"/>
  <c r="BA587" i="26"/>
  <c r="BJ587" i="26"/>
  <c r="BE588" i="26"/>
  <c r="BD589" i="26"/>
  <c r="BK589" i="26"/>
  <c r="BL590" i="26"/>
  <c r="BB590" i="26"/>
  <c r="BH590" i="26"/>
  <c r="BK590" i="26" s="1"/>
  <c r="AZ590" i="26"/>
  <c r="BA590" i="26" s="1"/>
  <c r="BG590" i="26"/>
  <c r="BA591" i="26"/>
  <c r="BJ591" i="26"/>
  <c r="BK591" i="26" s="1"/>
  <c r="BE592" i="26"/>
  <c r="BD593" i="26"/>
  <c r="BK593" i="26"/>
  <c r="BL594" i="26"/>
  <c r="BB594" i="26"/>
  <c r="BH594" i="26"/>
  <c r="BK594" i="26" s="1"/>
  <c r="AZ594" i="26"/>
  <c r="BA594" i="26" s="1"/>
  <c r="BG594" i="26"/>
  <c r="BA595" i="26"/>
  <c r="BJ595" i="26"/>
  <c r="BE596" i="26"/>
  <c r="BD597" i="26"/>
  <c r="BK597" i="26"/>
  <c r="BL598" i="26"/>
  <c r="BB598" i="26"/>
  <c r="BH598" i="26"/>
  <c r="BK598" i="26" s="1"/>
  <c r="AZ598" i="26"/>
  <c r="BA598" i="26" s="1"/>
  <c r="BG598" i="26"/>
  <c r="BA599" i="26"/>
  <c r="BJ599" i="26"/>
  <c r="BK599" i="26" s="1"/>
  <c r="BE600" i="26"/>
  <c r="BD601" i="26"/>
  <c r="BK601" i="26"/>
  <c r="BL602" i="26"/>
  <c r="BB602" i="26"/>
  <c r="BH602" i="26"/>
  <c r="BK602" i="26" s="1"/>
  <c r="AZ602" i="26"/>
  <c r="BA602" i="26" s="1"/>
  <c r="BG602" i="26"/>
  <c r="BA603" i="26"/>
  <c r="BJ603" i="26"/>
  <c r="BE604" i="26"/>
  <c r="BD605" i="26"/>
  <c r="BK605" i="26"/>
  <c r="BL606" i="26"/>
  <c r="BB606" i="26"/>
  <c r="BH606" i="26"/>
  <c r="BK606" i="26" s="1"/>
  <c r="AZ606" i="26"/>
  <c r="BA606" i="26" s="1"/>
  <c r="BG606" i="26"/>
  <c r="BA607" i="26"/>
  <c r="BJ607" i="26"/>
  <c r="BK607" i="26" s="1"/>
  <c r="BE608" i="26"/>
  <c r="BD609" i="26"/>
  <c r="BK609" i="26"/>
  <c r="BL610" i="26"/>
  <c r="BB610" i="26"/>
  <c r="BH610" i="26"/>
  <c r="BK610" i="26" s="1"/>
  <c r="AZ610" i="26"/>
  <c r="BA610" i="26" s="1"/>
  <c r="BG610" i="26"/>
  <c r="BA611" i="26"/>
  <c r="BJ611" i="26"/>
  <c r="BE612" i="26"/>
  <c r="BD613" i="26"/>
  <c r="BK613" i="26"/>
  <c r="BL614" i="26"/>
  <c r="BB614" i="26"/>
  <c r="BH614" i="26"/>
  <c r="BK614" i="26" s="1"/>
  <c r="AZ614" i="26"/>
  <c r="BA614" i="26" s="1"/>
  <c r="BG614" i="26"/>
  <c r="BA615" i="26"/>
  <c r="BJ615" i="26"/>
  <c r="BK615" i="26" s="1"/>
  <c r="BE616" i="26"/>
  <c r="BL617" i="26"/>
  <c r="BJ617" i="26"/>
  <c r="BK617" i="26"/>
  <c r="BK618" i="26"/>
  <c r="BA618" i="26"/>
  <c r="BK622" i="26"/>
  <c r="BK626" i="26"/>
  <c r="BA626" i="26"/>
  <c r="BK630" i="26"/>
  <c r="BK634" i="26"/>
  <c r="BA634" i="26"/>
  <c r="BK638" i="26"/>
  <c r="BK642" i="26"/>
  <c r="BA642" i="26"/>
  <c r="BK646" i="26"/>
  <c r="BK650" i="26"/>
  <c r="BA650" i="26"/>
  <c r="BK654" i="26"/>
  <c r="BK658" i="26"/>
  <c r="BA658" i="26"/>
  <c r="BK662" i="26"/>
  <c r="BK666" i="26"/>
  <c r="BA666" i="26"/>
  <c r="BK670" i="26"/>
  <c r="BK674" i="26"/>
  <c r="BA674" i="26"/>
  <c r="BK678" i="26"/>
  <c r="BK682" i="26"/>
  <c r="BA682" i="26"/>
  <c r="BK686" i="26"/>
  <c r="BK690" i="26"/>
  <c r="BA690" i="26"/>
  <c r="BK694" i="26"/>
  <c r="BK698" i="26"/>
  <c r="BA698" i="26"/>
  <c r="BK702" i="26"/>
  <c r="BK706" i="26"/>
  <c r="BA706" i="26"/>
  <c r="BK710" i="26"/>
  <c r="BK714" i="26"/>
  <c r="BA714" i="26"/>
  <c r="BK718" i="26"/>
  <c r="BK722" i="26"/>
  <c r="BA722" i="26"/>
  <c r="BK726" i="26"/>
  <c r="BK730" i="26"/>
  <c r="BA730" i="26"/>
  <c r="BK734" i="26"/>
  <c r="BE417" i="26"/>
  <c r="BE419" i="26"/>
  <c r="BE421" i="26"/>
  <c r="BE423" i="26"/>
  <c r="BE425" i="26"/>
  <c r="BE427" i="26"/>
  <c r="BE429" i="26"/>
  <c r="BE431" i="26"/>
  <c r="BE433" i="26"/>
  <c r="BE435" i="26"/>
  <c r="BE437" i="26"/>
  <c r="BE439" i="26"/>
  <c r="BE441" i="26"/>
  <c r="BE443" i="26"/>
  <c r="BE445" i="26"/>
  <c r="BE447" i="26"/>
  <c r="BE449" i="26"/>
  <c r="BE451" i="26"/>
  <c r="BE453" i="26"/>
  <c r="BE455" i="26"/>
  <c r="BE457" i="26"/>
  <c r="BE459" i="26"/>
  <c r="BE461" i="26"/>
  <c r="BE463" i="26"/>
  <c r="BE465" i="26"/>
  <c r="BE467" i="26"/>
  <c r="BE469" i="26"/>
  <c r="BE471" i="26"/>
  <c r="BE473" i="26"/>
  <c r="BE475" i="26"/>
  <c r="BE477" i="26"/>
  <c r="BE479" i="26"/>
  <c r="BE481" i="26"/>
  <c r="BE483" i="26"/>
  <c r="BE485" i="26"/>
  <c r="BE487" i="26"/>
  <c r="BE489" i="26"/>
  <c r="BE491" i="26"/>
  <c r="BE493" i="26"/>
  <c r="BE495" i="26"/>
  <c r="BE497" i="26"/>
  <c r="BE499" i="26"/>
  <c r="BE501" i="26"/>
  <c r="BE503" i="26"/>
  <c r="BE505" i="26"/>
  <c r="BE507" i="26"/>
  <c r="BE509" i="26"/>
  <c r="BE511" i="26"/>
  <c r="BE513" i="26"/>
  <c r="BE515" i="26"/>
  <c r="BE517" i="26"/>
  <c r="BE519" i="26"/>
  <c r="BE521" i="26"/>
  <c r="BE523" i="26"/>
  <c r="BE525" i="26"/>
  <c r="BE527" i="26"/>
  <c r="BE529" i="26"/>
  <c r="BE531" i="26"/>
  <c r="BE533" i="26"/>
  <c r="BE535" i="26"/>
  <c r="BE537" i="26"/>
  <c r="BE539" i="26"/>
  <c r="BE541" i="26"/>
  <c r="BE543" i="26"/>
  <c r="BE545" i="26"/>
  <c r="BE547" i="26"/>
  <c r="BE549" i="26"/>
  <c r="BE551" i="26"/>
  <c r="BJ552" i="26"/>
  <c r="BK552" i="26" s="1"/>
  <c r="BE553" i="26"/>
  <c r="BJ554" i="26"/>
  <c r="BK554" i="26" s="1"/>
  <c r="BE555" i="26"/>
  <c r="BJ556" i="26"/>
  <c r="BK556" i="26" s="1"/>
  <c r="BE557" i="26"/>
  <c r="BJ558" i="26"/>
  <c r="BK558" i="26" s="1"/>
  <c r="BE559" i="26"/>
  <c r="BJ560" i="26"/>
  <c r="BK560" i="26" s="1"/>
  <c r="BE561" i="26"/>
  <c r="BJ562" i="26"/>
  <c r="BK562" i="26" s="1"/>
  <c r="BE563" i="26"/>
  <c r="BJ564" i="26"/>
  <c r="BK564" i="26" s="1"/>
  <c r="BE565" i="26"/>
  <c r="BJ566" i="26"/>
  <c r="BK566" i="26" s="1"/>
  <c r="BE567" i="26"/>
  <c r="BJ568" i="26"/>
  <c r="BK568" i="26" s="1"/>
  <c r="BE569" i="26"/>
  <c r="BJ570" i="26"/>
  <c r="BK570" i="26" s="1"/>
  <c r="BE571" i="26"/>
  <c r="BJ572" i="26"/>
  <c r="BK572" i="26" s="1"/>
  <c r="BE573" i="26"/>
  <c r="BJ574" i="26"/>
  <c r="BK574" i="26" s="1"/>
  <c r="BE575" i="26"/>
  <c r="BJ576" i="26"/>
  <c r="BK576" i="26" s="1"/>
  <c r="BE577" i="26"/>
  <c r="BJ578" i="26"/>
  <c r="BK578" i="26" s="1"/>
  <c r="BE579" i="26"/>
  <c r="BJ580" i="26"/>
  <c r="BK580" i="26" s="1"/>
  <c r="BE581" i="26"/>
  <c r="BJ582" i="26"/>
  <c r="BK582" i="26" s="1"/>
  <c r="BE583" i="26"/>
  <c r="BJ584" i="26"/>
  <c r="BK584" i="26" s="1"/>
  <c r="BE585" i="26"/>
  <c r="BK587" i="26"/>
  <c r="BL588" i="26"/>
  <c r="BB588" i="26"/>
  <c r="BH588" i="26"/>
  <c r="BK588" i="26" s="1"/>
  <c r="AZ588" i="26"/>
  <c r="BA588" i="26" s="1"/>
  <c r="BL592" i="26"/>
  <c r="BB592" i="26"/>
  <c r="BH592" i="26"/>
  <c r="BK592" i="26" s="1"/>
  <c r="AZ592" i="26"/>
  <c r="BK595" i="26"/>
  <c r="BL596" i="26"/>
  <c r="BB596" i="26"/>
  <c r="BH596" i="26"/>
  <c r="BK596" i="26" s="1"/>
  <c r="AZ596" i="26"/>
  <c r="BA596" i="26" s="1"/>
  <c r="BL600" i="26"/>
  <c r="BB600" i="26"/>
  <c r="BH600" i="26"/>
  <c r="BK600" i="26" s="1"/>
  <c r="AZ600" i="26"/>
  <c r="BK603" i="26"/>
  <c r="BL604" i="26"/>
  <c r="BB604" i="26"/>
  <c r="BH604" i="26"/>
  <c r="BK604" i="26" s="1"/>
  <c r="AZ604" i="26"/>
  <c r="BA604" i="26" s="1"/>
  <c r="BL608" i="26"/>
  <c r="BB608" i="26"/>
  <c r="BH608" i="26"/>
  <c r="BK608" i="26" s="1"/>
  <c r="AZ608" i="26"/>
  <c r="BK611" i="26"/>
  <c r="BL612" i="26"/>
  <c r="BB612" i="26"/>
  <c r="BH612" i="26"/>
  <c r="BK612" i="26" s="1"/>
  <c r="AZ612" i="26"/>
  <c r="BA612" i="26" s="1"/>
  <c r="BL616" i="26"/>
  <c r="BB616" i="26"/>
  <c r="BH616" i="26"/>
  <c r="BK616" i="26" s="1"/>
  <c r="AZ616" i="26"/>
  <c r="BD617" i="26"/>
  <c r="BC617" i="26"/>
  <c r="BK620" i="26"/>
  <c r="BK624" i="26"/>
  <c r="BK628" i="26"/>
  <c r="BK632" i="26"/>
  <c r="BK636" i="26"/>
  <c r="BK640" i="26"/>
  <c r="BK644" i="26"/>
  <c r="BK648" i="26"/>
  <c r="BK652" i="26"/>
  <c r="BK656" i="26"/>
  <c r="BK660" i="26"/>
  <c r="BK664" i="26"/>
  <c r="BK668" i="26"/>
  <c r="BK672" i="26"/>
  <c r="BK676" i="26"/>
  <c r="BK680" i="26"/>
  <c r="BK684" i="26"/>
  <c r="BK688" i="26"/>
  <c r="BK692" i="26"/>
  <c r="BK696" i="26"/>
  <c r="BK700" i="26"/>
  <c r="BK704" i="26"/>
  <c r="BK708" i="26"/>
  <c r="BK712" i="26"/>
  <c r="BK716" i="26"/>
  <c r="BK720" i="26"/>
  <c r="BK724" i="26"/>
  <c r="BK728" i="26"/>
  <c r="BK732" i="26"/>
  <c r="BA743" i="26"/>
  <c r="BA751" i="26"/>
  <c r="BE587" i="26"/>
  <c r="BE589" i="26"/>
  <c r="BE591" i="26"/>
  <c r="BE593" i="26"/>
  <c r="BE595" i="26"/>
  <c r="BE597" i="26"/>
  <c r="BE599" i="26"/>
  <c r="BE601" i="26"/>
  <c r="BE603" i="26"/>
  <c r="BE605" i="26"/>
  <c r="BE607" i="26"/>
  <c r="BE609" i="26"/>
  <c r="BE611" i="26"/>
  <c r="BE613" i="26"/>
  <c r="BE615" i="26"/>
  <c r="BE617" i="26"/>
  <c r="AZ618" i="26"/>
  <c r="BB618" i="26"/>
  <c r="BL618" i="26"/>
  <c r="BC619" i="26"/>
  <c r="BE619" i="26"/>
  <c r="AZ620" i="26"/>
  <c r="BA620" i="26" s="1"/>
  <c r="BB620" i="26"/>
  <c r="BL620" i="26"/>
  <c r="BC621" i="26"/>
  <c r="BE621" i="26"/>
  <c r="AZ622" i="26"/>
  <c r="BA622" i="26" s="1"/>
  <c r="BB622" i="26"/>
  <c r="BL622" i="26"/>
  <c r="BC623" i="26"/>
  <c r="BE623" i="26"/>
  <c r="AZ624" i="26"/>
  <c r="BA624" i="26" s="1"/>
  <c r="BB624" i="26"/>
  <c r="BL624" i="26"/>
  <c r="BC625" i="26"/>
  <c r="BE625" i="26"/>
  <c r="AZ626" i="26"/>
  <c r="BB626" i="26"/>
  <c r="BL626" i="26"/>
  <c r="BC627" i="26"/>
  <c r="BE627" i="26"/>
  <c r="AZ628" i="26"/>
  <c r="BA628" i="26" s="1"/>
  <c r="BB628" i="26"/>
  <c r="BL628" i="26"/>
  <c r="BC629" i="26"/>
  <c r="BE629" i="26"/>
  <c r="AZ630" i="26"/>
  <c r="BA630" i="26" s="1"/>
  <c r="BB630" i="26"/>
  <c r="BL630" i="26"/>
  <c r="BC631" i="26"/>
  <c r="BE631" i="26"/>
  <c r="AZ632" i="26"/>
  <c r="BA632" i="26" s="1"/>
  <c r="BB632" i="26"/>
  <c r="BL632" i="26"/>
  <c r="BC633" i="26"/>
  <c r="BE633" i="26"/>
  <c r="AZ634" i="26"/>
  <c r="BB634" i="26"/>
  <c r="BL634" i="26"/>
  <c r="BC635" i="26"/>
  <c r="BE635" i="26"/>
  <c r="AZ636" i="26"/>
  <c r="BA636" i="26" s="1"/>
  <c r="BB636" i="26"/>
  <c r="BL636" i="26"/>
  <c r="BC637" i="26"/>
  <c r="BE637" i="26"/>
  <c r="AZ638" i="26"/>
  <c r="BA638" i="26" s="1"/>
  <c r="BB638" i="26"/>
  <c r="BL638" i="26"/>
  <c r="BC639" i="26"/>
  <c r="BE639" i="26"/>
  <c r="AZ640" i="26"/>
  <c r="BA640" i="26" s="1"/>
  <c r="BB640" i="26"/>
  <c r="BL640" i="26"/>
  <c r="BC641" i="26"/>
  <c r="BE641" i="26"/>
  <c r="AZ642" i="26"/>
  <c r="BB642" i="26"/>
  <c r="BL642" i="26"/>
  <c r="BC643" i="26"/>
  <c r="BE643" i="26"/>
  <c r="AZ644" i="26"/>
  <c r="BA644" i="26" s="1"/>
  <c r="BB644" i="26"/>
  <c r="BL644" i="26"/>
  <c r="BC645" i="26"/>
  <c r="BE645" i="26"/>
  <c r="AZ646" i="26"/>
  <c r="BA646" i="26" s="1"/>
  <c r="BB646" i="26"/>
  <c r="BL646" i="26"/>
  <c r="BC647" i="26"/>
  <c r="BE647" i="26"/>
  <c r="AZ648" i="26"/>
  <c r="BA648" i="26" s="1"/>
  <c r="BB648" i="26"/>
  <c r="BL648" i="26"/>
  <c r="BC649" i="26"/>
  <c r="BE649" i="26"/>
  <c r="AZ650" i="26"/>
  <c r="BB650" i="26"/>
  <c r="BL650" i="26"/>
  <c r="BC651" i="26"/>
  <c r="BE651" i="26"/>
  <c r="AZ652" i="26"/>
  <c r="BA652" i="26" s="1"/>
  <c r="BB652" i="26"/>
  <c r="BL652" i="26"/>
  <c r="BC653" i="26"/>
  <c r="BE653" i="26"/>
  <c r="AZ654" i="26"/>
  <c r="BA654" i="26" s="1"/>
  <c r="BB654" i="26"/>
  <c r="BL654" i="26"/>
  <c r="BC655" i="26"/>
  <c r="BE655" i="26"/>
  <c r="AZ656" i="26"/>
  <c r="BA656" i="26" s="1"/>
  <c r="BB656" i="26"/>
  <c r="BL656" i="26"/>
  <c r="BC657" i="26"/>
  <c r="BE657" i="26"/>
  <c r="AZ658" i="26"/>
  <c r="BB658" i="26"/>
  <c r="BL658" i="26"/>
  <c r="BC659" i="26"/>
  <c r="BE659" i="26"/>
  <c r="AZ660" i="26"/>
  <c r="BA660" i="26" s="1"/>
  <c r="BB660" i="26"/>
  <c r="BL660" i="26"/>
  <c r="BC661" i="26"/>
  <c r="BE661" i="26"/>
  <c r="AZ662" i="26"/>
  <c r="BA662" i="26" s="1"/>
  <c r="BB662" i="26"/>
  <c r="BL662" i="26"/>
  <c r="BC663" i="26"/>
  <c r="BE663" i="26"/>
  <c r="AZ664" i="26"/>
  <c r="BA664" i="26" s="1"/>
  <c r="BB664" i="26"/>
  <c r="BL664" i="26"/>
  <c r="BC665" i="26"/>
  <c r="BE665" i="26"/>
  <c r="AZ666" i="26"/>
  <c r="BB666" i="26"/>
  <c r="BL666" i="26"/>
  <c r="BC667" i="26"/>
  <c r="BE667" i="26"/>
  <c r="AZ668" i="26"/>
  <c r="BA668" i="26" s="1"/>
  <c r="BB668" i="26"/>
  <c r="BL668" i="26"/>
  <c r="BC669" i="26"/>
  <c r="BE669" i="26"/>
  <c r="AZ670" i="26"/>
  <c r="BA670" i="26" s="1"/>
  <c r="BB670" i="26"/>
  <c r="BL670" i="26"/>
  <c r="BC671" i="26"/>
  <c r="BE671" i="26"/>
  <c r="AZ672" i="26"/>
  <c r="BA672" i="26" s="1"/>
  <c r="BB672" i="26"/>
  <c r="BL672" i="26"/>
  <c r="BC673" i="26"/>
  <c r="BE673" i="26"/>
  <c r="AZ674" i="26"/>
  <c r="BB674" i="26"/>
  <c r="BL674" i="26"/>
  <c r="BC675" i="26"/>
  <c r="BE675" i="26"/>
  <c r="AZ676" i="26"/>
  <c r="BA676" i="26" s="1"/>
  <c r="BB676" i="26"/>
  <c r="BL676" i="26"/>
  <c r="BC677" i="26"/>
  <c r="BE677" i="26"/>
  <c r="AZ678" i="26"/>
  <c r="BA678" i="26" s="1"/>
  <c r="BB678" i="26"/>
  <c r="BL678" i="26"/>
  <c r="BC679" i="26"/>
  <c r="BE679" i="26"/>
  <c r="AZ680" i="26"/>
  <c r="BA680" i="26" s="1"/>
  <c r="BB680" i="26"/>
  <c r="BL680" i="26"/>
  <c r="BC681" i="26"/>
  <c r="BE681" i="26"/>
  <c r="AZ682" i="26"/>
  <c r="BB682" i="26"/>
  <c r="BL682" i="26"/>
  <c r="BC683" i="26"/>
  <c r="BE683" i="26"/>
  <c r="AZ684" i="26"/>
  <c r="BA684" i="26" s="1"/>
  <c r="BB684" i="26"/>
  <c r="BL684" i="26"/>
  <c r="BC685" i="26"/>
  <c r="BE685" i="26"/>
  <c r="AZ686" i="26"/>
  <c r="BA686" i="26" s="1"/>
  <c r="BB686" i="26"/>
  <c r="BL686" i="26"/>
  <c r="BC687" i="26"/>
  <c r="BE687" i="26"/>
  <c r="AZ688" i="26"/>
  <c r="BA688" i="26" s="1"/>
  <c r="BB688" i="26"/>
  <c r="BL688" i="26"/>
  <c r="BC689" i="26"/>
  <c r="BE689" i="26"/>
  <c r="AZ690" i="26"/>
  <c r="BB690" i="26"/>
  <c r="BL690" i="26"/>
  <c r="BC691" i="26"/>
  <c r="BE691" i="26"/>
  <c r="AZ692" i="26"/>
  <c r="BA692" i="26" s="1"/>
  <c r="BB692" i="26"/>
  <c r="BL692" i="26"/>
  <c r="BC693" i="26"/>
  <c r="BE693" i="26"/>
  <c r="AZ694" i="26"/>
  <c r="BA694" i="26" s="1"/>
  <c r="BB694" i="26"/>
  <c r="BL694" i="26"/>
  <c r="BC695" i="26"/>
  <c r="BE695" i="26"/>
  <c r="AZ696" i="26"/>
  <c r="BA696" i="26" s="1"/>
  <c r="BB696" i="26"/>
  <c r="BL696" i="26"/>
  <c r="BC697" i="26"/>
  <c r="BE697" i="26"/>
  <c r="AZ698" i="26"/>
  <c r="BB698" i="26"/>
  <c r="BL698" i="26"/>
  <c r="BC699" i="26"/>
  <c r="BE699" i="26"/>
  <c r="AZ700" i="26"/>
  <c r="BA700" i="26" s="1"/>
  <c r="BB700" i="26"/>
  <c r="BL700" i="26"/>
  <c r="BC701" i="26"/>
  <c r="BE701" i="26"/>
  <c r="AZ702" i="26"/>
  <c r="BA702" i="26" s="1"/>
  <c r="BB702" i="26"/>
  <c r="BL702" i="26"/>
  <c r="BC703" i="26"/>
  <c r="BE703" i="26"/>
  <c r="AZ704" i="26"/>
  <c r="BA704" i="26" s="1"/>
  <c r="BB704" i="26"/>
  <c r="BL704" i="26"/>
  <c r="BC705" i="26"/>
  <c r="BE705" i="26"/>
  <c r="AZ706" i="26"/>
  <c r="BB706" i="26"/>
  <c r="BL706" i="26"/>
  <c r="BC707" i="26"/>
  <c r="BE707" i="26"/>
  <c r="AZ708" i="26"/>
  <c r="BA708" i="26" s="1"/>
  <c r="BB708" i="26"/>
  <c r="BL708" i="26"/>
  <c r="BC709" i="26"/>
  <c r="BE709" i="26"/>
  <c r="AZ710" i="26"/>
  <c r="BA710" i="26" s="1"/>
  <c r="BB710" i="26"/>
  <c r="BL710" i="26"/>
  <c r="BC711" i="26"/>
  <c r="BE711" i="26"/>
  <c r="AZ712" i="26"/>
  <c r="BA712" i="26" s="1"/>
  <c r="BB712" i="26"/>
  <c r="BL712" i="26"/>
  <c r="BC713" i="26"/>
  <c r="BE713" i="26"/>
  <c r="AZ714" i="26"/>
  <c r="BB714" i="26"/>
  <c r="BL714" i="26"/>
  <c r="BC715" i="26"/>
  <c r="BE715" i="26"/>
  <c r="AZ716" i="26"/>
  <c r="BA716" i="26" s="1"/>
  <c r="BB716" i="26"/>
  <c r="BL716" i="26"/>
  <c r="BC717" i="26"/>
  <c r="BE717" i="26"/>
  <c r="AZ718" i="26"/>
  <c r="BA718" i="26" s="1"/>
  <c r="BB718" i="26"/>
  <c r="BL718" i="26"/>
  <c r="BC719" i="26"/>
  <c r="BE719" i="26"/>
  <c r="AZ720" i="26"/>
  <c r="BA720" i="26" s="1"/>
  <c r="BB720" i="26"/>
  <c r="BL720" i="26"/>
  <c r="BC721" i="26"/>
  <c r="BE721" i="26"/>
  <c r="AZ722" i="26"/>
  <c r="BB722" i="26"/>
  <c r="BL722" i="26"/>
  <c r="BC723" i="26"/>
  <c r="BE723" i="26"/>
  <c r="AZ724" i="26"/>
  <c r="BA724" i="26" s="1"/>
  <c r="BB724" i="26"/>
  <c r="BL724" i="26"/>
  <c r="BC725" i="26"/>
  <c r="BE725" i="26"/>
  <c r="AZ726" i="26"/>
  <c r="BA726" i="26" s="1"/>
  <c r="BB726" i="26"/>
  <c r="BL726" i="26"/>
  <c r="BC727" i="26"/>
  <c r="BE727" i="26"/>
  <c r="AZ728" i="26"/>
  <c r="BA728" i="26" s="1"/>
  <c r="BB728" i="26"/>
  <c r="BL728" i="26"/>
  <c r="BC729" i="26"/>
  <c r="BE729" i="26"/>
  <c r="AZ730" i="26"/>
  <c r="BB730" i="26"/>
  <c r="BL730" i="26"/>
  <c r="BC731" i="26"/>
  <c r="BE731" i="26"/>
  <c r="AZ732" i="26"/>
  <c r="BA732" i="26" s="1"/>
  <c r="BB732" i="26"/>
  <c r="BL732" i="26"/>
  <c r="BC733" i="26"/>
  <c r="BE733" i="26"/>
  <c r="AZ734" i="26"/>
  <c r="BA734" i="26" s="1"/>
  <c r="BB734" i="26"/>
  <c r="BL734" i="26"/>
  <c r="BL735" i="26"/>
  <c r="BB735" i="26"/>
  <c r="BE735" i="26"/>
  <c r="BI735" i="26"/>
  <c r="BK735" i="26" s="1"/>
  <c r="BD736" i="26"/>
  <c r="BK736" i="26"/>
  <c r="BL737" i="26"/>
  <c r="BB737" i="26"/>
  <c r="BH737" i="26"/>
  <c r="BK737" i="26" s="1"/>
  <c r="AZ737" i="26"/>
  <c r="BA737" i="26" s="1"/>
  <c r="BG737" i="26"/>
  <c r="BA738" i="26"/>
  <c r="BJ738" i="26"/>
  <c r="BE739" i="26"/>
  <c r="BD740" i="26"/>
  <c r="BK740" i="26"/>
  <c r="BL741" i="26"/>
  <c r="BB741" i="26"/>
  <c r="BH741" i="26"/>
  <c r="BK741" i="26" s="1"/>
  <c r="AZ741" i="26"/>
  <c r="BA741" i="26" s="1"/>
  <c r="BG741" i="26"/>
  <c r="BA742" i="26"/>
  <c r="BJ742" i="26"/>
  <c r="BK742" i="26" s="1"/>
  <c r="BE743" i="26"/>
  <c r="BD744" i="26"/>
  <c r="BK744" i="26"/>
  <c r="BL745" i="26"/>
  <c r="BB745" i="26"/>
  <c r="BH745" i="26"/>
  <c r="BK745" i="26" s="1"/>
  <c r="AZ745" i="26"/>
  <c r="BA745" i="26" s="1"/>
  <c r="BG745" i="26"/>
  <c r="BA746" i="26"/>
  <c r="BJ746" i="26"/>
  <c r="BE747" i="26"/>
  <c r="BD748" i="26"/>
  <c r="BK748" i="26"/>
  <c r="BL749" i="26"/>
  <c r="BB749" i="26"/>
  <c r="BH749" i="26"/>
  <c r="BK749" i="26" s="1"/>
  <c r="AZ749" i="26"/>
  <c r="BA749" i="26" s="1"/>
  <c r="BG749" i="26"/>
  <c r="BA750" i="26"/>
  <c r="BJ750" i="26"/>
  <c r="BK750" i="26" s="1"/>
  <c r="BE751" i="26"/>
  <c r="BD752" i="26"/>
  <c r="BK752" i="26"/>
  <c r="BI753" i="26"/>
  <c r="BE753" i="26"/>
  <c r="BL753" i="26"/>
  <c r="BB753" i="26"/>
  <c r="BH753" i="26"/>
  <c r="BK753" i="26" s="1"/>
  <c r="AZ753" i="26"/>
  <c r="BA753" i="26" s="1"/>
  <c r="BK754" i="26"/>
  <c r="BK755" i="26"/>
  <c r="BK759" i="26"/>
  <c r="BK762" i="26"/>
  <c r="BK763" i="26"/>
  <c r="BK767" i="26"/>
  <c r="BK770" i="26"/>
  <c r="BK771" i="26"/>
  <c r="BK775" i="26"/>
  <c r="BK778" i="26"/>
  <c r="BK779" i="26"/>
  <c r="BK783" i="26"/>
  <c r="BK786" i="26"/>
  <c r="BK787" i="26"/>
  <c r="BK791" i="26"/>
  <c r="BK794" i="26"/>
  <c r="BK795" i="26"/>
  <c r="BK799" i="26"/>
  <c r="BK802" i="26"/>
  <c r="BK803" i="26"/>
  <c r="BK807" i="26"/>
  <c r="BK810" i="26"/>
  <c r="BK811" i="26"/>
  <c r="BK815" i="26"/>
  <c r="BK818" i="26"/>
  <c r="BK819" i="26"/>
  <c r="BK823" i="26"/>
  <c r="BK826" i="26"/>
  <c r="BK827" i="26"/>
  <c r="BA831" i="26"/>
  <c r="BA839" i="26"/>
  <c r="BE618" i="26"/>
  <c r="BJ619" i="26"/>
  <c r="BK619" i="26" s="1"/>
  <c r="BE620" i="26"/>
  <c r="BJ621" i="26"/>
  <c r="BK621" i="26" s="1"/>
  <c r="BE622" i="26"/>
  <c r="BJ623" i="26"/>
  <c r="BK623" i="26" s="1"/>
  <c r="BE624" i="26"/>
  <c r="BJ625" i="26"/>
  <c r="BK625" i="26" s="1"/>
  <c r="BE626" i="26"/>
  <c r="BJ627" i="26"/>
  <c r="BK627" i="26" s="1"/>
  <c r="BE628" i="26"/>
  <c r="BJ629" i="26"/>
  <c r="BK629" i="26" s="1"/>
  <c r="BE630" i="26"/>
  <c r="BJ631" i="26"/>
  <c r="BK631" i="26" s="1"/>
  <c r="BE632" i="26"/>
  <c r="BJ633" i="26"/>
  <c r="BK633" i="26" s="1"/>
  <c r="BE634" i="26"/>
  <c r="BJ635" i="26"/>
  <c r="BK635" i="26" s="1"/>
  <c r="BE636" i="26"/>
  <c r="BJ637" i="26"/>
  <c r="BK637" i="26" s="1"/>
  <c r="BE638" i="26"/>
  <c r="BJ639" i="26"/>
  <c r="BK639" i="26" s="1"/>
  <c r="BE640" i="26"/>
  <c r="BJ641" i="26"/>
  <c r="BK641" i="26" s="1"/>
  <c r="BE642" i="26"/>
  <c r="BJ643" i="26"/>
  <c r="BK643" i="26" s="1"/>
  <c r="BE644" i="26"/>
  <c r="BJ645" i="26"/>
  <c r="BK645" i="26" s="1"/>
  <c r="BE646" i="26"/>
  <c r="BJ647" i="26"/>
  <c r="BK647" i="26" s="1"/>
  <c r="BE648" i="26"/>
  <c r="BJ649" i="26"/>
  <c r="BK649" i="26" s="1"/>
  <c r="BE650" i="26"/>
  <c r="BJ651" i="26"/>
  <c r="BK651" i="26" s="1"/>
  <c r="BE652" i="26"/>
  <c r="BJ653" i="26"/>
  <c r="BK653" i="26" s="1"/>
  <c r="BE654" i="26"/>
  <c r="BJ655" i="26"/>
  <c r="BK655" i="26" s="1"/>
  <c r="BE656" i="26"/>
  <c r="BJ657" i="26"/>
  <c r="BK657" i="26" s="1"/>
  <c r="BE658" i="26"/>
  <c r="BJ659" i="26"/>
  <c r="BK659" i="26" s="1"/>
  <c r="BE660" i="26"/>
  <c r="BJ661" i="26"/>
  <c r="BK661" i="26" s="1"/>
  <c r="BE662" i="26"/>
  <c r="BJ663" i="26"/>
  <c r="BK663" i="26" s="1"/>
  <c r="BE664" i="26"/>
  <c r="BJ665" i="26"/>
  <c r="BK665" i="26" s="1"/>
  <c r="BE666" i="26"/>
  <c r="BJ667" i="26"/>
  <c r="BK667" i="26" s="1"/>
  <c r="BE668" i="26"/>
  <c r="BJ669" i="26"/>
  <c r="BK669" i="26" s="1"/>
  <c r="BE670" i="26"/>
  <c r="BJ671" i="26"/>
  <c r="BK671" i="26" s="1"/>
  <c r="BE672" i="26"/>
  <c r="BJ673" i="26"/>
  <c r="BK673" i="26" s="1"/>
  <c r="BE674" i="26"/>
  <c r="BJ675" i="26"/>
  <c r="BK675" i="26" s="1"/>
  <c r="BE676" i="26"/>
  <c r="BJ677" i="26"/>
  <c r="BK677" i="26" s="1"/>
  <c r="BE678" i="26"/>
  <c r="BJ679" i="26"/>
  <c r="BK679" i="26" s="1"/>
  <c r="BE680" i="26"/>
  <c r="BJ681" i="26"/>
  <c r="BK681" i="26" s="1"/>
  <c r="BE682" i="26"/>
  <c r="BJ683" i="26"/>
  <c r="BK683" i="26" s="1"/>
  <c r="BE684" i="26"/>
  <c r="BJ685" i="26"/>
  <c r="BK685" i="26" s="1"/>
  <c r="BE686" i="26"/>
  <c r="BJ687" i="26"/>
  <c r="BK687" i="26" s="1"/>
  <c r="BE688" i="26"/>
  <c r="BJ689" i="26"/>
  <c r="BK689" i="26" s="1"/>
  <c r="BE690" i="26"/>
  <c r="BJ691" i="26"/>
  <c r="BK691" i="26" s="1"/>
  <c r="BE692" i="26"/>
  <c r="BJ693" i="26"/>
  <c r="BK693" i="26" s="1"/>
  <c r="BE694" i="26"/>
  <c r="BJ695" i="26"/>
  <c r="BK695" i="26" s="1"/>
  <c r="BE696" i="26"/>
  <c r="BJ697" i="26"/>
  <c r="BK697" i="26" s="1"/>
  <c r="BE698" i="26"/>
  <c r="BJ699" i="26"/>
  <c r="BK699" i="26" s="1"/>
  <c r="BE700" i="26"/>
  <c r="BJ701" i="26"/>
  <c r="BK701" i="26" s="1"/>
  <c r="BE702" i="26"/>
  <c r="BJ703" i="26"/>
  <c r="BK703" i="26" s="1"/>
  <c r="BE704" i="26"/>
  <c r="BJ705" i="26"/>
  <c r="BK705" i="26" s="1"/>
  <c r="BE706" i="26"/>
  <c r="BJ707" i="26"/>
  <c r="BK707" i="26" s="1"/>
  <c r="BE708" i="26"/>
  <c r="BJ709" i="26"/>
  <c r="BK709" i="26" s="1"/>
  <c r="BE710" i="26"/>
  <c r="BJ711" i="26"/>
  <c r="BK711" i="26" s="1"/>
  <c r="BE712" i="26"/>
  <c r="BJ713" i="26"/>
  <c r="BK713" i="26" s="1"/>
  <c r="BE714" i="26"/>
  <c r="BJ715" i="26"/>
  <c r="BK715" i="26" s="1"/>
  <c r="BE716" i="26"/>
  <c r="BJ717" i="26"/>
  <c r="BK717" i="26" s="1"/>
  <c r="BE718" i="26"/>
  <c r="BJ719" i="26"/>
  <c r="BK719" i="26" s="1"/>
  <c r="BE720" i="26"/>
  <c r="BJ721" i="26"/>
  <c r="BK721" i="26" s="1"/>
  <c r="BE722" i="26"/>
  <c r="BJ723" i="26"/>
  <c r="BK723" i="26" s="1"/>
  <c r="BE724" i="26"/>
  <c r="BJ725" i="26"/>
  <c r="BK725" i="26" s="1"/>
  <c r="BE726" i="26"/>
  <c r="BJ727" i="26"/>
  <c r="BK727" i="26" s="1"/>
  <c r="BE728" i="26"/>
  <c r="BJ729" i="26"/>
  <c r="BK729" i="26" s="1"/>
  <c r="BE730" i="26"/>
  <c r="BJ731" i="26"/>
  <c r="BK731" i="26" s="1"/>
  <c r="BE732" i="26"/>
  <c r="BJ733" i="26"/>
  <c r="BK733" i="26" s="1"/>
  <c r="BE734" i="26"/>
  <c r="BK738" i="26"/>
  <c r="BL739" i="26"/>
  <c r="BB739" i="26"/>
  <c r="BH739" i="26"/>
  <c r="BK739" i="26" s="1"/>
  <c r="AZ739" i="26"/>
  <c r="BA739" i="26" s="1"/>
  <c r="BL743" i="26"/>
  <c r="BB743" i="26"/>
  <c r="BH743" i="26"/>
  <c r="BK743" i="26" s="1"/>
  <c r="AZ743" i="26"/>
  <c r="BK746" i="26"/>
  <c r="BL747" i="26"/>
  <c r="BB747" i="26"/>
  <c r="BH747" i="26"/>
  <c r="BK747" i="26" s="1"/>
  <c r="AZ747" i="26"/>
  <c r="BA747" i="26" s="1"/>
  <c r="BL751" i="26"/>
  <c r="BB751" i="26"/>
  <c r="BH751" i="26"/>
  <c r="BK751" i="26" s="1"/>
  <c r="AZ751" i="26"/>
  <c r="BK756" i="26"/>
  <c r="BK757" i="26"/>
  <c r="BA757" i="26"/>
  <c r="BK761" i="26"/>
  <c r="BK764" i="26"/>
  <c r="BK765" i="26"/>
  <c r="BA765" i="26"/>
  <c r="BK769" i="26"/>
  <c r="BK772" i="26"/>
  <c r="BK773" i="26"/>
  <c r="BA773" i="26"/>
  <c r="BK777" i="26"/>
  <c r="BK780" i="26"/>
  <c r="BK781" i="26"/>
  <c r="BA781" i="26"/>
  <c r="BK785" i="26"/>
  <c r="BK788" i="26"/>
  <c r="BK789" i="26"/>
  <c r="BA789" i="26"/>
  <c r="BK793" i="26"/>
  <c r="BK796" i="26"/>
  <c r="BK797" i="26"/>
  <c r="BA797" i="26"/>
  <c r="BK801" i="26"/>
  <c r="BK804" i="26"/>
  <c r="BK805" i="26"/>
  <c r="BA805" i="26"/>
  <c r="BK809" i="26"/>
  <c r="BK812" i="26"/>
  <c r="BK813" i="26"/>
  <c r="BA813" i="26"/>
  <c r="BK817" i="26"/>
  <c r="BK820" i="26"/>
  <c r="BK821" i="26"/>
  <c r="BA821" i="26"/>
  <c r="BK825" i="26"/>
  <c r="BK828" i="26"/>
  <c r="BK829" i="26"/>
  <c r="BA829" i="26"/>
  <c r="BE736" i="26"/>
  <c r="BE738" i="26"/>
  <c r="BE740" i="26"/>
  <c r="BE742" i="26"/>
  <c r="BE744" i="26"/>
  <c r="BE746" i="26"/>
  <c r="BE748" i="26"/>
  <c r="BE750" i="26"/>
  <c r="BE752" i="26"/>
  <c r="BC754" i="26"/>
  <c r="BE754" i="26"/>
  <c r="AZ755" i="26"/>
  <c r="BA755" i="26" s="1"/>
  <c r="BB755" i="26"/>
  <c r="BL755" i="26"/>
  <c r="BC756" i="26"/>
  <c r="BE756" i="26"/>
  <c r="AZ757" i="26"/>
  <c r="BB757" i="26"/>
  <c r="BL757" i="26"/>
  <c r="BC758" i="26"/>
  <c r="BE758" i="26"/>
  <c r="AZ759" i="26"/>
  <c r="BA759" i="26" s="1"/>
  <c r="BB759" i="26"/>
  <c r="BL759" i="26"/>
  <c r="BC760" i="26"/>
  <c r="BE760" i="26"/>
  <c r="AZ761" i="26"/>
  <c r="BA761" i="26" s="1"/>
  <c r="BB761" i="26"/>
  <c r="BL761" i="26"/>
  <c r="BC762" i="26"/>
  <c r="BE762" i="26"/>
  <c r="AZ763" i="26"/>
  <c r="BA763" i="26" s="1"/>
  <c r="BB763" i="26"/>
  <c r="BL763" i="26"/>
  <c r="BC764" i="26"/>
  <c r="BE764" i="26"/>
  <c r="AZ765" i="26"/>
  <c r="BB765" i="26"/>
  <c r="BL765" i="26"/>
  <c r="BC766" i="26"/>
  <c r="BE766" i="26"/>
  <c r="AZ767" i="26"/>
  <c r="BA767" i="26" s="1"/>
  <c r="BB767" i="26"/>
  <c r="BL767" i="26"/>
  <c r="BC768" i="26"/>
  <c r="BE768" i="26"/>
  <c r="AZ769" i="26"/>
  <c r="BA769" i="26" s="1"/>
  <c r="BB769" i="26"/>
  <c r="BL769" i="26"/>
  <c r="BC770" i="26"/>
  <c r="BE770" i="26"/>
  <c r="AZ771" i="26"/>
  <c r="BA771" i="26" s="1"/>
  <c r="BB771" i="26"/>
  <c r="BL771" i="26"/>
  <c r="BC772" i="26"/>
  <c r="BE772" i="26"/>
  <c r="AZ773" i="26"/>
  <c r="BB773" i="26"/>
  <c r="BL773" i="26"/>
  <c r="BC774" i="26"/>
  <c r="BE774" i="26"/>
  <c r="AZ775" i="26"/>
  <c r="BA775" i="26" s="1"/>
  <c r="BB775" i="26"/>
  <c r="BL775" i="26"/>
  <c r="BC776" i="26"/>
  <c r="BE776" i="26"/>
  <c r="AZ777" i="26"/>
  <c r="BA777" i="26" s="1"/>
  <c r="BB777" i="26"/>
  <c r="BL777" i="26"/>
  <c r="BC778" i="26"/>
  <c r="BE778" i="26"/>
  <c r="AZ779" i="26"/>
  <c r="BA779" i="26" s="1"/>
  <c r="BB779" i="26"/>
  <c r="BL779" i="26"/>
  <c r="BC780" i="26"/>
  <c r="BE780" i="26"/>
  <c r="AZ781" i="26"/>
  <c r="BB781" i="26"/>
  <c r="BL781" i="26"/>
  <c r="BC782" i="26"/>
  <c r="BE782" i="26"/>
  <c r="AZ783" i="26"/>
  <c r="BA783" i="26" s="1"/>
  <c r="BB783" i="26"/>
  <c r="BL783" i="26"/>
  <c r="BC784" i="26"/>
  <c r="BE784" i="26"/>
  <c r="AZ785" i="26"/>
  <c r="BA785" i="26" s="1"/>
  <c r="BB785" i="26"/>
  <c r="BL785" i="26"/>
  <c r="BC786" i="26"/>
  <c r="BE786" i="26"/>
  <c r="AZ787" i="26"/>
  <c r="BA787" i="26" s="1"/>
  <c r="BB787" i="26"/>
  <c r="BL787" i="26"/>
  <c r="BC788" i="26"/>
  <c r="BE788" i="26"/>
  <c r="AZ789" i="26"/>
  <c r="BB789" i="26"/>
  <c r="BL789" i="26"/>
  <c r="BC790" i="26"/>
  <c r="BE790" i="26"/>
  <c r="AZ791" i="26"/>
  <c r="BA791" i="26" s="1"/>
  <c r="BB791" i="26"/>
  <c r="BL791" i="26"/>
  <c r="BC792" i="26"/>
  <c r="BE792" i="26"/>
  <c r="AZ793" i="26"/>
  <c r="BA793" i="26" s="1"/>
  <c r="BB793" i="26"/>
  <c r="BL793" i="26"/>
  <c r="BC794" i="26"/>
  <c r="BE794" i="26"/>
  <c r="AZ795" i="26"/>
  <c r="BA795" i="26" s="1"/>
  <c r="BB795" i="26"/>
  <c r="BL795" i="26"/>
  <c r="BC796" i="26"/>
  <c r="BE796" i="26"/>
  <c r="AZ797" i="26"/>
  <c r="BB797" i="26"/>
  <c r="BL797" i="26"/>
  <c r="BC798" i="26"/>
  <c r="BE798" i="26"/>
  <c r="AZ799" i="26"/>
  <c r="BA799" i="26" s="1"/>
  <c r="BB799" i="26"/>
  <c r="BL799" i="26"/>
  <c r="BC800" i="26"/>
  <c r="BE800" i="26"/>
  <c r="AZ801" i="26"/>
  <c r="BA801" i="26" s="1"/>
  <c r="BB801" i="26"/>
  <c r="BL801" i="26"/>
  <c r="BC802" i="26"/>
  <c r="BE802" i="26"/>
  <c r="AZ803" i="26"/>
  <c r="BA803" i="26" s="1"/>
  <c r="BB803" i="26"/>
  <c r="BL803" i="26"/>
  <c r="BC804" i="26"/>
  <c r="BE804" i="26"/>
  <c r="AZ805" i="26"/>
  <c r="BB805" i="26"/>
  <c r="BL805" i="26"/>
  <c r="BC806" i="26"/>
  <c r="BE806" i="26"/>
  <c r="AZ807" i="26"/>
  <c r="BA807" i="26" s="1"/>
  <c r="BB807" i="26"/>
  <c r="BL807" i="26"/>
  <c r="BC808" i="26"/>
  <c r="BE808" i="26"/>
  <c r="AZ809" i="26"/>
  <c r="BA809" i="26" s="1"/>
  <c r="BB809" i="26"/>
  <c r="BL809" i="26"/>
  <c r="BC810" i="26"/>
  <c r="BE810" i="26"/>
  <c r="AZ811" i="26"/>
  <c r="BA811" i="26" s="1"/>
  <c r="BB811" i="26"/>
  <c r="BL811" i="26"/>
  <c r="BC812" i="26"/>
  <c r="BE812" i="26"/>
  <c r="AZ813" i="26"/>
  <c r="BB813" i="26"/>
  <c r="BL813" i="26"/>
  <c r="BC814" i="26"/>
  <c r="BE814" i="26"/>
  <c r="AZ815" i="26"/>
  <c r="BA815" i="26" s="1"/>
  <c r="BB815" i="26"/>
  <c r="BL815" i="26"/>
  <c r="BC816" i="26"/>
  <c r="BE816" i="26"/>
  <c r="AZ817" i="26"/>
  <c r="BA817" i="26" s="1"/>
  <c r="BB817" i="26"/>
  <c r="BL817" i="26"/>
  <c r="BC818" i="26"/>
  <c r="BE818" i="26"/>
  <c r="AZ819" i="26"/>
  <c r="BA819" i="26" s="1"/>
  <c r="BB819" i="26"/>
  <c r="BL819" i="26"/>
  <c r="BC820" i="26"/>
  <c r="BE820" i="26"/>
  <c r="AZ821" i="26"/>
  <c r="BB821" i="26"/>
  <c r="BL821" i="26"/>
  <c r="BC822" i="26"/>
  <c r="BE822" i="26"/>
  <c r="AZ823" i="26"/>
  <c r="BA823" i="26" s="1"/>
  <c r="BB823" i="26"/>
  <c r="BL823" i="26"/>
  <c r="BC824" i="26"/>
  <c r="BE824" i="26"/>
  <c r="AZ825" i="26"/>
  <c r="BA825" i="26" s="1"/>
  <c r="BB825" i="26"/>
  <c r="BL825" i="26"/>
  <c r="BC826" i="26"/>
  <c r="BE826" i="26"/>
  <c r="AZ827" i="26"/>
  <c r="BA827" i="26" s="1"/>
  <c r="BB827" i="26"/>
  <c r="BL827" i="26"/>
  <c r="BC828" i="26"/>
  <c r="BE828" i="26"/>
  <c r="AZ829" i="26"/>
  <c r="BB829" i="26"/>
  <c r="BL829" i="26"/>
  <c r="BC830" i="26"/>
  <c r="BE830" i="26"/>
  <c r="BE831" i="26"/>
  <c r="BD832" i="26"/>
  <c r="BK832" i="26"/>
  <c r="BL833" i="26"/>
  <c r="BB833" i="26"/>
  <c r="BH833" i="26"/>
  <c r="BK833" i="26" s="1"/>
  <c r="AZ833" i="26"/>
  <c r="BA833" i="26" s="1"/>
  <c r="BG833" i="26"/>
  <c r="BA834" i="26"/>
  <c r="BJ834" i="26"/>
  <c r="BE835" i="26"/>
  <c r="BD836" i="26"/>
  <c r="BK836" i="26"/>
  <c r="BL837" i="26"/>
  <c r="BB837" i="26"/>
  <c r="BH837" i="26"/>
  <c r="BK837" i="26" s="1"/>
  <c r="AZ837" i="26"/>
  <c r="BA837" i="26" s="1"/>
  <c r="BG837" i="26"/>
  <c r="BA838" i="26"/>
  <c r="BJ838" i="26"/>
  <c r="BE839" i="26"/>
  <c r="BD840" i="26"/>
  <c r="BK840" i="26"/>
  <c r="BK841" i="26"/>
  <c r="BA841" i="26"/>
  <c r="BK845" i="26"/>
  <c r="BK849" i="26"/>
  <c r="BA849" i="26"/>
  <c r="BK853" i="26"/>
  <c r="BK857" i="26"/>
  <c r="BA857" i="26"/>
  <c r="BK861" i="26"/>
  <c r="BK865" i="26"/>
  <c r="BA865" i="26"/>
  <c r="BK869" i="26"/>
  <c r="BK873" i="26"/>
  <c r="BA873" i="26"/>
  <c r="BA882" i="26"/>
  <c r="BJ754" i="26"/>
  <c r="BE755" i="26"/>
  <c r="BJ756" i="26"/>
  <c r="BE757" i="26"/>
  <c r="BJ758" i="26"/>
  <c r="BK758" i="26" s="1"/>
  <c r="BE759" i="26"/>
  <c r="BJ760" i="26"/>
  <c r="BK760" i="26" s="1"/>
  <c r="BE761" i="26"/>
  <c r="BJ762" i="26"/>
  <c r="BE763" i="26"/>
  <c r="BJ764" i="26"/>
  <c r="BE765" i="26"/>
  <c r="BJ766" i="26"/>
  <c r="BK766" i="26" s="1"/>
  <c r="BE767" i="26"/>
  <c r="BJ768" i="26"/>
  <c r="BK768" i="26" s="1"/>
  <c r="BE769" i="26"/>
  <c r="BJ770" i="26"/>
  <c r="BE771" i="26"/>
  <c r="BJ772" i="26"/>
  <c r="BE773" i="26"/>
  <c r="BJ774" i="26"/>
  <c r="BK774" i="26" s="1"/>
  <c r="BE775" i="26"/>
  <c r="BJ776" i="26"/>
  <c r="BK776" i="26" s="1"/>
  <c r="BE777" i="26"/>
  <c r="BJ778" i="26"/>
  <c r="BE779" i="26"/>
  <c r="BJ780" i="26"/>
  <c r="BE781" i="26"/>
  <c r="BJ782" i="26"/>
  <c r="BK782" i="26" s="1"/>
  <c r="BE783" i="26"/>
  <c r="BJ784" i="26"/>
  <c r="BK784" i="26" s="1"/>
  <c r="BE785" i="26"/>
  <c r="BJ786" i="26"/>
  <c r="BE787" i="26"/>
  <c r="BJ788" i="26"/>
  <c r="BE789" i="26"/>
  <c r="BJ790" i="26"/>
  <c r="BK790" i="26" s="1"/>
  <c r="BE791" i="26"/>
  <c r="BJ792" i="26"/>
  <c r="BK792" i="26" s="1"/>
  <c r="BE793" i="26"/>
  <c r="BJ794" i="26"/>
  <c r="BE795" i="26"/>
  <c r="BJ796" i="26"/>
  <c r="BE797" i="26"/>
  <c r="BJ798" i="26"/>
  <c r="BK798" i="26" s="1"/>
  <c r="BE799" i="26"/>
  <c r="BJ800" i="26"/>
  <c r="BK800" i="26" s="1"/>
  <c r="BE801" i="26"/>
  <c r="BJ802" i="26"/>
  <c r="BE803" i="26"/>
  <c r="BJ804" i="26"/>
  <c r="BE805" i="26"/>
  <c r="BJ806" i="26"/>
  <c r="BK806" i="26" s="1"/>
  <c r="BE807" i="26"/>
  <c r="BJ808" i="26"/>
  <c r="BK808" i="26" s="1"/>
  <c r="BE809" i="26"/>
  <c r="BJ810" i="26"/>
  <c r="BE811" i="26"/>
  <c r="BJ812" i="26"/>
  <c r="BE813" i="26"/>
  <c r="BJ814" i="26"/>
  <c r="BK814" i="26" s="1"/>
  <c r="BE815" i="26"/>
  <c r="BJ816" i="26"/>
  <c r="BK816" i="26" s="1"/>
  <c r="BE817" i="26"/>
  <c r="BJ818" i="26"/>
  <c r="BE819" i="26"/>
  <c r="BJ820" i="26"/>
  <c r="BE821" i="26"/>
  <c r="BJ822" i="26"/>
  <c r="BK822" i="26" s="1"/>
  <c r="BE823" i="26"/>
  <c r="BJ824" i="26"/>
  <c r="BK824" i="26" s="1"/>
  <c r="BE825" i="26"/>
  <c r="BJ826" i="26"/>
  <c r="BE827" i="26"/>
  <c r="BJ828" i="26"/>
  <c r="BE829" i="26"/>
  <c r="BJ830" i="26"/>
  <c r="BK830" i="26" s="1"/>
  <c r="BL831" i="26"/>
  <c r="BB831" i="26"/>
  <c r="BH831" i="26"/>
  <c r="BK831" i="26" s="1"/>
  <c r="AZ831" i="26"/>
  <c r="BK834" i="26"/>
  <c r="BL835" i="26"/>
  <c r="BB835" i="26"/>
  <c r="BH835" i="26"/>
  <c r="BK835" i="26" s="1"/>
  <c r="AZ835" i="26"/>
  <c r="BA835" i="26" s="1"/>
  <c r="BK838" i="26"/>
  <c r="BL839" i="26"/>
  <c r="BB839" i="26"/>
  <c r="BH839" i="26"/>
  <c r="BK839" i="26" s="1"/>
  <c r="AZ839" i="26"/>
  <c r="BK843" i="26"/>
  <c r="BK847" i="26"/>
  <c r="BK851" i="26"/>
  <c r="BK855" i="26"/>
  <c r="BK859" i="26"/>
  <c r="BK863" i="26"/>
  <c r="BK867" i="26"/>
  <c r="BK871" i="26"/>
  <c r="BE832" i="26"/>
  <c r="BE834" i="26"/>
  <c r="BE836" i="26"/>
  <c r="BE838" i="26"/>
  <c r="BE840" i="26"/>
  <c r="AZ841" i="26"/>
  <c r="BB841" i="26"/>
  <c r="BL841" i="26"/>
  <c r="BC842" i="26"/>
  <c r="BE842" i="26"/>
  <c r="AZ843" i="26"/>
  <c r="BA843" i="26" s="1"/>
  <c r="BB843" i="26"/>
  <c r="BL843" i="26"/>
  <c r="BC844" i="26"/>
  <c r="BE844" i="26"/>
  <c r="AZ845" i="26"/>
  <c r="BA845" i="26" s="1"/>
  <c r="BB845" i="26"/>
  <c r="BL845" i="26"/>
  <c r="BC846" i="26"/>
  <c r="BE846" i="26"/>
  <c r="AZ847" i="26"/>
  <c r="BA847" i="26" s="1"/>
  <c r="BB847" i="26"/>
  <c r="BL847" i="26"/>
  <c r="BC848" i="26"/>
  <c r="BE848" i="26"/>
  <c r="AZ849" i="26"/>
  <c r="BB849" i="26"/>
  <c r="BL849" i="26"/>
  <c r="BC850" i="26"/>
  <c r="BE850" i="26"/>
  <c r="AZ851" i="26"/>
  <c r="BA851" i="26" s="1"/>
  <c r="BB851" i="26"/>
  <c r="BL851" i="26"/>
  <c r="BC852" i="26"/>
  <c r="BE852" i="26"/>
  <c r="AZ853" i="26"/>
  <c r="BA853" i="26" s="1"/>
  <c r="BB853" i="26"/>
  <c r="BL853" i="26"/>
  <c r="BC854" i="26"/>
  <c r="BE854" i="26"/>
  <c r="AZ855" i="26"/>
  <c r="BA855" i="26" s="1"/>
  <c r="BB855" i="26"/>
  <c r="BL855" i="26"/>
  <c r="BC856" i="26"/>
  <c r="BE856" i="26"/>
  <c r="AZ857" i="26"/>
  <c r="BB857" i="26"/>
  <c r="BL857" i="26"/>
  <c r="BC858" i="26"/>
  <c r="BE858" i="26"/>
  <c r="AZ859" i="26"/>
  <c r="BA859" i="26" s="1"/>
  <c r="BB859" i="26"/>
  <c r="BL859" i="26"/>
  <c r="BC860" i="26"/>
  <c r="BE860" i="26"/>
  <c r="AZ861" i="26"/>
  <c r="BA861" i="26" s="1"/>
  <c r="BB861" i="26"/>
  <c r="BL861" i="26"/>
  <c r="BC862" i="26"/>
  <c r="BE862" i="26"/>
  <c r="AZ863" i="26"/>
  <c r="BA863" i="26" s="1"/>
  <c r="BB863" i="26"/>
  <c r="BL863" i="26"/>
  <c r="BC864" i="26"/>
  <c r="BE864" i="26"/>
  <c r="AZ865" i="26"/>
  <c r="BB865" i="26"/>
  <c r="BL865" i="26"/>
  <c r="BC866" i="26"/>
  <c r="BE866" i="26"/>
  <c r="AZ867" i="26"/>
  <c r="BA867" i="26" s="1"/>
  <c r="BB867" i="26"/>
  <c r="BL867" i="26"/>
  <c r="BC868" i="26"/>
  <c r="BE868" i="26"/>
  <c r="AZ869" i="26"/>
  <c r="BA869" i="26" s="1"/>
  <c r="BB869" i="26"/>
  <c r="BL869" i="26"/>
  <c r="BC870" i="26"/>
  <c r="BE870" i="26"/>
  <c r="AZ871" i="26"/>
  <c r="BA871" i="26" s="1"/>
  <c r="BB871" i="26"/>
  <c r="BL871" i="26"/>
  <c r="BC872" i="26"/>
  <c r="BE872" i="26"/>
  <c r="AZ873" i="26"/>
  <c r="BB873" i="26"/>
  <c r="BL873" i="26"/>
  <c r="BC874" i="26"/>
  <c r="BE874" i="26"/>
  <c r="AZ875" i="26"/>
  <c r="BA875" i="26" s="1"/>
  <c r="BB875" i="26"/>
  <c r="BL875" i="26"/>
  <c r="BL876" i="26"/>
  <c r="BB876" i="26"/>
  <c r="BH876" i="26"/>
  <c r="BK876" i="26" s="1"/>
  <c r="AZ876" i="26"/>
  <c r="BA876" i="26" s="1"/>
  <c r="BG876" i="26"/>
  <c r="BA877" i="26"/>
  <c r="BJ877" i="26"/>
  <c r="BE878" i="26"/>
  <c r="BD879" i="26"/>
  <c r="BK879" i="26"/>
  <c r="BL880" i="26"/>
  <c r="BB880" i="26"/>
  <c r="BH880" i="26"/>
  <c r="BK880" i="26" s="1"/>
  <c r="AZ880" i="26"/>
  <c r="BA880" i="26" s="1"/>
  <c r="BG880" i="26"/>
  <c r="BA881" i="26"/>
  <c r="BJ881" i="26"/>
  <c r="BE882" i="26"/>
  <c r="BD883" i="26"/>
  <c r="BK883" i="26"/>
  <c r="BL884" i="26"/>
  <c r="BB884" i="26"/>
  <c r="BH884" i="26"/>
  <c r="BK884" i="26" s="1"/>
  <c r="AZ884" i="26"/>
  <c r="BA884" i="26" s="1"/>
  <c r="BG884" i="26"/>
  <c r="BA885" i="26"/>
  <c r="BJ885" i="26"/>
  <c r="BK886" i="26"/>
  <c r="BK889" i="26"/>
  <c r="BA890" i="26"/>
  <c r="BK894" i="26"/>
  <c r="BK897" i="26"/>
  <c r="BA898" i="26"/>
  <c r="BK902" i="26"/>
  <c r="BK905" i="26"/>
  <c r="BA906" i="26"/>
  <c r="BE841" i="26"/>
  <c r="BJ842" i="26"/>
  <c r="BK842" i="26" s="1"/>
  <c r="BE843" i="26"/>
  <c r="BJ844" i="26"/>
  <c r="BK844" i="26" s="1"/>
  <c r="BE845" i="26"/>
  <c r="BJ846" i="26"/>
  <c r="BK846" i="26" s="1"/>
  <c r="BE847" i="26"/>
  <c r="BJ848" i="26"/>
  <c r="BK848" i="26" s="1"/>
  <c r="BE849" i="26"/>
  <c r="BJ850" i="26"/>
  <c r="BK850" i="26" s="1"/>
  <c r="BE851" i="26"/>
  <c r="BJ852" i="26"/>
  <c r="BK852" i="26" s="1"/>
  <c r="BE853" i="26"/>
  <c r="BJ854" i="26"/>
  <c r="BK854" i="26" s="1"/>
  <c r="BE855" i="26"/>
  <c r="BJ856" i="26"/>
  <c r="BK856" i="26" s="1"/>
  <c r="BE857" i="26"/>
  <c r="BJ858" i="26"/>
  <c r="BK858" i="26" s="1"/>
  <c r="BE859" i="26"/>
  <c r="BJ860" i="26"/>
  <c r="BK860" i="26" s="1"/>
  <c r="BE861" i="26"/>
  <c r="BJ862" i="26"/>
  <c r="BK862" i="26" s="1"/>
  <c r="BE863" i="26"/>
  <c r="BJ864" i="26"/>
  <c r="BK864" i="26" s="1"/>
  <c r="BE865" i="26"/>
  <c r="BJ866" i="26"/>
  <c r="BK866" i="26" s="1"/>
  <c r="BE867" i="26"/>
  <c r="BJ868" i="26"/>
  <c r="BK868" i="26" s="1"/>
  <c r="BE869" i="26"/>
  <c r="BJ870" i="26"/>
  <c r="BK870" i="26" s="1"/>
  <c r="BE871" i="26"/>
  <c r="BJ872" i="26"/>
  <c r="BK872" i="26" s="1"/>
  <c r="BE873" i="26"/>
  <c r="BJ874" i="26"/>
  <c r="BK874" i="26" s="1"/>
  <c r="BE875" i="26"/>
  <c r="BK877" i="26"/>
  <c r="BL878" i="26"/>
  <c r="BB878" i="26"/>
  <c r="BH878" i="26"/>
  <c r="BK878" i="26" s="1"/>
  <c r="AZ878" i="26"/>
  <c r="BA878" i="26" s="1"/>
  <c r="BK881" i="26"/>
  <c r="BL882" i="26"/>
  <c r="BB882" i="26"/>
  <c r="BH882" i="26"/>
  <c r="BK882" i="26" s="1"/>
  <c r="AZ882" i="26"/>
  <c r="BK885" i="26"/>
  <c r="BK888" i="26"/>
  <c r="BK891" i="26"/>
  <c r="BK896" i="26"/>
  <c r="BK899" i="26"/>
  <c r="BK904" i="26"/>
  <c r="BK907" i="26"/>
  <c r="BA912" i="26"/>
  <c r="BA920" i="26"/>
  <c r="BA928" i="26"/>
  <c r="BE886" i="26"/>
  <c r="BI886" i="26"/>
  <c r="BD887" i="26"/>
  <c r="BJ887" i="26"/>
  <c r="BK887" i="26" s="1"/>
  <c r="BE888" i="26"/>
  <c r="BI888" i="26"/>
  <c r="BD889" i="26"/>
  <c r="BJ889" i="26"/>
  <c r="BE890" i="26"/>
  <c r="BI890" i="26"/>
  <c r="BK890" i="26" s="1"/>
  <c r="BD891" i="26"/>
  <c r="BJ891" i="26"/>
  <c r="BE892" i="26"/>
  <c r="BI892" i="26"/>
  <c r="BK892" i="26" s="1"/>
  <c r="BD893" i="26"/>
  <c r="BJ893" i="26"/>
  <c r="BK893" i="26" s="1"/>
  <c r="BE894" i="26"/>
  <c r="BI894" i="26"/>
  <c r="BD895" i="26"/>
  <c r="BJ895" i="26"/>
  <c r="BK895" i="26" s="1"/>
  <c r="BE896" i="26"/>
  <c r="BI896" i="26"/>
  <c r="BD897" i="26"/>
  <c r="BJ897" i="26"/>
  <c r="BE898" i="26"/>
  <c r="BI898" i="26"/>
  <c r="BK898" i="26" s="1"/>
  <c r="BD899" i="26"/>
  <c r="BJ899" i="26"/>
  <c r="BE900" i="26"/>
  <c r="BI900" i="26"/>
  <c r="BK900" i="26" s="1"/>
  <c r="BD901" i="26"/>
  <c r="BJ901" i="26"/>
  <c r="BK901" i="26" s="1"/>
  <c r="BE902" i="26"/>
  <c r="BI902" i="26"/>
  <c r="BD903" i="26"/>
  <c r="BJ903" i="26"/>
  <c r="BK903" i="26" s="1"/>
  <c r="BE904" i="26"/>
  <c r="BI904" i="26"/>
  <c r="BD905" i="26"/>
  <c r="BJ905" i="26"/>
  <c r="BE906" i="26"/>
  <c r="BI906" i="26"/>
  <c r="BK906" i="26" s="1"/>
  <c r="BD907" i="26"/>
  <c r="BJ907" i="26"/>
  <c r="BL908" i="26"/>
  <c r="BB908" i="26"/>
  <c r="BH908" i="26"/>
  <c r="BK908" i="26" s="1"/>
  <c r="AZ908" i="26"/>
  <c r="BA908" i="26" s="1"/>
  <c r="BK911" i="26"/>
  <c r="BL911" i="26"/>
  <c r="BL912" i="26"/>
  <c r="BB912" i="26"/>
  <c r="BH912" i="26"/>
  <c r="BK912" i="26" s="1"/>
  <c r="AZ912" i="26"/>
  <c r="BK915" i="26"/>
  <c r="BL915" i="26"/>
  <c r="BL916" i="26"/>
  <c r="BB916" i="26"/>
  <c r="BH916" i="26"/>
  <c r="BK916" i="26" s="1"/>
  <c r="AZ916" i="26"/>
  <c r="BA916" i="26" s="1"/>
  <c r="BK919" i="26"/>
  <c r="BL919" i="26"/>
  <c r="BL920" i="26"/>
  <c r="BB920" i="26"/>
  <c r="BH920" i="26"/>
  <c r="BK920" i="26" s="1"/>
  <c r="AZ920" i="26"/>
  <c r="BK923" i="26"/>
  <c r="BL923" i="26"/>
  <c r="BL924" i="26"/>
  <c r="BB924" i="26"/>
  <c r="BH924" i="26"/>
  <c r="BK924" i="26" s="1"/>
  <c r="AZ924" i="26"/>
  <c r="BA924" i="26" s="1"/>
  <c r="BK927" i="26"/>
  <c r="BL927" i="26"/>
  <c r="BL928" i="26"/>
  <c r="BB928" i="26"/>
  <c r="BH928" i="26"/>
  <c r="BK928" i="26" s="1"/>
  <c r="AZ928" i="26"/>
  <c r="BK931" i="26"/>
  <c r="BL931" i="26"/>
  <c r="BL932" i="26"/>
  <c r="BB932" i="26"/>
  <c r="BH932" i="26"/>
  <c r="BK932" i="26" s="1"/>
  <c r="AZ932" i="26"/>
  <c r="BA932" i="26" s="1"/>
  <c r="BL933" i="26"/>
  <c r="BL934" i="26"/>
  <c r="BB934" i="26"/>
  <c r="BI934" i="26"/>
  <c r="BE934" i="26"/>
  <c r="BH934" i="26"/>
  <c r="BK934" i="26" s="1"/>
  <c r="AZ934" i="26"/>
  <c r="BA934" i="26" s="1"/>
  <c r="BF936" i="26"/>
  <c r="BG936" i="26"/>
  <c r="BL937" i="26"/>
  <c r="BL938" i="26"/>
  <c r="BB938" i="26"/>
  <c r="BI938" i="26"/>
  <c r="BE938" i="26"/>
  <c r="BH938" i="26"/>
  <c r="BK938" i="26" s="1"/>
  <c r="AZ938" i="26"/>
  <c r="BA938" i="26" s="1"/>
  <c r="BF940" i="26"/>
  <c r="BG940" i="26"/>
  <c r="BJ941" i="26"/>
  <c r="BK941" i="26" s="1"/>
  <c r="BL941" i="26"/>
  <c r="BE877" i="26"/>
  <c r="BE879" i="26"/>
  <c r="BE881" i="26"/>
  <c r="BE883" i="26"/>
  <c r="BE885" i="26"/>
  <c r="AZ886" i="26"/>
  <c r="BA886" i="26" s="1"/>
  <c r="BB886" i="26"/>
  <c r="BE887" i="26"/>
  <c r="AZ888" i="26"/>
  <c r="BA888" i="26" s="1"/>
  <c r="BB888" i="26"/>
  <c r="BE889" i="26"/>
  <c r="AZ890" i="26"/>
  <c r="BB890" i="26"/>
  <c r="BE891" i="26"/>
  <c r="AZ892" i="26"/>
  <c r="BA892" i="26" s="1"/>
  <c r="BB892" i="26"/>
  <c r="BE893" i="26"/>
  <c r="AZ894" i="26"/>
  <c r="BA894" i="26" s="1"/>
  <c r="BB894" i="26"/>
  <c r="BE895" i="26"/>
  <c r="AZ896" i="26"/>
  <c r="BA896" i="26" s="1"/>
  <c r="BB896" i="26"/>
  <c r="BE897" i="26"/>
  <c r="AZ898" i="26"/>
  <c r="BB898" i="26"/>
  <c r="BE899" i="26"/>
  <c r="AZ900" i="26"/>
  <c r="BA900" i="26" s="1"/>
  <c r="BB900" i="26"/>
  <c r="BE901" i="26"/>
  <c r="AZ902" i="26"/>
  <c r="BA902" i="26" s="1"/>
  <c r="BB902" i="26"/>
  <c r="BE903" i="26"/>
  <c r="AZ904" i="26"/>
  <c r="BA904" i="26" s="1"/>
  <c r="BB904" i="26"/>
  <c r="BE905" i="26"/>
  <c r="AZ906" i="26"/>
  <c r="BB906" i="26"/>
  <c r="BE907" i="26"/>
  <c r="BE908" i="26"/>
  <c r="BI908" i="26"/>
  <c r="BD909" i="26"/>
  <c r="BK909" i="26"/>
  <c r="BL910" i="26"/>
  <c r="BB910" i="26"/>
  <c r="BH910" i="26"/>
  <c r="BK910" i="26" s="1"/>
  <c r="AZ910" i="26"/>
  <c r="BA910" i="26" s="1"/>
  <c r="BG910" i="26"/>
  <c r="BA911" i="26"/>
  <c r="BE912" i="26"/>
  <c r="BI912" i="26"/>
  <c r="BD913" i="26"/>
  <c r="BK913" i="26"/>
  <c r="BL914" i="26"/>
  <c r="BB914" i="26"/>
  <c r="BH914" i="26"/>
  <c r="BK914" i="26" s="1"/>
  <c r="AZ914" i="26"/>
  <c r="BA914" i="26" s="1"/>
  <c r="BG914" i="26"/>
  <c r="BA915" i="26"/>
  <c r="BE916" i="26"/>
  <c r="BI916" i="26"/>
  <c r="BD917" i="26"/>
  <c r="BK917" i="26"/>
  <c r="BL918" i="26"/>
  <c r="BB918" i="26"/>
  <c r="BH918" i="26"/>
  <c r="BK918" i="26" s="1"/>
  <c r="AZ918" i="26"/>
  <c r="BA918" i="26" s="1"/>
  <c r="BG918" i="26"/>
  <c r="BA919" i="26"/>
  <c r="BE920" i="26"/>
  <c r="BI920" i="26"/>
  <c r="BD921" i="26"/>
  <c r="BK921" i="26"/>
  <c r="BL922" i="26"/>
  <c r="BB922" i="26"/>
  <c r="BH922" i="26"/>
  <c r="BK922" i="26" s="1"/>
  <c r="AZ922" i="26"/>
  <c r="BA922" i="26" s="1"/>
  <c r="BG922" i="26"/>
  <c r="BA923" i="26"/>
  <c r="BE924" i="26"/>
  <c r="BI924" i="26"/>
  <c r="BD925" i="26"/>
  <c r="BK925" i="26"/>
  <c r="BL926" i="26"/>
  <c r="BB926" i="26"/>
  <c r="BH926" i="26"/>
  <c r="BK926" i="26" s="1"/>
  <c r="AZ926" i="26"/>
  <c r="BA926" i="26" s="1"/>
  <c r="BG926" i="26"/>
  <c r="BA927" i="26"/>
  <c r="BE928" i="26"/>
  <c r="BI928" i="26"/>
  <c r="BD929" i="26"/>
  <c r="BK929" i="26"/>
  <c r="BL930" i="26"/>
  <c r="BB930" i="26"/>
  <c r="BH930" i="26"/>
  <c r="BK930" i="26" s="1"/>
  <c r="AZ930" i="26"/>
  <c r="BA930" i="26" s="1"/>
  <c r="BG930" i="26"/>
  <c r="BA931" i="26"/>
  <c r="BE932" i="26"/>
  <c r="BI932" i="26"/>
  <c r="BK933" i="26"/>
  <c r="BC935" i="26"/>
  <c r="BD935" i="26"/>
  <c r="BC939" i="26"/>
  <c r="BD939" i="26"/>
  <c r="BA946" i="26"/>
  <c r="BA954" i="26"/>
  <c r="BA962" i="26"/>
  <c r="BA970" i="26"/>
  <c r="BL942" i="26"/>
  <c r="BB942" i="26"/>
  <c r="BH942" i="26"/>
  <c r="AZ942" i="26"/>
  <c r="BA942" i="26" s="1"/>
  <c r="BK945" i="26"/>
  <c r="BL945" i="26"/>
  <c r="BL946" i="26"/>
  <c r="BB946" i="26"/>
  <c r="BH946" i="26"/>
  <c r="AZ946" i="26"/>
  <c r="BK949" i="26"/>
  <c r="BL949" i="26"/>
  <c r="BL950" i="26"/>
  <c r="BB950" i="26"/>
  <c r="BH950" i="26"/>
  <c r="AZ950" i="26"/>
  <c r="BA950" i="26" s="1"/>
  <c r="BK953" i="26"/>
  <c r="BL953" i="26"/>
  <c r="BL954" i="26"/>
  <c r="BB954" i="26"/>
  <c r="BH954" i="26"/>
  <c r="AZ954" i="26"/>
  <c r="BK957" i="26"/>
  <c r="BL957" i="26"/>
  <c r="BL958" i="26"/>
  <c r="BB958" i="26"/>
  <c r="BH958" i="26"/>
  <c r="AZ958" i="26"/>
  <c r="BA958" i="26" s="1"/>
  <c r="BK961" i="26"/>
  <c r="BL961" i="26"/>
  <c r="BL962" i="26"/>
  <c r="BB962" i="26"/>
  <c r="BH962" i="26"/>
  <c r="AZ962" i="26"/>
  <c r="BK965" i="26"/>
  <c r="BL965" i="26"/>
  <c r="BL966" i="26"/>
  <c r="BB966" i="26"/>
  <c r="BH966" i="26"/>
  <c r="AZ966" i="26"/>
  <c r="BA966" i="26" s="1"/>
  <c r="BK969" i="26"/>
  <c r="BL969" i="26"/>
  <c r="BL970" i="26"/>
  <c r="BB970" i="26"/>
  <c r="BH970" i="26"/>
  <c r="AZ970" i="26"/>
  <c r="BC977" i="26"/>
  <c r="BD977" i="26"/>
  <c r="BC981" i="26"/>
  <c r="BD981" i="26"/>
  <c r="BC985" i="26"/>
  <c r="BD985" i="26"/>
  <c r="BC989" i="26"/>
  <c r="BD989" i="26"/>
  <c r="BF997" i="26"/>
  <c r="BG997" i="26"/>
  <c r="BL998" i="26"/>
  <c r="BL999" i="26"/>
  <c r="BB999" i="26"/>
  <c r="BI999" i="26"/>
  <c r="BE999" i="26"/>
  <c r="BH999" i="26"/>
  <c r="BK999" i="26" s="1"/>
  <c r="AZ999" i="26"/>
  <c r="BA999" i="26" s="1"/>
  <c r="BF1005" i="26"/>
  <c r="BG1005" i="26"/>
  <c r="BE909" i="26"/>
  <c r="BE911" i="26"/>
  <c r="BE913" i="26"/>
  <c r="BE915" i="26"/>
  <c r="BE917" i="26"/>
  <c r="BE919" i="26"/>
  <c r="BE921" i="26"/>
  <c r="BE923" i="26"/>
  <c r="BE925" i="26"/>
  <c r="BE927" i="26"/>
  <c r="BE929" i="26"/>
  <c r="BE931" i="26"/>
  <c r="BA933" i="26"/>
  <c r="BK935" i="26"/>
  <c r="BL936" i="26"/>
  <c r="BB936" i="26"/>
  <c r="BH936" i="26"/>
  <c r="BK936" i="26" s="1"/>
  <c r="AZ936" i="26"/>
  <c r="BA936" i="26" s="1"/>
  <c r="BA937" i="26"/>
  <c r="BK939" i="26"/>
  <c r="BL940" i="26"/>
  <c r="BB940" i="26"/>
  <c r="BH940" i="26"/>
  <c r="BK940" i="26" s="1"/>
  <c r="AZ940" i="26"/>
  <c r="BA940" i="26" s="1"/>
  <c r="BA941" i="26"/>
  <c r="BE942" i="26"/>
  <c r="BI942" i="26"/>
  <c r="BD943" i="26"/>
  <c r="BK943" i="26"/>
  <c r="BL944" i="26"/>
  <c r="BB944" i="26"/>
  <c r="BH944" i="26"/>
  <c r="BK944" i="26" s="1"/>
  <c r="AZ944" i="26"/>
  <c r="BA944" i="26" s="1"/>
  <c r="BG944" i="26"/>
  <c r="BA945" i="26"/>
  <c r="BE946" i="26"/>
  <c r="BI946" i="26"/>
  <c r="BD947" i="26"/>
  <c r="BK947" i="26"/>
  <c r="BL948" i="26"/>
  <c r="BB948" i="26"/>
  <c r="BH948" i="26"/>
  <c r="BK948" i="26" s="1"/>
  <c r="AZ948" i="26"/>
  <c r="BA948" i="26" s="1"/>
  <c r="BG948" i="26"/>
  <c r="BA949" i="26"/>
  <c r="BE950" i="26"/>
  <c r="BI950" i="26"/>
  <c r="BD951" i="26"/>
  <c r="BK951" i="26"/>
  <c r="BL952" i="26"/>
  <c r="BB952" i="26"/>
  <c r="BH952" i="26"/>
  <c r="BK952" i="26" s="1"/>
  <c r="AZ952" i="26"/>
  <c r="BA952" i="26" s="1"/>
  <c r="BG952" i="26"/>
  <c r="BA953" i="26"/>
  <c r="BE954" i="26"/>
  <c r="BI954" i="26"/>
  <c r="BD955" i="26"/>
  <c r="BK955" i="26"/>
  <c r="BL956" i="26"/>
  <c r="BB956" i="26"/>
  <c r="BH956" i="26"/>
  <c r="BK956" i="26" s="1"/>
  <c r="AZ956" i="26"/>
  <c r="BA956" i="26" s="1"/>
  <c r="BG956" i="26"/>
  <c r="BA957" i="26"/>
  <c r="BE958" i="26"/>
  <c r="BI958" i="26"/>
  <c r="BD959" i="26"/>
  <c r="BK959" i="26"/>
  <c r="BL960" i="26"/>
  <c r="BB960" i="26"/>
  <c r="BH960" i="26"/>
  <c r="BK960" i="26" s="1"/>
  <c r="AZ960" i="26"/>
  <c r="BA960" i="26" s="1"/>
  <c r="BG960" i="26"/>
  <c r="BA961" i="26"/>
  <c r="BE962" i="26"/>
  <c r="BI962" i="26"/>
  <c r="BD963" i="26"/>
  <c r="BK963" i="26"/>
  <c r="BL964" i="26"/>
  <c r="BB964" i="26"/>
  <c r="BH964" i="26"/>
  <c r="BK964" i="26" s="1"/>
  <c r="AZ964" i="26"/>
  <c r="BA964" i="26" s="1"/>
  <c r="BG964" i="26"/>
  <c r="BA965" i="26"/>
  <c r="BE966" i="26"/>
  <c r="BI966" i="26"/>
  <c r="BD967" i="26"/>
  <c r="BK967" i="26"/>
  <c r="BL968" i="26"/>
  <c r="BB968" i="26"/>
  <c r="BH968" i="26"/>
  <c r="BK968" i="26" s="1"/>
  <c r="AZ968" i="26"/>
  <c r="BA968" i="26" s="1"/>
  <c r="BG968" i="26"/>
  <c r="BA969" i="26"/>
  <c r="BE970" i="26"/>
  <c r="BI970" i="26"/>
  <c r="BD971" i="26"/>
  <c r="BK971" i="26"/>
  <c r="BL972" i="26"/>
  <c r="BB972" i="26"/>
  <c r="BH972" i="26"/>
  <c r="BK972" i="26" s="1"/>
  <c r="AZ972" i="26"/>
  <c r="BA972" i="26" s="1"/>
  <c r="BG972" i="26"/>
  <c r="BA973" i="26"/>
  <c r="BC973" i="26"/>
  <c r="BD973" i="26"/>
  <c r="BF974" i="26"/>
  <c r="BG974" i="26"/>
  <c r="BL975" i="26"/>
  <c r="BL976" i="26"/>
  <c r="BB976" i="26"/>
  <c r="BI976" i="26"/>
  <c r="BE976" i="26"/>
  <c r="BH976" i="26"/>
  <c r="BK976" i="26" s="1"/>
  <c r="AZ976" i="26"/>
  <c r="BA976" i="26" s="1"/>
  <c r="BF978" i="26"/>
  <c r="BG978" i="26"/>
  <c r="BL979" i="26"/>
  <c r="BL980" i="26"/>
  <c r="BB980" i="26"/>
  <c r="BI980" i="26"/>
  <c r="BE980" i="26"/>
  <c r="BH980" i="26"/>
  <c r="BK980" i="26" s="1"/>
  <c r="AZ980" i="26"/>
  <c r="BA980" i="26" s="1"/>
  <c r="BF982" i="26"/>
  <c r="BG982" i="26"/>
  <c r="BL983" i="26"/>
  <c r="BL984" i="26"/>
  <c r="BB984" i="26"/>
  <c r="BI984" i="26"/>
  <c r="BE984" i="26"/>
  <c r="BH984" i="26"/>
  <c r="BK984" i="26" s="1"/>
  <c r="AZ984" i="26"/>
  <c r="BA984" i="26" s="1"/>
  <c r="BF986" i="26"/>
  <c r="BG986" i="26"/>
  <c r="BL987" i="26"/>
  <c r="BL988" i="26"/>
  <c r="BB988" i="26"/>
  <c r="BI988" i="26"/>
  <c r="BE988" i="26"/>
  <c r="BH988" i="26"/>
  <c r="BK988" i="26" s="1"/>
  <c r="AZ988" i="26"/>
  <c r="BA988" i="26" s="1"/>
  <c r="BF990" i="26"/>
  <c r="BG990" i="26"/>
  <c r="BL991" i="26"/>
  <c r="BL992" i="26"/>
  <c r="BB992" i="26"/>
  <c r="BI992" i="26"/>
  <c r="BE992" i="26"/>
  <c r="BH992" i="26"/>
  <c r="BK992" i="26" s="1"/>
  <c r="AZ992" i="26"/>
  <c r="BA992" i="26" s="1"/>
  <c r="BF993" i="26"/>
  <c r="BG993" i="26"/>
  <c r="BL994" i="26"/>
  <c r="BL995" i="26"/>
  <c r="BB995" i="26"/>
  <c r="BI995" i="26"/>
  <c r="BE995" i="26"/>
  <c r="BH995" i="26"/>
  <c r="BK995" i="26" s="1"/>
  <c r="AZ995" i="26"/>
  <c r="BA995" i="26" s="1"/>
  <c r="BF1001" i="26"/>
  <c r="BG1001" i="26"/>
  <c r="BL1002" i="26"/>
  <c r="BL1003" i="26"/>
  <c r="BB1003" i="26"/>
  <c r="BI1003" i="26"/>
  <c r="BE1003" i="26"/>
  <c r="BH1003" i="26"/>
  <c r="BK1003" i="26" s="1"/>
  <c r="AZ1003" i="26"/>
  <c r="BA1003" i="26" s="1"/>
  <c r="BE933" i="26"/>
  <c r="BE935" i="26"/>
  <c r="BE937" i="26"/>
  <c r="BE939" i="26"/>
  <c r="BE941" i="26"/>
  <c r="BE943" i="26"/>
  <c r="BE945" i="26"/>
  <c r="BE947" i="26"/>
  <c r="BE949" i="26"/>
  <c r="BE951" i="26"/>
  <c r="BE953" i="26"/>
  <c r="BE955" i="26"/>
  <c r="BE957" i="26"/>
  <c r="BE959" i="26"/>
  <c r="BE961" i="26"/>
  <c r="BE963" i="26"/>
  <c r="BE965" i="26"/>
  <c r="BE967" i="26"/>
  <c r="BE969" i="26"/>
  <c r="BE971" i="26"/>
  <c r="BI973" i="26"/>
  <c r="BK973" i="26" s="1"/>
  <c r="BE973" i="26"/>
  <c r="BL973" i="26"/>
  <c r="BL974" i="26"/>
  <c r="BB974" i="26"/>
  <c r="BH974" i="26"/>
  <c r="BK974" i="26" s="1"/>
  <c r="AZ974" i="26"/>
  <c r="BA974" i="26" s="1"/>
  <c r="BA975" i="26"/>
  <c r="BK977" i="26"/>
  <c r="BL978" i="26"/>
  <c r="BB978" i="26"/>
  <c r="BH978" i="26"/>
  <c r="BK978" i="26" s="1"/>
  <c r="AZ978" i="26"/>
  <c r="BA978" i="26" s="1"/>
  <c r="BA979" i="26"/>
  <c r="BK981" i="26"/>
  <c r="BL982" i="26"/>
  <c r="BB982" i="26"/>
  <c r="BH982" i="26"/>
  <c r="BK982" i="26" s="1"/>
  <c r="AZ982" i="26"/>
  <c r="BA982" i="26" s="1"/>
  <c r="BA983" i="26"/>
  <c r="BK985" i="26"/>
  <c r="BL986" i="26"/>
  <c r="BB986" i="26"/>
  <c r="BH986" i="26"/>
  <c r="BK986" i="26" s="1"/>
  <c r="AZ986" i="26"/>
  <c r="BA986" i="26" s="1"/>
  <c r="BA987" i="26"/>
  <c r="BK989" i="26"/>
  <c r="BL990" i="26"/>
  <c r="BB990" i="26"/>
  <c r="BH990" i="26"/>
  <c r="BK990" i="26" s="1"/>
  <c r="AZ990" i="26"/>
  <c r="BA990" i="26" s="1"/>
  <c r="BA991" i="26"/>
  <c r="BK994" i="26"/>
  <c r="BC996" i="26"/>
  <c r="BD996" i="26"/>
  <c r="BK998" i="26"/>
  <c r="BC1000" i="26"/>
  <c r="BD1000" i="26"/>
  <c r="BK1002" i="26"/>
  <c r="BC1004" i="26"/>
  <c r="BD1004" i="26"/>
  <c r="BE975" i="26"/>
  <c r="BE977" i="26"/>
  <c r="BE979" i="26"/>
  <c r="BE981" i="26"/>
  <c r="BE983" i="26"/>
  <c r="BE985" i="26"/>
  <c r="BE987" i="26"/>
  <c r="BE989" i="26"/>
  <c r="BE991" i="26"/>
  <c r="BL993" i="26"/>
  <c r="BB993" i="26"/>
  <c r="BH993" i="26"/>
  <c r="BK993" i="26" s="1"/>
  <c r="AZ993" i="26"/>
  <c r="BA993" i="26" s="1"/>
  <c r="BA994" i="26"/>
  <c r="BK996" i="26"/>
  <c r="BL997" i="26"/>
  <c r="BB997" i="26"/>
  <c r="BH997" i="26"/>
  <c r="BK997" i="26" s="1"/>
  <c r="AZ997" i="26"/>
  <c r="BA997" i="26" s="1"/>
  <c r="BA998" i="26"/>
  <c r="BK1000" i="26"/>
  <c r="BL1001" i="26"/>
  <c r="BB1001" i="26"/>
  <c r="BH1001" i="26"/>
  <c r="BK1001" i="26" s="1"/>
  <c r="AZ1001" i="26"/>
  <c r="BA1001" i="26" s="1"/>
  <c r="BA1002" i="26"/>
  <c r="BK1004" i="26"/>
  <c r="BL1005" i="26"/>
  <c r="BB1005" i="26"/>
  <c r="BH1005" i="26"/>
  <c r="BK1005" i="26" s="1"/>
  <c r="AZ1005" i="26"/>
  <c r="BA1005" i="26" s="1"/>
  <c r="BE994" i="26"/>
  <c r="BE996" i="26"/>
  <c r="BE998" i="26"/>
  <c r="BE1000" i="26"/>
  <c r="BE1002" i="26"/>
  <c r="BE1004" i="26"/>
  <c r="BF1002" i="4" l="1"/>
  <c r="BE1002" i="4"/>
  <c r="BF998" i="4"/>
  <c r="BE998" i="4"/>
  <c r="BF994" i="4"/>
  <c r="BE994" i="4"/>
  <c r="BF989" i="4"/>
  <c r="BE989" i="4"/>
  <c r="BF985" i="4"/>
  <c r="BE985" i="4"/>
  <c r="BF981" i="4"/>
  <c r="BE981" i="4"/>
  <c r="BF977" i="4"/>
  <c r="BE977" i="4"/>
  <c r="BE992" i="4"/>
  <c r="BF992" i="4"/>
  <c r="BE988" i="4"/>
  <c r="BF988" i="4"/>
  <c r="BE984" i="4"/>
  <c r="BF984" i="4"/>
  <c r="BE980" i="4"/>
  <c r="BF980" i="4"/>
  <c r="BE976" i="4"/>
  <c r="BF976" i="4"/>
  <c r="BF969" i="4"/>
  <c r="BE969" i="4"/>
  <c r="BF965" i="4"/>
  <c r="BE965" i="4"/>
  <c r="BF961" i="4"/>
  <c r="BE961" i="4"/>
  <c r="BF957" i="4"/>
  <c r="BE957" i="4"/>
  <c r="BF953" i="4"/>
  <c r="BE953" i="4"/>
  <c r="BF949" i="4"/>
  <c r="BE949" i="4"/>
  <c r="BF945" i="4"/>
  <c r="BE945" i="4"/>
  <c r="BF941" i="4"/>
  <c r="BE941" i="4"/>
  <c r="BF937" i="4"/>
  <c r="BE937" i="4"/>
  <c r="BF933" i="4"/>
  <c r="BE933" i="4"/>
  <c r="BE1003" i="4"/>
  <c r="BF1003" i="4"/>
  <c r="BC1003" i="4"/>
  <c r="BB1003" i="4"/>
  <c r="BE999" i="4"/>
  <c r="BF999" i="4"/>
  <c r="BC999" i="4"/>
  <c r="BB999" i="4"/>
  <c r="BE995" i="4"/>
  <c r="BF995" i="4"/>
  <c r="BC995" i="4"/>
  <c r="BB995" i="4"/>
  <c r="BJ992" i="4"/>
  <c r="BJ988" i="4"/>
  <c r="BJ984" i="4"/>
  <c r="BJ980" i="4"/>
  <c r="BJ976" i="4"/>
  <c r="BE972" i="4"/>
  <c r="BF972" i="4"/>
  <c r="BC970" i="4"/>
  <c r="BB970" i="4"/>
  <c r="BC962" i="4"/>
  <c r="BB962" i="4"/>
  <c r="BC952" i="4"/>
  <c r="BB952" i="4"/>
  <c r="BC948" i="4"/>
  <c r="BB948" i="4"/>
  <c r="BC942" i="4"/>
  <c r="BB942" i="4"/>
  <c r="BC934" i="4"/>
  <c r="BB934" i="4"/>
  <c r="BF932" i="4"/>
  <c r="BE932" i="4"/>
  <c r="BF930" i="4"/>
  <c r="BE930" i="4"/>
  <c r="BF928" i="4"/>
  <c r="BE928" i="4"/>
  <c r="BF926" i="4"/>
  <c r="BE926" i="4"/>
  <c r="BC944" i="4"/>
  <c r="BB944" i="4"/>
  <c r="BE942" i="4"/>
  <c r="BF942" i="4"/>
  <c r="BC940" i="4"/>
  <c r="BB940" i="4"/>
  <c r="BE938" i="4"/>
  <c r="BF938" i="4"/>
  <c r="BC936" i="4"/>
  <c r="BB936" i="4"/>
  <c r="BE934" i="4"/>
  <c r="BF934" i="4"/>
  <c r="BB930" i="4"/>
  <c r="BC930" i="4"/>
  <c r="BE929" i="4"/>
  <c r="BF929" i="4"/>
  <c r="BB926" i="4"/>
  <c r="BC926" i="4"/>
  <c r="BE925" i="4"/>
  <c r="BF925" i="4"/>
  <c r="BF923" i="4"/>
  <c r="BE923" i="4"/>
  <c r="BF919" i="4"/>
  <c r="BE919" i="4"/>
  <c r="BF915" i="4"/>
  <c r="BE915" i="4"/>
  <c r="BC924" i="4"/>
  <c r="BB924" i="4"/>
  <c r="BC916" i="4"/>
  <c r="BB916" i="4"/>
  <c r="BF914" i="4"/>
  <c r="BE914" i="4"/>
  <c r="BF912" i="4"/>
  <c r="BE912" i="4"/>
  <c r="BF910" i="4"/>
  <c r="BE910" i="4"/>
  <c r="BF908" i="4"/>
  <c r="BE908" i="4"/>
  <c r="BF906" i="4"/>
  <c r="BE906" i="4"/>
  <c r="BF904" i="4"/>
  <c r="BE904" i="4"/>
  <c r="BF902" i="4"/>
  <c r="BE902" i="4"/>
  <c r="BF900" i="4"/>
  <c r="BE900" i="4"/>
  <c r="BF898" i="4"/>
  <c r="BE898" i="4"/>
  <c r="BF896" i="4"/>
  <c r="BE896" i="4"/>
  <c r="BF894" i="4"/>
  <c r="BE894" i="4"/>
  <c r="BF892" i="4"/>
  <c r="BE892" i="4"/>
  <c r="BF890" i="4"/>
  <c r="BE890" i="4"/>
  <c r="BF888" i="4"/>
  <c r="BE888" i="4"/>
  <c r="BF886" i="4"/>
  <c r="BE886" i="4"/>
  <c r="BF884" i="4"/>
  <c r="BE884" i="4"/>
  <c r="BF882" i="4"/>
  <c r="BE882" i="4"/>
  <c r="BF880" i="4"/>
  <c r="BE880" i="4"/>
  <c r="BE924" i="4"/>
  <c r="BF924" i="4"/>
  <c r="BC922" i="4"/>
  <c r="BB922" i="4"/>
  <c r="BE920" i="4"/>
  <c r="BF920" i="4"/>
  <c r="BC918" i="4"/>
  <c r="BB918" i="4"/>
  <c r="BE916" i="4"/>
  <c r="BF916" i="4"/>
  <c r="BB912" i="4"/>
  <c r="BC912" i="4"/>
  <c r="BE911" i="4"/>
  <c r="BF911" i="4"/>
  <c r="BB908" i="4"/>
  <c r="BC908" i="4"/>
  <c r="BE907" i="4"/>
  <c r="BF907" i="4"/>
  <c r="BB904" i="4"/>
  <c r="BC904" i="4"/>
  <c r="BE903" i="4"/>
  <c r="BF903" i="4"/>
  <c r="BB900" i="4"/>
  <c r="BC900" i="4"/>
  <c r="BE899" i="4"/>
  <c r="BF899" i="4"/>
  <c r="BB896" i="4"/>
  <c r="BC896" i="4"/>
  <c r="BE895" i="4"/>
  <c r="BF895" i="4"/>
  <c r="BB892" i="4"/>
  <c r="BC892" i="4"/>
  <c r="BE891" i="4"/>
  <c r="BF891" i="4"/>
  <c r="BB888" i="4"/>
  <c r="BC888" i="4"/>
  <c r="BE887" i="4"/>
  <c r="BF887" i="4"/>
  <c r="BB884" i="4"/>
  <c r="BC884" i="4"/>
  <c r="BE883" i="4"/>
  <c r="BF883" i="4"/>
  <c r="BB880" i="4"/>
  <c r="BC880" i="4"/>
  <c r="BE879" i="4"/>
  <c r="BF879" i="4"/>
  <c r="BF877" i="4"/>
  <c r="BE877" i="4"/>
  <c r="BF873" i="4"/>
  <c r="BE873" i="4"/>
  <c r="BF869" i="4"/>
  <c r="BE869" i="4"/>
  <c r="BB878" i="4"/>
  <c r="BC878" i="4"/>
  <c r="BF878" i="4"/>
  <c r="BE878" i="4"/>
  <c r="BC870" i="4"/>
  <c r="BB870" i="4"/>
  <c r="BE868" i="4"/>
  <c r="BF868" i="4"/>
  <c r="BF866" i="4"/>
  <c r="BE866" i="4"/>
  <c r="BF864" i="4"/>
  <c r="BE864" i="4"/>
  <c r="BF862" i="4"/>
  <c r="BE862" i="4"/>
  <c r="BF860" i="4"/>
  <c r="BE860" i="4"/>
  <c r="BF858" i="4"/>
  <c r="BE858" i="4"/>
  <c r="BF856" i="4"/>
  <c r="BE856" i="4"/>
  <c r="BF854" i="4"/>
  <c r="BE854" i="4"/>
  <c r="BF852" i="4"/>
  <c r="BE852" i="4"/>
  <c r="BF850" i="4"/>
  <c r="BE850" i="4"/>
  <c r="BF848" i="4"/>
  <c r="BE848" i="4"/>
  <c r="BF846" i="4"/>
  <c r="BE846" i="4"/>
  <c r="BF844" i="4"/>
  <c r="BE844" i="4"/>
  <c r="BF842" i="4"/>
  <c r="BE842" i="4"/>
  <c r="BF840" i="4"/>
  <c r="BE840" i="4"/>
  <c r="BF838" i="4"/>
  <c r="BE838" i="4"/>
  <c r="BF836" i="4"/>
  <c r="BE836" i="4"/>
  <c r="BF834" i="4"/>
  <c r="BE834" i="4"/>
  <c r="BF832" i="4"/>
  <c r="BE832" i="4"/>
  <c r="BF830" i="4"/>
  <c r="BE830" i="4"/>
  <c r="BF828" i="4"/>
  <c r="BE828" i="4"/>
  <c r="BF826" i="4"/>
  <c r="BE826" i="4"/>
  <c r="BF824" i="4"/>
  <c r="BE824" i="4"/>
  <c r="BF822" i="4"/>
  <c r="BE822" i="4"/>
  <c r="BF820" i="4"/>
  <c r="BE820" i="4"/>
  <c r="BF818" i="4"/>
  <c r="BE818" i="4"/>
  <c r="BF816" i="4"/>
  <c r="BE816" i="4"/>
  <c r="BF814" i="4"/>
  <c r="BE814" i="4"/>
  <c r="BF812" i="4"/>
  <c r="BE812" i="4"/>
  <c r="BF810" i="4"/>
  <c r="BE810" i="4"/>
  <c r="BF808" i="4"/>
  <c r="BE808" i="4"/>
  <c r="BF806" i="4"/>
  <c r="BE806" i="4"/>
  <c r="BF804" i="4"/>
  <c r="BE804" i="4"/>
  <c r="BF802" i="4"/>
  <c r="BE802" i="4"/>
  <c r="BF800" i="4"/>
  <c r="BE800" i="4"/>
  <c r="BF798" i="4"/>
  <c r="BE798" i="4"/>
  <c r="BF796" i="4"/>
  <c r="BE796" i="4"/>
  <c r="BF794" i="4"/>
  <c r="BE794" i="4"/>
  <c r="BF792" i="4"/>
  <c r="BE792" i="4"/>
  <c r="BB866" i="4"/>
  <c r="BC866" i="4"/>
  <c r="BE865" i="4"/>
  <c r="BF865" i="4"/>
  <c r="BB862" i="4"/>
  <c r="BC862" i="4"/>
  <c r="BE861" i="4"/>
  <c r="BF861" i="4"/>
  <c r="BB858" i="4"/>
  <c r="BC858" i="4"/>
  <c r="BE857" i="4"/>
  <c r="BF857" i="4"/>
  <c r="BB854" i="4"/>
  <c r="BC854" i="4"/>
  <c r="BE853" i="4"/>
  <c r="BF853" i="4"/>
  <c r="BB850" i="4"/>
  <c r="BC850" i="4"/>
  <c r="BE849" i="4"/>
  <c r="BF849" i="4"/>
  <c r="BB846" i="4"/>
  <c r="BC846" i="4"/>
  <c r="BE845" i="4"/>
  <c r="BF845" i="4"/>
  <c r="BB842" i="4"/>
  <c r="BC842" i="4"/>
  <c r="BE841" i="4"/>
  <c r="BF841" i="4"/>
  <c r="BB838" i="4"/>
  <c r="BC838" i="4"/>
  <c r="BE837" i="4"/>
  <c r="BF837" i="4"/>
  <c r="BB834" i="4"/>
  <c r="BC834" i="4"/>
  <c r="BE833" i="4"/>
  <c r="BF833" i="4"/>
  <c r="BB830" i="4"/>
  <c r="BC830" i="4"/>
  <c r="BE829" i="4"/>
  <c r="BF829" i="4"/>
  <c r="BB826" i="4"/>
  <c r="BC826" i="4"/>
  <c r="BE825" i="4"/>
  <c r="BF825" i="4"/>
  <c r="BB822" i="4"/>
  <c r="BC822" i="4"/>
  <c r="BE821" i="4"/>
  <c r="BF821" i="4"/>
  <c r="BB818" i="4"/>
  <c r="BC818" i="4"/>
  <c r="BE817" i="4"/>
  <c r="BF817" i="4"/>
  <c r="BB814" i="4"/>
  <c r="BC814" i="4"/>
  <c r="BE813" i="4"/>
  <c r="BF813" i="4"/>
  <c r="BB810" i="4"/>
  <c r="BC810" i="4"/>
  <c r="BE809" i="4"/>
  <c r="BF809" i="4"/>
  <c r="BB806" i="4"/>
  <c r="BC806" i="4"/>
  <c r="BE805" i="4"/>
  <c r="BF805" i="4"/>
  <c r="BB802" i="4"/>
  <c r="BC802" i="4"/>
  <c r="BE801" i="4"/>
  <c r="BF801" i="4"/>
  <c r="BB798" i="4"/>
  <c r="BC798" i="4"/>
  <c r="BE797" i="4"/>
  <c r="BF797" i="4"/>
  <c r="BB794" i="4"/>
  <c r="BC794" i="4"/>
  <c r="BE793" i="4"/>
  <c r="BF793" i="4"/>
  <c r="BF789" i="4"/>
  <c r="BE789" i="4"/>
  <c r="BF785" i="4"/>
  <c r="BE785" i="4"/>
  <c r="BF781" i="4"/>
  <c r="BE781" i="4"/>
  <c r="BF777" i="4"/>
  <c r="BE777" i="4"/>
  <c r="BF773" i="4"/>
  <c r="BE773" i="4"/>
  <c r="BC784" i="4"/>
  <c r="BB784" i="4"/>
  <c r="BC776" i="4"/>
  <c r="BB776" i="4"/>
  <c r="BE772" i="4"/>
  <c r="BF772" i="4"/>
  <c r="BB771" i="4"/>
  <c r="BC771" i="4"/>
  <c r="BE770" i="4"/>
  <c r="BF770" i="4"/>
  <c r="BB767" i="4"/>
  <c r="BC767" i="4"/>
  <c r="BE766" i="4"/>
  <c r="BF766" i="4"/>
  <c r="BB763" i="4"/>
  <c r="BC763" i="4"/>
  <c r="BE762" i="4"/>
  <c r="BF762" i="4"/>
  <c r="BB759" i="4"/>
  <c r="BC759" i="4"/>
  <c r="BE758" i="4"/>
  <c r="BF758" i="4"/>
  <c r="BB755" i="4"/>
  <c r="BC755" i="4"/>
  <c r="BE754" i="4"/>
  <c r="BF754" i="4"/>
  <c r="BB751" i="4"/>
  <c r="BC751" i="4"/>
  <c r="BE750" i="4"/>
  <c r="BF750" i="4"/>
  <c r="BB747" i="4"/>
  <c r="BC747" i="4"/>
  <c r="BE746" i="4"/>
  <c r="BF746" i="4"/>
  <c r="BB743" i="4"/>
  <c r="BC743" i="4"/>
  <c r="BE742" i="4"/>
  <c r="BF742" i="4"/>
  <c r="BB739" i="4"/>
  <c r="BC739" i="4"/>
  <c r="BE738" i="4"/>
  <c r="BF738" i="4"/>
  <c r="BB735" i="4"/>
  <c r="BC735" i="4"/>
  <c r="BE734" i="4"/>
  <c r="BF734" i="4"/>
  <c r="BB731" i="4"/>
  <c r="BC731" i="4"/>
  <c r="BE730" i="4"/>
  <c r="BF730" i="4"/>
  <c r="BB727" i="4"/>
  <c r="BC727" i="4"/>
  <c r="BE726" i="4"/>
  <c r="BF726" i="4"/>
  <c r="BB723" i="4"/>
  <c r="BC723" i="4"/>
  <c r="BE722" i="4"/>
  <c r="BF722" i="4"/>
  <c r="BB719" i="4"/>
  <c r="BC719" i="4"/>
  <c r="BE718" i="4"/>
  <c r="BF718" i="4"/>
  <c r="BB715" i="4"/>
  <c r="BC715" i="4"/>
  <c r="BE714" i="4"/>
  <c r="BF714" i="4"/>
  <c r="BB711" i="4"/>
  <c r="BC711" i="4"/>
  <c r="BE710" i="4"/>
  <c r="BF710" i="4"/>
  <c r="BB707" i="4"/>
  <c r="BC707" i="4"/>
  <c r="BE706" i="4"/>
  <c r="BF706" i="4"/>
  <c r="BB703" i="4"/>
  <c r="BC703" i="4"/>
  <c r="BE702" i="4"/>
  <c r="BF702" i="4"/>
  <c r="BB699" i="4"/>
  <c r="BC699" i="4"/>
  <c r="BE698" i="4"/>
  <c r="BF698" i="4"/>
  <c r="BB695" i="4"/>
  <c r="BC695" i="4"/>
  <c r="BE694" i="4"/>
  <c r="BF694" i="4"/>
  <c r="BB691" i="4"/>
  <c r="BC691" i="4"/>
  <c r="BE690" i="4"/>
  <c r="BF690" i="4"/>
  <c r="BB687" i="4"/>
  <c r="BC687" i="4"/>
  <c r="BE686" i="4"/>
  <c r="BF686" i="4"/>
  <c r="BB683" i="4"/>
  <c r="BC683" i="4"/>
  <c r="BE682" i="4"/>
  <c r="BF682" i="4"/>
  <c r="BB679" i="4"/>
  <c r="BC679" i="4"/>
  <c r="BE678" i="4"/>
  <c r="BF678" i="4"/>
  <c r="BB675" i="4"/>
  <c r="BC675" i="4"/>
  <c r="BE674" i="4"/>
  <c r="BF674" i="4"/>
  <c r="BB671" i="4"/>
  <c r="BC671" i="4"/>
  <c r="BE670" i="4"/>
  <c r="BF670" i="4"/>
  <c r="BB667" i="4"/>
  <c r="BC667" i="4"/>
  <c r="BE666" i="4"/>
  <c r="BF666" i="4"/>
  <c r="BB663" i="4"/>
  <c r="BC663" i="4"/>
  <c r="BE662" i="4"/>
  <c r="BF662" i="4"/>
  <c r="BB659" i="4"/>
  <c r="BC659" i="4"/>
  <c r="BE658" i="4"/>
  <c r="BF658" i="4"/>
  <c r="BF652" i="4"/>
  <c r="BE652" i="4"/>
  <c r="BF648" i="4"/>
  <c r="BE648" i="4"/>
  <c r="BF644" i="4"/>
  <c r="BE644" i="4"/>
  <c r="BF640" i="4"/>
  <c r="BE640" i="4"/>
  <c r="BF636" i="4"/>
  <c r="BE636" i="4"/>
  <c r="BF632" i="4"/>
  <c r="BE632" i="4"/>
  <c r="BC649" i="4"/>
  <c r="BB649" i="4"/>
  <c r="BC641" i="4"/>
  <c r="BB641" i="4"/>
  <c r="BC633" i="4"/>
  <c r="BB633" i="4"/>
  <c r="BF628" i="4"/>
  <c r="BE628" i="4"/>
  <c r="BF626" i="4"/>
  <c r="BE626" i="4"/>
  <c r="BF624" i="4"/>
  <c r="BE624" i="4"/>
  <c r="BF622" i="4"/>
  <c r="BE622" i="4"/>
  <c r="BF620" i="4"/>
  <c r="BE620" i="4"/>
  <c r="BF618" i="4"/>
  <c r="BE618" i="4"/>
  <c r="BF616" i="4"/>
  <c r="BE616" i="4"/>
  <c r="BF614" i="4"/>
  <c r="BE614" i="4"/>
  <c r="BF612" i="4"/>
  <c r="BE612" i="4"/>
  <c r="BF610" i="4"/>
  <c r="BE610" i="4"/>
  <c r="BF608" i="4"/>
  <c r="BE608" i="4"/>
  <c r="BF606" i="4"/>
  <c r="BE606" i="4"/>
  <c r="BF604" i="4"/>
  <c r="BE604" i="4"/>
  <c r="BF602" i="4"/>
  <c r="BE602" i="4"/>
  <c r="BF600" i="4"/>
  <c r="BE600" i="4"/>
  <c r="BF598" i="4"/>
  <c r="BE598" i="4"/>
  <c r="BF596" i="4"/>
  <c r="BE596" i="4"/>
  <c r="BF594" i="4"/>
  <c r="BE594" i="4"/>
  <c r="BF592" i="4"/>
  <c r="BE592" i="4"/>
  <c r="BF590" i="4"/>
  <c r="BE590" i="4"/>
  <c r="BF588" i="4"/>
  <c r="BE588" i="4"/>
  <c r="BF586" i="4"/>
  <c r="BE586" i="4"/>
  <c r="BF584" i="4"/>
  <c r="BE584" i="4"/>
  <c r="BF582" i="4"/>
  <c r="BE582" i="4"/>
  <c r="BF580" i="4"/>
  <c r="BE580" i="4"/>
  <c r="BF578" i="4"/>
  <c r="BE578" i="4"/>
  <c r="BF576" i="4"/>
  <c r="BE576" i="4"/>
  <c r="BF574" i="4"/>
  <c r="BE574" i="4"/>
  <c r="BF572" i="4"/>
  <c r="BE572" i="4"/>
  <c r="BF570" i="4"/>
  <c r="BE570" i="4"/>
  <c r="BF568" i="4"/>
  <c r="BE568" i="4"/>
  <c r="BF566" i="4"/>
  <c r="BE566" i="4"/>
  <c r="BF564" i="4"/>
  <c r="BE564" i="4"/>
  <c r="BF562" i="4"/>
  <c r="BE562" i="4"/>
  <c r="BF560" i="4"/>
  <c r="BE560" i="4"/>
  <c r="BF558" i="4"/>
  <c r="BE558" i="4"/>
  <c r="BF556" i="4"/>
  <c r="BE556" i="4"/>
  <c r="BF554" i="4"/>
  <c r="BE554" i="4"/>
  <c r="BF552" i="4"/>
  <c r="BE552" i="4"/>
  <c r="BF550" i="4"/>
  <c r="BE550" i="4"/>
  <c r="BF548" i="4"/>
  <c r="BE548" i="4"/>
  <c r="BF546" i="4"/>
  <c r="BE546" i="4"/>
  <c r="BF544" i="4"/>
  <c r="BE544" i="4"/>
  <c r="BF542" i="4"/>
  <c r="BE542" i="4"/>
  <c r="BF540" i="4"/>
  <c r="BE540" i="4"/>
  <c r="BF538" i="4"/>
  <c r="BE538" i="4"/>
  <c r="BF536" i="4"/>
  <c r="BE536" i="4"/>
  <c r="BF534" i="4"/>
  <c r="BE534" i="4"/>
  <c r="BF532" i="4"/>
  <c r="BE532" i="4"/>
  <c r="BF530" i="4"/>
  <c r="BE530" i="4"/>
  <c r="BF528" i="4"/>
  <c r="BE528" i="4"/>
  <c r="BF526" i="4"/>
  <c r="BE526" i="4"/>
  <c r="BF524" i="4"/>
  <c r="BE524" i="4"/>
  <c r="BF522" i="4"/>
  <c r="BE522" i="4"/>
  <c r="BF520" i="4"/>
  <c r="BE520" i="4"/>
  <c r="BF518" i="4"/>
  <c r="BE518" i="4"/>
  <c r="BF516" i="4"/>
  <c r="BE516" i="4"/>
  <c r="BF514" i="4"/>
  <c r="BE514" i="4"/>
  <c r="BF512" i="4"/>
  <c r="BE512" i="4"/>
  <c r="BF510" i="4"/>
  <c r="BE510" i="4"/>
  <c r="BF508" i="4"/>
  <c r="BE508" i="4"/>
  <c r="BF506" i="4"/>
  <c r="BE506" i="4"/>
  <c r="BF504" i="4"/>
  <c r="BE504" i="4"/>
  <c r="BF502" i="4"/>
  <c r="BE502" i="4"/>
  <c r="BF500" i="4"/>
  <c r="BE500" i="4"/>
  <c r="BF498" i="4"/>
  <c r="BE498" i="4"/>
  <c r="BF496" i="4"/>
  <c r="BE496" i="4"/>
  <c r="BF494" i="4"/>
  <c r="BE494" i="4"/>
  <c r="BF492" i="4"/>
  <c r="BE492" i="4"/>
  <c r="BF490" i="4"/>
  <c r="BE490" i="4"/>
  <c r="BF488" i="4"/>
  <c r="BE488" i="4"/>
  <c r="BF486" i="4"/>
  <c r="BE486" i="4"/>
  <c r="BF484" i="4"/>
  <c r="BE484" i="4"/>
  <c r="BF482" i="4"/>
  <c r="BE482" i="4"/>
  <c r="BF480" i="4"/>
  <c r="BE480" i="4"/>
  <c r="BF478" i="4"/>
  <c r="BE478" i="4"/>
  <c r="BF476" i="4"/>
  <c r="BE476" i="4"/>
  <c r="BF474" i="4"/>
  <c r="BE474" i="4"/>
  <c r="BF472" i="4"/>
  <c r="BE472" i="4"/>
  <c r="BF470" i="4"/>
  <c r="BE470" i="4"/>
  <c r="BF468" i="4"/>
  <c r="BE468" i="4"/>
  <c r="BB628" i="4"/>
  <c r="BC628" i="4"/>
  <c r="BE627" i="4"/>
  <c r="BF627" i="4"/>
  <c r="BB624" i="4"/>
  <c r="BC624" i="4"/>
  <c r="BE623" i="4"/>
  <c r="BF623" i="4"/>
  <c r="BB620" i="4"/>
  <c r="BC620" i="4"/>
  <c r="BE619" i="4"/>
  <c r="BF619" i="4"/>
  <c r="BB616" i="4"/>
  <c r="BC616" i="4"/>
  <c r="BE615" i="4"/>
  <c r="BF615" i="4"/>
  <c r="BB612" i="4"/>
  <c r="BC612" i="4"/>
  <c r="BE611" i="4"/>
  <c r="BF611" i="4"/>
  <c r="BB608" i="4"/>
  <c r="BC608" i="4"/>
  <c r="BE607" i="4"/>
  <c r="BF607" i="4"/>
  <c r="BB604" i="4"/>
  <c r="BC604" i="4"/>
  <c r="BE603" i="4"/>
  <c r="BF603" i="4"/>
  <c r="BB600" i="4"/>
  <c r="BC600" i="4"/>
  <c r="BE599" i="4"/>
  <c r="BF599" i="4"/>
  <c r="BB596" i="4"/>
  <c r="BC596" i="4"/>
  <c r="BE595" i="4"/>
  <c r="BF595" i="4"/>
  <c r="BB592" i="4"/>
  <c r="BC592" i="4"/>
  <c r="BE591" i="4"/>
  <c r="BF591" i="4"/>
  <c r="BB588" i="4"/>
  <c r="BC588" i="4"/>
  <c r="BE587" i="4"/>
  <c r="BF587" i="4"/>
  <c r="BB584" i="4"/>
  <c r="BC584" i="4"/>
  <c r="BE583" i="4"/>
  <c r="BF583" i="4"/>
  <c r="BB580" i="4"/>
  <c r="BC580" i="4"/>
  <c r="BE579" i="4"/>
  <c r="BF579" i="4"/>
  <c r="BB576" i="4"/>
  <c r="BC576" i="4"/>
  <c r="BE575" i="4"/>
  <c r="BF575" i="4"/>
  <c r="BB572" i="4"/>
  <c r="BC572" i="4"/>
  <c r="BE571" i="4"/>
  <c r="BF571" i="4"/>
  <c r="BB568" i="4"/>
  <c r="BC568" i="4"/>
  <c r="BE567" i="4"/>
  <c r="BF567" i="4"/>
  <c r="BB564" i="4"/>
  <c r="BC564" i="4"/>
  <c r="BE563" i="4"/>
  <c r="BF563" i="4"/>
  <c r="BB560" i="4"/>
  <c r="BC560" i="4"/>
  <c r="BE559" i="4"/>
  <c r="BF559" i="4"/>
  <c r="BB556" i="4"/>
  <c r="BC556" i="4"/>
  <c r="BE555" i="4"/>
  <c r="BF555" i="4"/>
  <c r="BB552" i="4"/>
  <c r="BC552" i="4"/>
  <c r="BE551" i="4"/>
  <c r="BF551" i="4"/>
  <c r="BB548" i="4"/>
  <c r="BC548" i="4"/>
  <c r="BE547" i="4"/>
  <c r="BF547" i="4"/>
  <c r="BB544" i="4"/>
  <c r="BC544" i="4"/>
  <c r="BE543" i="4"/>
  <c r="BF543" i="4"/>
  <c r="BB540" i="4"/>
  <c r="BC540" i="4"/>
  <c r="BE539" i="4"/>
  <c r="BF539" i="4"/>
  <c r="BB536" i="4"/>
  <c r="BC536" i="4"/>
  <c r="BE535" i="4"/>
  <c r="BF535" i="4"/>
  <c r="BB532" i="4"/>
  <c r="BC532" i="4"/>
  <c r="BE531" i="4"/>
  <c r="BF531" i="4"/>
  <c r="BB528" i="4"/>
  <c r="BC528" i="4"/>
  <c r="BE527" i="4"/>
  <c r="BF527" i="4"/>
  <c r="BB524" i="4"/>
  <c r="BC524" i="4"/>
  <c r="BE523" i="4"/>
  <c r="BF523" i="4"/>
  <c r="BB520" i="4"/>
  <c r="BC520" i="4"/>
  <c r="BE519" i="4"/>
  <c r="BF519" i="4"/>
  <c r="BB516" i="4"/>
  <c r="BC516" i="4"/>
  <c r="BE515" i="4"/>
  <c r="BF515" i="4"/>
  <c r="BB512" i="4"/>
  <c r="BC512" i="4"/>
  <c r="BE511" i="4"/>
  <c r="BF511" i="4"/>
  <c r="BB508" i="4"/>
  <c r="BC508" i="4"/>
  <c r="BE507" i="4"/>
  <c r="BF507" i="4"/>
  <c r="BB504" i="4"/>
  <c r="BC504" i="4"/>
  <c r="BE503" i="4"/>
  <c r="BF503" i="4"/>
  <c r="BB500" i="4"/>
  <c r="BC500" i="4"/>
  <c r="BE499" i="4"/>
  <c r="BF499" i="4"/>
  <c r="BB496" i="4"/>
  <c r="BC496" i="4"/>
  <c r="BE495" i="4"/>
  <c r="BF495" i="4"/>
  <c r="BB492" i="4"/>
  <c r="BC492" i="4"/>
  <c r="BE491" i="4"/>
  <c r="BF491" i="4"/>
  <c r="BB488" i="4"/>
  <c r="BC488" i="4"/>
  <c r="BE487" i="4"/>
  <c r="BF487" i="4"/>
  <c r="BB484" i="4"/>
  <c r="BC484" i="4"/>
  <c r="BE483" i="4"/>
  <c r="BF483" i="4"/>
  <c r="BB480" i="4"/>
  <c r="BC480" i="4"/>
  <c r="BE479" i="4"/>
  <c r="BF479" i="4"/>
  <c r="BB476" i="4"/>
  <c r="BC476" i="4"/>
  <c r="BE475" i="4"/>
  <c r="BF475" i="4"/>
  <c r="BB472" i="4"/>
  <c r="BC472" i="4"/>
  <c r="BE471" i="4"/>
  <c r="BF471" i="4"/>
  <c r="BB468" i="4"/>
  <c r="BC468" i="4"/>
  <c r="BE467" i="4"/>
  <c r="BF467" i="4"/>
  <c r="BF465" i="4"/>
  <c r="BE465" i="4"/>
  <c r="BF461" i="4"/>
  <c r="BE461" i="4"/>
  <c r="BF457" i="4"/>
  <c r="BE457" i="4"/>
  <c r="BF453" i="4"/>
  <c r="BE453" i="4"/>
  <c r="BF449" i="4"/>
  <c r="BE449" i="4"/>
  <c r="BC460" i="4"/>
  <c r="BB460" i="4"/>
  <c r="BC452" i="4"/>
  <c r="BB452" i="4"/>
  <c r="BC466" i="4"/>
  <c r="BB466" i="4"/>
  <c r="BE464" i="4"/>
  <c r="BF464" i="4"/>
  <c r="BC462" i="4"/>
  <c r="BB462" i="4"/>
  <c r="BE460" i="4"/>
  <c r="BF460" i="4"/>
  <c r="BC458" i="4"/>
  <c r="BB458" i="4"/>
  <c r="BE456" i="4"/>
  <c r="BF456" i="4"/>
  <c r="BC454" i="4"/>
  <c r="BB454" i="4"/>
  <c r="BE452" i="4"/>
  <c r="BF452" i="4"/>
  <c r="BC450" i="4"/>
  <c r="BB450" i="4"/>
  <c r="BE448" i="4"/>
  <c r="BF448" i="4"/>
  <c r="BC446" i="4"/>
  <c r="BB446" i="4"/>
  <c r="BB444" i="4"/>
  <c r="BC444" i="4"/>
  <c r="BE443" i="4"/>
  <c r="BF443" i="4"/>
  <c r="BB440" i="4"/>
  <c r="BC440" i="4"/>
  <c r="BE439" i="4"/>
  <c r="BF439" i="4"/>
  <c r="BB436" i="4"/>
  <c r="BC436" i="4"/>
  <c r="BE435" i="4"/>
  <c r="BF435" i="4"/>
  <c r="BB432" i="4"/>
  <c r="BC432" i="4"/>
  <c r="BE431" i="4"/>
  <c r="BF431" i="4"/>
  <c r="BB428" i="4"/>
  <c r="BC428" i="4"/>
  <c r="BE427" i="4"/>
  <c r="BF427" i="4"/>
  <c r="BB424" i="4"/>
  <c r="BC424" i="4"/>
  <c r="BE423" i="4"/>
  <c r="BF423" i="4"/>
  <c r="BB420" i="4"/>
  <c r="BC420" i="4"/>
  <c r="BE419" i="4"/>
  <c r="BF419" i="4"/>
  <c r="BB416" i="4"/>
  <c r="BC416" i="4"/>
  <c r="BE415" i="4"/>
  <c r="BF415" i="4"/>
  <c r="BB412" i="4"/>
  <c r="BC412" i="4"/>
  <c r="BE411" i="4"/>
  <c r="BF411" i="4"/>
  <c r="BB408" i="4"/>
  <c r="BC408" i="4"/>
  <c r="BE407" i="4"/>
  <c r="BF407" i="4"/>
  <c r="BB404" i="4"/>
  <c r="BC404" i="4"/>
  <c r="BE403" i="4"/>
  <c r="BF403" i="4"/>
  <c r="BB400" i="4"/>
  <c r="BC400" i="4"/>
  <c r="BE399" i="4"/>
  <c r="BF399" i="4"/>
  <c r="BB396" i="4"/>
  <c r="BC396" i="4"/>
  <c r="BE395" i="4"/>
  <c r="BF395" i="4"/>
  <c r="BB392" i="4"/>
  <c r="BC392" i="4"/>
  <c r="BE391" i="4"/>
  <c r="BF391" i="4"/>
  <c r="BB388" i="4"/>
  <c r="BC388" i="4"/>
  <c r="BE387" i="4"/>
  <c r="BF387" i="4"/>
  <c r="BB384" i="4"/>
  <c r="BC384" i="4"/>
  <c r="BE383" i="4"/>
  <c r="BF383" i="4"/>
  <c r="BB380" i="4"/>
  <c r="BC380" i="4"/>
  <c r="BE379" i="4"/>
  <c r="BF379" i="4"/>
  <c r="BB376" i="4"/>
  <c r="BC376" i="4"/>
  <c r="BE375" i="4"/>
  <c r="BF375" i="4"/>
  <c r="BB372" i="4"/>
  <c r="BC372" i="4"/>
  <c r="BE371" i="4"/>
  <c r="BF371" i="4"/>
  <c r="BB368" i="4"/>
  <c r="BC368" i="4"/>
  <c r="BE367" i="4"/>
  <c r="BF367" i="4"/>
  <c r="BB364" i="4"/>
  <c r="BC364" i="4"/>
  <c r="BE363" i="4"/>
  <c r="BF363" i="4"/>
  <c r="BB360" i="4"/>
  <c r="BC360" i="4"/>
  <c r="BE359" i="4"/>
  <c r="BF359" i="4"/>
  <c r="BB356" i="4"/>
  <c r="BC356" i="4"/>
  <c r="BE355" i="4"/>
  <c r="BF355" i="4"/>
  <c r="BB352" i="4"/>
  <c r="BC352" i="4"/>
  <c r="BE351" i="4"/>
  <c r="BF351" i="4"/>
  <c r="BB348" i="4"/>
  <c r="BC348" i="4"/>
  <c r="BE347" i="4"/>
  <c r="BF347" i="4"/>
  <c r="BB344" i="4"/>
  <c r="BC344" i="4"/>
  <c r="BE343" i="4"/>
  <c r="BF343" i="4"/>
  <c r="BB340" i="4"/>
  <c r="BC340" i="4"/>
  <c r="BE339" i="4"/>
  <c r="BF339" i="4"/>
  <c r="BB336" i="4"/>
  <c r="BC336" i="4"/>
  <c r="BE335" i="4"/>
  <c r="BF335" i="4"/>
  <c r="BB332" i="4"/>
  <c r="BC332" i="4"/>
  <c r="BE331" i="4"/>
  <c r="BF331" i="4"/>
  <c r="BB328" i="4"/>
  <c r="BC328" i="4"/>
  <c r="BE327" i="4"/>
  <c r="BF327" i="4"/>
  <c r="BB324" i="4"/>
  <c r="BC324" i="4"/>
  <c r="BE323" i="4"/>
  <c r="BF323" i="4"/>
  <c r="BB320" i="4"/>
  <c r="BC320" i="4"/>
  <c r="BE319" i="4"/>
  <c r="BF319" i="4"/>
  <c r="BB316" i="4"/>
  <c r="BC316" i="4"/>
  <c r="BE315" i="4"/>
  <c r="BF315" i="4"/>
  <c r="BB312" i="4"/>
  <c r="BC312" i="4"/>
  <c r="BE311" i="4"/>
  <c r="BF311" i="4"/>
  <c r="BB308" i="4"/>
  <c r="BC308" i="4"/>
  <c r="BE307" i="4"/>
  <c r="BF307" i="4"/>
  <c r="BB304" i="4"/>
  <c r="BC304" i="4"/>
  <c r="BE303" i="4"/>
  <c r="BF303" i="4"/>
  <c r="BB300" i="4"/>
  <c r="BC300" i="4"/>
  <c r="BE299" i="4"/>
  <c r="BF299" i="4"/>
  <c r="BB296" i="4"/>
  <c r="BC296" i="4"/>
  <c r="BE295" i="4"/>
  <c r="BF295" i="4"/>
  <c r="BB292" i="4"/>
  <c r="BC292" i="4"/>
  <c r="BE291" i="4"/>
  <c r="BF291" i="4"/>
  <c r="BB288" i="4"/>
  <c r="BC288" i="4"/>
  <c r="BE287" i="4"/>
  <c r="BF287" i="4"/>
  <c r="BB284" i="4"/>
  <c r="BC284" i="4"/>
  <c r="BE283" i="4"/>
  <c r="BF283" i="4"/>
  <c r="BB280" i="4"/>
  <c r="BC280" i="4"/>
  <c r="BE279" i="4"/>
  <c r="BF279" i="4"/>
  <c r="BB276" i="4"/>
  <c r="BC276" i="4"/>
  <c r="BE275" i="4"/>
  <c r="BF275" i="4"/>
  <c r="BB272" i="4"/>
  <c r="BC272" i="4"/>
  <c r="BE271" i="4"/>
  <c r="BF271" i="4"/>
  <c r="BB268" i="4"/>
  <c r="BC268" i="4"/>
  <c r="BE267" i="4"/>
  <c r="BF267" i="4"/>
  <c r="BB264" i="4"/>
  <c r="BC264" i="4"/>
  <c r="BE263" i="4"/>
  <c r="BF263" i="4"/>
  <c r="BB260" i="4"/>
  <c r="BC260" i="4"/>
  <c r="BE259" i="4"/>
  <c r="BF259" i="4"/>
  <c r="BB256" i="4"/>
  <c r="BC256" i="4"/>
  <c r="BE255" i="4"/>
  <c r="BF255" i="4"/>
  <c r="BB252" i="4"/>
  <c r="BC252" i="4"/>
  <c r="BE251" i="4"/>
  <c r="BF251" i="4"/>
  <c r="BB248" i="4"/>
  <c r="BC248" i="4"/>
  <c r="BE247" i="4"/>
  <c r="BF247" i="4"/>
  <c r="BB244" i="4"/>
  <c r="BC244" i="4"/>
  <c r="BE243" i="4"/>
  <c r="BF243" i="4"/>
  <c r="BB240" i="4"/>
  <c r="BC240" i="4"/>
  <c r="BE239" i="4"/>
  <c r="BF239" i="4"/>
  <c r="BB236" i="4"/>
  <c r="BC236" i="4"/>
  <c r="BE235" i="4"/>
  <c r="BF235" i="4"/>
  <c r="BB232" i="4"/>
  <c r="BC232" i="4"/>
  <c r="BE231" i="4"/>
  <c r="BF231" i="4"/>
  <c r="BB228" i="4"/>
  <c r="BC228" i="4"/>
  <c r="BE227" i="4"/>
  <c r="BF227" i="4"/>
  <c r="BB224" i="4"/>
  <c r="BC224" i="4"/>
  <c r="BE223" i="4"/>
  <c r="BF223" i="4"/>
  <c r="BB220" i="4"/>
  <c r="BC220" i="4"/>
  <c r="BE219" i="4"/>
  <c r="BF219" i="4"/>
  <c r="BB216" i="4"/>
  <c r="BC216" i="4"/>
  <c r="BE215" i="4"/>
  <c r="BF215" i="4"/>
  <c r="BB212" i="4"/>
  <c r="BC212" i="4"/>
  <c r="BE211" i="4"/>
  <c r="BF211" i="4"/>
  <c r="BB208" i="4"/>
  <c r="BC208" i="4"/>
  <c r="BE207" i="4"/>
  <c r="BF207" i="4"/>
  <c r="BF203" i="4"/>
  <c r="BE203" i="4"/>
  <c r="BF199" i="4"/>
  <c r="BE199" i="4"/>
  <c r="BF195" i="4"/>
  <c r="BE195" i="4"/>
  <c r="BF191" i="4"/>
  <c r="BE191" i="4"/>
  <c r="BF187" i="4"/>
  <c r="BE187" i="4"/>
  <c r="BF183" i="4"/>
  <c r="BE183" i="4"/>
  <c r="BF179" i="4"/>
  <c r="BE179" i="4"/>
  <c r="BF175" i="4"/>
  <c r="BE175" i="4"/>
  <c r="BF171" i="4"/>
  <c r="BE171" i="4"/>
  <c r="BC198" i="4"/>
  <c r="BB198" i="4"/>
  <c r="BC190" i="4"/>
  <c r="BB190" i="4"/>
  <c r="BC182" i="4"/>
  <c r="BB182" i="4"/>
  <c r="BC178" i="4"/>
  <c r="BB178" i="4"/>
  <c r="BC174" i="4"/>
  <c r="BB174" i="4"/>
  <c r="BC170" i="4"/>
  <c r="BB170" i="4"/>
  <c r="BC169" i="4"/>
  <c r="BB169" i="4"/>
  <c r="BF168" i="4"/>
  <c r="BE168" i="4"/>
  <c r="BC165" i="4"/>
  <c r="BB165" i="4"/>
  <c r="BF164" i="4"/>
  <c r="BE164" i="4"/>
  <c r="BC161" i="4"/>
  <c r="BB161" i="4"/>
  <c r="BF160" i="4"/>
  <c r="BE160" i="4"/>
  <c r="BC157" i="4"/>
  <c r="BB157" i="4"/>
  <c r="BF156" i="4"/>
  <c r="BE156" i="4"/>
  <c r="BC153" i="4"/>
  <c r="BB153" i="4"/>
  <c r="BF152" i="4"/>
  <c r="BE152" i="4"/>
  <c r="BC149" i="4"/>
  <c r="BB149" i="4"/>
  <c r="BF148" i="4"/>
  <c r="BE148" i="4"/>
  <c r="BC145" i="4"/>
  <c r="BB145" i="4"/>
  <c r="BF144" i="4"/>
  <c r="BE144" i="4"/>
  <c r="BC141" i="4"/>
  <c r="BB141" i="4"/>
  <c r="BF140" i="4"/>
  <c r="BE140" i="4"/>
  <c r="BC137" i="4"/>
  <c r="BB137" i="4"/>
  <c r="BF136" i="4"/>
  <c r="BE136" i="4"/>
  <c r="BC133" i="4"/>
  <c r="BB133" i="4"/>
  <c r="BF132" i="4"/>
  <c r="BE132" i="4"/>
  <c r="BC129" i="4"/>
  <c r="BB129" i="4"/>
  <c r="BF128" i="4"/>
  <c r="BE128" i="4"/>
  <c r="BC125" i="4"/>
  <c r="BB125" i="4"/>
  <c r="BF124" i="4"/>
  <c r="BE124" i="4"/>
  <c r="BC121" i="4"/>
  <c r="BB121" i="4"/>
  <c r="BF120" i="4"/>
  <c r="BE120" i="4"/>
  <c r="BC117" i="4"/>
  <c r="BB117" i="4"/>
  <c r="BF116" i="4"/>
  <c r="BE116" i="4"/>
  <c r="BC113" i="4"/>
  <c r="BB113" i="4"/>
  <c r="BF112" i="4"/>
  <c r="BE112" i="4"/>
  <c r="BC109" i="4"/>
  <c r="BB109" i="4"/>
  <c r="BF108" i="4"/>
  <c r="BE108" i="4"/>
  <c r="BC105" i="4"/>
  <c r="BB105" i="4"/>
  <c r="BF104" i="4"/>
  <c r="BE104" i="4"/>
  <c r="BC101" i="4"/>
  <c r="BB101" i="4"/>
  <c r="BF100" i="4"/>
  <c r="BE100" i="4"/>
  <c r="BC97" i="4"/>
  <c r="BB97" i="4"/>
  <c r="BF96" i="4"/>
  <c r="BE96" i="4"/>
  <c r="BC93" i="4"/>
  <c r="BB93" i="4"/>
  <c r="BF92" i="4"/>
  <c r="BE92" i="4"/>
  <c r="BC89" i="4"/>
  <c r="BB89" i="4"/>
  <c r="BF88" i="4"/>
  <c r="BE88" i="4"/>
  <c r="BC85" i="4"/>
  <c r="BB85" i="4"/>
  <c r="BF84" i="4"/>
  <c r="BE84" i="4"/>
  <c r="BC81" i="4"/>
  <c r="BB81" i="4"/>
  <c r="BF80" i="4"/>
  <c r="BE80" i="4"/>
  <c r="BC77" i="4"/>
  <c r="BB77" i="4"/>
  <c r="BF76" i="4"/>
  <c r="BE76" i="4"/>
  <c r="BC73" i="4"/>
  <c r="BB73" i="4"/>
  <c r="BF72" i="4"/>
  <c r="BE72" i="4"/>
  <c r="BC69" i="4"/>
  <c r="BB69" i="4"/>
  <c r="BF68" i="4"/>
  <c r="BE68" i="4"/>
  <c r="BC65" i="4"/>
  <c r="BB65" i="4"/>
  <c r="BF64" i="4"/>
  <c r="BE64" i="4"/>
  <c r="BC61" i="4"/>
  <c r="BB61" i="4"/>
  <c r="BF60" i="4"/>
  <c r="BE60" i="4"/>
  <c r="BC57" i="4"/>
  <c r="BB57" i="4"/>
  <c r="BF56" i="4"/>
  <c r="BE56" i="4"/>
  <c r="BC53" i="4"/>
  <c r="BB53" i="4"/>
  <c r="BF52" i="4"/>
  <c r="BE52" i="4"/>
  <c r="BC49" i="4"/>
  <c r="BB49" i="4"/>
  <c r="BF48" i="4"/>
  <c r="BE48" i="4"/>
  <c r="BC45" i="4"/>
  <c r="BB45" i="4"/>
  <c r="BF44" i="4"/>
  <c r="BE44" i="4"/>
  <c r="BC41" i="4"/>
  <c r="BB41" i="4"/>
  <c r="BF40" i="4"/>
  <c r="BE40" i="4"/>
  <c r="BC37" i="4"/>
  <c r="BB37" i="4"/>
  <c r="BF36" i="4"/>
  <c r="BE36" i="4"/>
  <c r="BC33" i="4"/>
  <c r="BB33" i="4"/>
  <c r="BF32" i="4"/>
  <c r="BE32" i="4"/>
  <c r="BC29" i="4"/>
  <c r="BB29" i="4"/>
  <c r="BF28" i="4"/>
  <c r="BE28" i="4"/>
  <c r="BC25" i="4"/>
  <c r="BB25" i="4"/>
  <c r="BF24" i="4"/>
  <c r="BE24" i="4"/>
  <c r="BC21" i="4"/>
  <c r="BB21" i="4"/>
  <c r="BF20" i="4"/>
  <c r="BE20" i="4"/>
  <c r="BC17" i="4"/>
  <c r="BB17" i="4"/>
  <c r="BF16" i="4"/>
  <c r="BE16" i="4"/>
  <c r="BC13" i="4"/>
  <c r="BB13" i="4"/>
  <c r="BF12" i="4"/>
  <c r="BE12" i="4"/>
  <c r="BC9" i="4"/>
  <c r="BB9" i="4"/>
  <c r="BF8" i="4"/>
  <c r="BE8" i="4"/>
  <c r="BC5" i="4"/>
  <c r="BB5" i="4"/>
  <c r="BJ180" i="4"/>
  <c r="BJ176" i="4"/>
  <c r="BJ172" i="4"/>
  <c r="BE169" i="4"/>
  <c r="BF169" i="4"/>
  <c r="BE167" i="4"/>
  <c r="BF167" i="4"/>
  <c r="BE165" i="4"/>
  <c r="BF165" i="4"/>
  <c r="BE163" i="4"/>
  <c r="BF163" i="4"/>
  <c r="BE161" i="4"/>
  <c r="BF161" i="4"/>
  <c r="BE159" i="4"/>
  <c r="BF159" i="4"/>
  <c r="BE157" i="4"/>
  <c r="BF157" i="4"/>
  <c r="BE155" i="4"/>
  <c r="BF155" i="4"/>
  <c r="BE153" i="4"/>
  <c r="BF153" i="4"/>
  <c r="BE151" i="4"/>
  <c r="BF151" i="4"/>
  <c r="BE149" i="4"/>
  <c r="BF149" i="4"/>
  <c r="BE147" i="4"/>
  <c r="BF147" i="4"/>
  <c r="BE145" i="4"/>
  <c r="BF145" i="4"/>
  <c r="BE143" i="4"/>
  <c r="BF143" i="4"/>
  <c r="BE141" i="4"/>
  <c r="BF141" i="4"/>
  <c r="BE139" i="4"/>
  <c r="BF139" i="4"/>
  <c r="BE137" i="4"/>
  <c r="BF137" i="4"/>
  <c r="BE135" i="4"/>
  <c r="BF135" i="4"/>
  <c r="BE133" i="4"/>
  <c r="BF133" i="4"/>
  <c r="BE131" i="4"/>
  <c r="BF131" i="4"/>
  <c r="BE129" i="4"/>
  <c r="BF129" i="4"/>
  <c r="BE127" i="4"/>
  <c r="BF127" i="4"/>
  <c r="BE125" i="4"/>
  <c r="BF125" i="4"/>
  <c r="BE123" i="4"/>
  <c r="BF123" i="4"/>
  <c r="BE121" i="4"/>
  <c r="BF121" i="4"/>
  <c r="BE119" i="4"/>
  <c r="BF119" i="4"/>
  <c r="BE117" i="4"/>
  <c r="BF117" i="4"/>
  <c r="BE115" i="4"/>
  <c r="BF115" i="4"/>
  <c r="BE113" i="4"/>
  <c r="BF113" i="4"/>
  <c r="BE111" i="4"/>
  <c r="BF111" i="4"/>
  <c r="BE109" i="4"/>
  <c r="BF109" i="4"/>
  <c r="BE107" i="4"/>
  <c r="BF107" i="4"/>
  <c r="BE105" i="4"/>
  <c r="BF105" i="4"/>
  <c r="BE103" i="4"/>
  <c r="BF103" i="4"/>
  <c r="BE101" i="4"/>
  <c r="BF101" i="4"/>
  <c r="BE99" i="4"/>
  <c r="BF99" i="4"/>
  <c r="BE97" i="4"/>
  <c r="BF97" i="4"/>
  <c r="BE95" i="4"/>
  <c r="BF95" i="4"/>
  <c r="BE93" i="4"/>
  <c r="BF93" i="4"/>
  <c r="BE91" i="4"/>
  <c r="BF91" i="4"/>
  <c r="BE89" i="4"/>
  <c r="BF89" i="4"/>
  <c r="BE87" i="4"/>
  <c r="BF87" i="4"/>
  <c r="BE85" i="4"/>
  <c r="BF85" i="4"/>
  <c r="BE83" i="4"/>
  <c r="BF83" i="4"/>
  <c r="BE81" i="4"/>
  <c r="BF81" i="4"/>
  <c r="BE79" i="4"/>
  <c r="BF79" i="4"/>
  <c r="BE77" i="4"/>
  <c r="BF77" i="4"/>
  <c r="BE75" i="4"/>
  <c r="BF75" i="4"/>
  <c r="BE73" i="4"/>
  <c r="BF73" i="4"/>
  <c r="BE71" i="4"/>
  <c r="BF71" i="4"/>
  <c r="BE69" i="4"/>
  <c r="BF69" i="4"/>
  <c r="BE63" i="4"/>
  <c r="BF63" i="4"/>
  <c r="BE45" i="4"/>
  <c r="BF45" i="4"/>
  <c r="BE19" i="4"/>
  <c r="BF19" i="4"/>
  <c r="BE13" i="4"/>
  <c r="BF13" i="4"/>
  <c r="BE49" i="4"/>
  <c r="BF49" i="4"/>
  <c r="BE37" i="4"/>
  <c r="BF37" i="4"/>
  <c r="BE31" i="4"/>
  <c r="BF31" i="4"/>
  <c r="BE29" i="4"/>
  <c r="BF29" i="4"/>
  <c r="BE27" i="4"/>
  <c r="BF27" i="4"/>
  <c r="BE25" i="4"/>
  <c r="BF25" i="4"/>
  <c r="BE23" i="4"/>
  <c r="BF23" i="4"/>
  <c r="BE21" i="4"/>
  <c r="BF21" i="4"/>
  <c r="BE9" i="4"/>
  <c r="BF9" i="4"/>
  <c r="BF1004" i="4"/>
  <c r="BE1004" i="4"/>
  <c r="BF1000" i="4"/>
  <c r="BE1000" i="4"/>
  <c r="BF996" i="4"/>
  <c r="BE996" i="4"/>
  <c r="BC1005" i="4"/>
  <c r="BB1005" i="4"/>
  <c r="BC1001" i="4"/>
  <c r="BB1001" i="4"/>
  <c r="BC997" i="4"/>
  <c r="BB997" i="4"/>
  <c r="BC993" i="4"/>
  <c r="BB993" i="4"/>
  <c r="BF991" i="4"/>
  <c r="BE991" i="4"/>
  <c r="BF987" i="4"/>
  <c r="BE987" i="4"/>
  <c r="BF983" i="4"/>
  <c r="BE983" i="4"/>
  <c r="BF979" i="4"/>
  <c r="BE979" i="4"/>
  <c r="BF975" i="4"/>
  <c r="BE975" i="4"/>
  <c r="BC990" i="4"/>
  <c r="BB990" i="4"/>
  <c r="BC986" i="4"/>
  <c r="BB986" i="4"/>
  <c r="BC982" i="4"/>
  <c r="BB982" i="4"/>
  <c r="BC978" i="4"/>
  <c r="BB978" i="4"/>
  <c r="BC974" i="4"/>
  <c r="BB974" i="4"/>
  <c r="BF973" i="4"/>
  <c r="BE973" i="4"/>
  <c r="BC972" i="4"/>
  <c r="BB972" i="4"/>
  <c r="BF971" i="4"/>
  <c r="BE971" i="4"/>
  <c r="BF967" i="4"/>
  <c r="BE967" i="4"/>
  <c r="BF963" i="4"/>
  <c r="BE963" i="4"/>
  <c r="BF959" i="4"/>
  <c r="BE959" i="4"/>
  <c r="BF955" i="4"/>
  <c r="BE955" i="4"/>
  <c r="BF951" i="4"/>
  <c r="BE951" i="4"/>
  <c r="BF947" i="4"/>
  <c r="BE947" i="4"/>
  <c r="BF943" i="4"/>
  <c r="BE943" i="4"/>
  <c r="BF939" i="4"/>
  <c r="BE939" i="4"/>
  <c r="BF935" i="4"/>
  <c r="BE935" i="4"/>
  <c r="BC992" i="4"/>
  <c r="BB992" i="4"/>
  <c r="BC988" i="4"/>
  <c r="BB988" i="4"/>
  <c r="BC984" i="4"/>
  <c r="BB984" i="4"/>
  <c r="BC980" i="4"/>
  <c r="BB980" i="4"/>
  <c r="BC976" i="4"/>
  <c r="BB976" i="4"/>
  <c r="BC966" i="4"/>
  <c r="BB966" i="4"/>
  <c r="BC958" i="4"/>
  <c r="BB958" i="4"/>
  <c r="BE970" i="4"/>
  <c r="BF970" i="4"/>
  <c r="BC968" i="4"/>
  <c r="BB968" i="4"/>
  <c r="BE966" i="4"/>
  <c r="BF966" i="4"/>
  <c r="BC964" i="4"/>
  <c r="BB964" i="4"/>
  <c r="BE962" i="4"/>
  <c r="BF962" i="4"/>
  <c r="BC960" i="4"/>
  <c r="BB960" i="4"/>
  <c r="BE958" i="4"/>
  <c r="BF958" i="4"/>
  <c r="BC956" i="4"/>
  <c r="BB956" i="4"/>
  <c r="BE954" i="4"/>
  <c r="BF954" i="4"/>
  <c r="BC954" i="4"/>
  <c r="BB954" i="4"/>
  <c r="BE950" i="4"/>
  <c r="BF950" i="4"/>
  <c r="BC950" i="4"/>
  <c r="BB950" i="4"/>
  <c r="BE946" i="4"/>
  <c r="BF946" i="4"/>
  <c r="BC946" i="4"/>
  <c r="BB946" i="4"/>
  <c r="BC938" i="4"/>
  <c r="BB938" i="4"/>
  <c r="BJ944" i="4"/>
  <c r="BB932" i="4"/>
  <c r="BC932" i="4"/>
  <c r="BE931" i="4"/>
  <c r="BF931" i="4"/>
  <c r="BB928" i="4"/>
  <c r="BC928" i="4"/>
  <c r="BE927" i="4"/>
  <c r="BF927" i="4"/>
  <c r="BF921" i="4"/>
  <c r="BE921" i="4"/>
  <c r="BF917" i="4"/>
  <c r="BE917" i="4"/>
  <c r="BC920" i="4"/>
  <c r="BB920" i="4"/>
  <c r="BB914" i="4"/>
  <c r="BC914" i="4"/>
  <c r="BE913" i="4"/>
  <c r="BF913" i="4"/>
  <c r="BB910" i="4"/>
  <c r="BC910" i="4"/>
  <c r="BE909" i="4"/>
  <c r="BF909" i="4"/>
  <c r="BB906" i="4"/>
  <c r="BC906" i="4"/>
  <c r="BE905" i="4"/>
  <c r="BF905" i="4"/>
  <c r="BB902" i="4"/>
  <c r="BC902" i="4"/>
  <c r="BE901" i="4"/>
  <c r="BF901" i="4"/>
  <c r="BB898" i="4"/>
  <c r="BC898" i="4"/>
  <c r="BE897" i="4"/>
  <c r="BF897" i="4"/>
  <c r="BB894" i="4"/>
  <c r="BC894" i="4"/>
  <c r="BE893" i="4"/>
  <c r="BF893" i="4"/>
  <c r="BB890" i="4"/>
  <c r="BC890" i="4"/>
  <c r="BE889" i="4"/>
  <c r="BF889" i="4"/>
  <c r="BB886" i="4"/>
  <c r="BC886" i="4"/>
  <c r="BE885" i="4"/>
  <c r="BF885" i="4"/>
  <c r="BB882" i="4"/>
  <c r="BC882" i="4"/>
  <c r="BE881" i="4"/>
  <c r="BF881" i="4"/>
  <c r="BF875" i="4"/>
  <c r="BE875" i="4"/>
  <c r="BF871" i="4"/>
  <c r="BE871" i="4"/>
  <c r="BC874" i="4"/>
  <c r="BB874" i="4"/>
  <c r="BC868" i="4"/>
  <c r="BB868" i="4"/>
  <c r="BC876" i="4"/>
  <c r="BB876" i="4"/>
  <c r="BE874" i="4"/>
  <c r="BF874" i="4"/>
  <c r="BC872" i="4"/>
  <c r="BB872" i="4"/>
  <c r="BE870" i="4"/>
  <c r="BF870" i="4"/>
  <c r="BE867" i="4"/>
  <c r="BF867" i="4"/>
  <c r="BB864" i="4"/>
  <c r="BC864" i="4"/>
  <c r="BE863" i="4"/>
  <c r="BF863" i="4"/>
  <c r="BB860" i="4"/>
  <c r="BC860" i="4"/>
  <c r="BE859" i="4"/>
  <c r="BF859" i="4"/>
  <c r="BB856" i="4"/>
  <c r="BC856" i="4"/>
  <c r="BE855" i="4"/>
  <c r="BF855" i="4"/>
  <c r="BB852" i="4"/>
  <c r="BC852" i="4"/>
  <c r="BE851" i="4"/>
  <c r="BF851" i="4"/>
  <c r="BB848" i="4"/>
  <c r="BC848" i="4"/>
  <c r="BE847" i="4"/>
  <c r="BF847" i="4"/>
  <c r="BB844" i="4"/>
  <c r="BC844" i="4"/>
  <c r="BE843" i="4"/>
  <c r="BF843" i="4"/>
  <c r="BB840" i="4"/>
  <c r="BC840" i="4"/>
  <c r="BE839" i="4"/>
  <c r="BF839" i="4"/>
  <c r="BB836" i="4"/>
  <c r="BC836" i="4"/>
  <c r="BE835" i="4"/>
  <c r="BF835" i="4"/>
  <c r="BB832" i="4"/>
  <c r="BC832" i="4"/>
  <c r="BE831" i="4"/>
  <c r="BF831" i="4"/>
  <c r="BB828" i="4"/>
  <c r="BC828" i="4"/>
  <c r="BE827" i="4"/>
  <c r="BF827" i="4"/>
  <c r="BB824" i="4"/>
  <c r="BC824" i="4"/>
  <c r="BE823" i="4"/>
  <c r="BF823" i="4"/>
  <c r="BB820" i="4"/>
  <c r="BC820" i="4"/>
  <c r="BE819" i="4"/>
  <c r="BF819" i="4"/>
  <c r="BB816" i="4"/>
  <c r="BC816" i="4"/>
  <c r="BE815" i="4"/>
  <c r="BF815" i="4"/>
  <c r="BB812" i="4"/>
  <c r="BC812" i="4"/>
  <c r="BE811" i="4"/>
  <c r="BF811" i="4"/>
  <c r="BB808" i="4"/>
  <c r="BC808" i="4"/>
  <c r="BE807" i="4"/>
  <c r="BF807" i="4"/>
  <c r="BB804" i="4"/>
  <c r="BC804" i="4"/>
  <c r="BE803" i="4"/>
  <c r="BF803" i="4"/>
  <c r="BB800" i="4"/>
  <c r="BC800" i="4"/>
  <c r="BE799" i="4"/>
  <c r="BF799" i="4"/>
  <c r="BB796" i="4"/>
  <c r="BC796" i="4"/>
  <c r="BE795" i="4"/>
  <c r="BF795" i="4"/>
  <c r="BB792" i="4"/>
  <c r="BC792" i="4"/>
  <c r="BF791" i="4"/>
  <c r="BE791" i="4"/>
  <c r="BF787" i="4"/>
  <c r="BE787" i="4"/>
  <c r="BF783" i="4"/>
  <c r="BE783" i="4"/>
  <c r="BF779" i="4"/>
  <c r="BE779" i="4"/>
  <c r="BF775" i="4"/>
  <c r="BE775" i="4"/>
  <c r="BC788" i="4"/>
  <c r="BB788" i="4"/>
  <c r="BC780" i="4"/>
  <c r="BB780" i="4"/>
  <c r="BF771" i="4"/>
  <c r="BE771" i="4"/>
  <c r="BF769" i="4"/>
  <c r="BE769" i="4"/>
  <c r="BF767" i="4"/>
  <c r="BE767" i="4"/>
  <c r="BF765" i="4"/>
  <c r="BE765" i="4"/>
  <c r="BF763" i="4"/>
  <c r="BE763" i="4"/>
  <c r="BF761" i="4"/>
  <c r="BE761" i="4"/>
  <c r="BF759" i="4"/>
  <c r="BE759" i="4"/>
  <c r="BF757" i="4"/>
  <c r="BE757" i="4"/>
  <c r="BF755" i="4"/>
  <c r="BE755" i="4"/>
  <c r="BF753" i="4"/>
  <c r="BE753" i="4"/>
  <c r="BF751" i="4"/>
  <c r="BE751" i="4"/>
  <c r="BF749" i="4"/>
  <c r="BE749" i="4"/>
  <c r="BF747" i="4"/>
  <c r="BE747" i="4"/>
  <c r="BF745" i="4"/>
  <c r="BE745" i="4"/>
  <c r="BF743" i="4"/>
  <c r="BE743" i="4"/>
  <c r="BF741" i="4"/>
  <c r="BE741" i="4"/>
  <c r="BF739" i="4"/>
  <c r="BE739" i="4"/>
  <c r="BF737" i="4"/>
  <c r="BE737" i="4"/>
  <c r="BF735" i="4"/>
  <c r="BE735" i="4"/>
  <c r="BF733" i="4"/>
  <c r="BE733" i="4"/>
  <c r="BF731" i="4"/>
  <c r="BE731" i="4"/>
  <c r="BF729" i="4"/>
  <c r="BE729" i="4"/>
  <c r="BF727" i="4"/>
  <c r="BE727" i="4"/>
  <c r="BF725" i="4"/>
  <c r="BE725" i="4"/>
  <c r="BF723" i="4"/>
  <c r="BE723" i="4"/>
  <c r="BF721" i="4"/>
  <c r="BE721" i="4"/>
  <c r="BF719" i="4"/>
  <c r="BE719" i="4"/>
  <c r="BF717" i="4"/>
  <c r="BE717" i="4"/>
  <c r="BF715" i="4"/>
  <c r="BE715" i="4"/>
  <c r="BF713" i="4"/>
  <c r="BE713" i="4"/>
  <c r="BF711" i="4"/>
  <c r="BE711" i="4"/>
  <c r="BF709" i="4"/>
  <c r="BE709" i="4"/>
  <c r="BF707" i="4"/>
  <c r="BE707" i="4"/>
  <c r="BF705" i="4"/>
  <c r="BE705" i="4"/>
  <c r="BF703" i="4"/>
  <c r="BE703" i="4"/>
  <c r="BF701" i="4"/>
  <c r="BE701" i="4"/>
  <c r="BF699" i="4"/>
  <c r="BE699" i="4"/>
  <c r="BF697" i="4"/>
  <c r="BE697" i="4"/>
  <c r="BF695" i="4"/>
  <c r="BE695" i="4"/>
  <c r="BF693" i="4"/>
  <c r="BE693" i="4"/>
  <c r="BF691" i="4"/>
  <c r="BE691" i="4"/>
  <c r="BF689" i="4"/>
  <c r="BE689" i="4"/>
  <c r="BF687" i="4"/>
  <c r="BE687" i="4"/>
  <c r="BF685" i="4"/>
  <c r="BE685" i="4"/>
  <c r="BF683" i="4"/>
  <c r="BE683" i="4"/>
  <c r="BF681" i="4"/>
  <c r="BE681" i="4"/>
  <c r="BF679" i="4"/>
  <c r="BE679" i="4"/>
  <c r="BF677" i="4"/>
  <c r="BE677" i="4"/>
  <c r="BF675" i="4"/>
  <c r="BE675" i="4"/>
  <c r="BF673" i="4"/>
  <c r="BE673" i="4"/>
  <c r="BF671" i="4"/>
  <c r="BE671" i="4"/>
  <c r="BF669" i="4"/>
  <c r="BE669" i="4"/>
  <c r="BF667" i="4"/>
  <c r="BE667" i="4"/>
  <c r="BF665" i="4"/>
  <c r="BE665" i="4"/>
  <c r="BF663" i="4"/>
  <c r="BE663" i="4"/>
  <c r="BF661" i="4"/>
  <c r="BE661" i="4"/>
  <c r="BF659" i="4"/>
  <c r="BE659" i="4"/>
  <c r="BF657" i="4"/>
  <c r="BE657" i="4"/>
  <c r="BC790" i="4"/>
  <c r="BB790" i="4"/>
  <c r="BE788" i="4"/>
  <c r="BF788" i="4"/>
  <c r="BC786" i="4"/>
  <c r="BB786" i="4"/>
  <c r="BE784" i="4"/>
  <c r="BF784" i="4"/>
  <c r="BC782" i="4"/>
  <c r="BB782" i="4"/>
  <c r="BE780" i="4"/>
  <c r="BF780" i="4"/>
  <c r="BC778" i="4"/>
  <c r="BB778" i="4"/>
  <c r="BE776" i="4"/>
  <c r="BF776" i="4"/>
  <c r="BC774" i="4"/>
  <c r="BB774" i="4"/>
  <c r="BC772" i="4"/>
  <c r="BB772" i="4"/>
  <c r="BB769" i="4"/>
  <c r="BC769" i="4"/>
  <c r="BE768" i="4"/>
  <c r="BF768" i="4"/>
  <c r="BB765" i="4"/>
  <c r="BC765" i="4"/>
  <c r="BE764" i="4"/>
  <c r="BF764" i="4"/>
  <c r="BB761" i="4"/>
  <c r="BC761" i="4"/>
  <c r="BE760" i="4"/>
  <c r="BF760" i="4"/>
  <c r="BB757" i="4"/>
  <c r="BC757" i="4"/>
  <c r="BE756" i="4"/>
  <c r="BF756" i="4"/>
  <c r="BB753" i="4"/>
  <c r="BC753" i="4"/>
  <c r="BE752" i="4"/>
  <c r="BF752" i="4"/>
  <c r="BB749" i="4"/>
  <c r="BC749" i="4"/>
  <c r="BE748" i="4"/>
  <c r="BF748" i="4"/>
  <c r="BB745" i="4"/>
  <c r="BC745" i="4"/>
  <c r="BE744" i="4"/>
  <c r="BF744" i="4"/>
  <c r="BB741" i="4"/>
  <c r="BC741" i="4"/>
  <c r="BE740" i="4"/>
  <c r="BF740" i="4"/>
  <c r="BB737" i="4"/>
  <c r="BC737" i="4"/>
  <c r="BE736" i="4"/>
  <c r="BF736" i="4"/>
  <c r="BB733" i="4"/>
  <c r="BC733" i="4"/>
  <c r="BE732" i="4"/>
  <c r="BF732" i="4"/>
  <c r="BB729" i="4"/>
  <c r="BC729" i="4"/>
  <c r="BE728" i="4"/>
  <c r="BF728" i="4"/>
  <c r="BB725" i="4"/>
  <c r="BC725" i="4"/>
  <c r="BE724" i="4"/>
  <c r="BF724" i="4"/>
  <c r="BB721" i="4"/>
  <c r="BC721" i="4"/>
  <c r="BE720" i="4"/>
  <c r="BF720" i="4"/>
  <c r="BB717" i="4"/>
  <c r="BC717" i="4"/>
  <c r="BE716" i="4"/>
  <c r="BF716" i="4"/>
  <c r="BB713" i="4"/>
  <c r="BC713" i="4"/>
  <c r="BE712" i="4"/>
  <c r="BF712" i="4"/>
  <c r="BB709" i="4"/>
  <c r="BC709" i="4"/>
  <c r="BE708" i="4"/>
  <c r="BF708" i="4"/>
  <c r="BB705" i="4"/>
  <c r="BC705" i="4"/>
  <c r="BE704" i="4"/>
  <c r="BF704" i="4"/>
  <c r="BB701" i="4"/>
  <c r="BC701" i="4"/>
  <c r="BE700" i="4"/>
  <c r="BF700" i="4"/>
  <c r="BB697" i="4"/>
  <c r="BC697" i="4"/>
  <c r="BE696" i="4"/>
  <c r="BF696" i="4"/>
  <c r="BB693" i="4"/>
  <c r="BC693" i="4"/>
  <c r="BE692" i="4"/>
  <c r="BF692" i="4"/>
  <c r="BB689" i="4"/>
  <c r="BC689" i="4"/>
  <c r="BE688" i="4"/>
  <c r="BF688" i="4"/>
  <c r="BB685" i="4"/>
  <c r="BC685" i="4"/>
  <c r="BE684" i="4"/>
  <c r="BF684" i="4"/>
  <c r="BB681" i="4"/>
  <c r="BC681" i="4"/>
  <c r="BE680" i="4"/>
  <c r="BF680" i="4"/>
  <c r="BB677" i="4"/>
  <c r="BC677" i="4"/>
  <c r="BE676" i="4"/>
  <c r="BF676" i="4"/>
  <c r="BB673" i="4"/>
  <c r="BC673" i="4"/>
  <c r="BE672" i="4"/>
  <c r="BF672" i="4"/>
  <c r="BB669" i="4"/>
  <c r="BC669" i="4"/>
  <c r="BE668" i="4"/>
  <c r="BF668" i="4"/>
  <c r="BB665" i="4"/>
  <c r="BC665" i="4"/>
  <c r="BE664" i="4"/>
  <c r="BF664" i="4"/>
  <c r="BB661" i="4"/>
  <c r="BC661" i="4"/>
  <c r="BE660" i="4"/>
  <c r="BF660" i="4"/>
  <c r="BB657" i="4"/>
  <c r="BC657" i="4"/>
  <c r="BE656" i="4"/>
  <c r="BF656" i="4"/>
  <c r="BF654" i="4"/>
  <c r="BE654" i="4"/>
  <c r="BF650" i="4"/>
  <c r="BE650" i="4"/>
  <c r="BF646" i="4"/>
  <c r="BE646" i="4"/>
  <c r="BF642" i="4"/>
  <c r="BE642" i="4"/>
  <c r="BF638" i="4"/>
  <c r="BE638" i="4"/>
  <c r="BF634" i="4"/>
  <c r="BE634" i="4"/>
  <c r="BF630" i="4"/>
  <c r="BE630" i="4"/>
  <c r="BC653" i="4"/>
  <c r="BB653" i="4"/>
  <c r="BC645" i="4"/>
  <c r="BB645" i="4"/>
  <c r="BC637" i="4"/>
  <c r="BB637" i="4"/>
  <c r="BC655" i="4"/>
  <c r="BB655" i="4"/>
  <c r="BF655" i="4"/>
  <c r="BE655" i="4"/>
  <c r="BE653" i="4"/>
  <c r="BF653" i="4"/>
  <c r="BC651" i="4"/>
  <c r="BB651" i="4"/>
  <c r="BE649" i="4"/>
  <c r="BF649" i="4"/>
  <c r="BC647" i="4"/>
  <c r="BB647" i="4"/>
  <c r="BE645" i="4"/>
  <c r="BF645" i="4"/>
  <c r="BC643" i="4"/>
  <c r="BB643" i="4"/>
  <c r="BE641" i="4"/>
  <c r="BF641" i="4"/>
  <c r="BC639" i="4"/>
  <c r="BB639" i="4"/>
  <c r="BE637" i="4"/>
  <c r="BF637" i="4"/>
  <c r="BC635" i="4"/>
  <c r="BB635" i="4"/>
  <c r="BE633" i="4"/>
  <c r="BF633" i="4"/>
  <c r="BC631" i="4"/>
  <c r="BB631" i="4"/>
  <c r="BE629" i="4"/>
  <c r="BF629" i="4"/>
  <c r="BB626" i="4"/>
  <c r="BC626" i="4"/>
  <c r="BE625" i="4"/>
  <c r="BF625" i="4"/>
  <c r="BB622" i="4"/>
  <c r="BC622" i="4"/>
  <c r="BE621" i="4"/>
  <c r="BF621" i="4"/>
  <c r="BB618" i="4"/>
  <c r="BC618" i="4"/>
  <c r="BE617" i="4"/>
  <c r="BF617" i="4"/>
  <c r="BB614" i="4"/>
  <c r="BC614" i="4"/>
  <c r="BE613" i="4"/>
  <c r="BF613" i="4"/>
  <c r="BB610" i="4"/>
  <c r="BC610" i="4"/>
  <c r="BE609" i="4"/>
  <c r="BF609" i="4"/>
  <c r="BB606" i="4"/>
  <c r="BC606" i="4"/>
  <c r="BE605" i="4"/>
  <c r="BF605" i="4"/>
  <c r="BB602" i="4"/>
  <c r="BC602" i="4"/>
  <c r="BE601" i="4"/>
  <c r="BF601" i="4"/>
  <c r="BB598" i="4"/>
  <c r="BC598" i="4"/>
  <c r="BE597" i="4"/>
  <c r="BF597" i="4"/>
  <c r="BB594" i="4"/>
  <c r="BC594" i="4"/>
  <c r="BE593" i="4"/>
  <c r="BF593" i="4"/>
  <c r="BB590" i="4"/>
  <c r="BC590" i="4"/>
  <c r="BE589" i="4"/>
  <c r="BF589" i="4"/>
  <c r="BB586" i="4"/>
  <c r="BC586" i="4"/>
  <c r="BE585" i="4"/>
  <c r="BF585" i="4"/>
  <c r="BB582" i="4"/>
  <c r="BC582" i="4"/>
  <c r="BE581" i="4"/>
  <c r="BF581" i="4"/>
  <c r="BB578" i="4"/>
  <c r="BC578" i="4"/>
  <c r="BE577" i="4"/>
  <c r="BF577" i="4"/>
  <c r="BB574" i="4"/>
  <c r="BC574" i="4"/>
  <c r="BE573" i="4"/>
  <c r="BF573" i="4"/>
  <c r="BB570" i="4"/>
  <c r="BC570" i="4"/>
  <c r="BE569" i="4"/>
  <c r="BF569" i="4"/>
  <c r="BB566" i="4"/>
  <c r="BC566" i="4"/>
  <c r="BE565" i="4"/>
  <c r="BF565" i="4"/>
  <c r="BB562" i="4"/>
  <c r="BC562" i="4"/>
  <c r="BE561" i="4"/>
  <c r="BF561" i="4"/>
  <c r="BB558" i="4"/>
  <c r="BC558" i="4"/>
  <c r="BE557" i="4"/>
  <c r="BF557" i="4"/>
  <c r="BB554" i="4"/>
  <c r="BC554" i="4"/>
  <c r="BE553" i="4"/>
  <c r="BF553" i="4"/>
  <c r="BB550" i="4"/>
  <c r="BC550" i="4"/>
  <c r="BE549" i="4"/>
  <c r="BF549" i="4"/>
  <c r="BB546" i="4"/>
  <c r="BC546" i="4"/>
  <c r="BE545" i="4"/>
  <c r="BF545" i="4"/>
  <c r="BB542" i="4"/>
  <c r="BC542" i="4"/>
  <c r="BE541" i="4"/>
  <c r="BF541" i="4"/>
  <c r="BB538" i="4"/>
  <c r="BC538" i="4"/>
  <c r="BE537" i="4"/>
  <c r="BF537" i="4"/>
  <c r="BB534" i="4"/>
  <c r="BC534" i="4"/>
  <c r="BE533" i="4"/>
  <c r="BF533" i="4"/>
  <c r="BB530" i="4"/>
  <c r="BC530" i="4"/>
  <c r="BE529" i="4"/>
  <c r="BF529" i="4"/>
  <c r="BB526" i="4"/>
  <c r="BC526" i="4"/>
  <c r="BE525" i="4"/>
  <c r="BF525" i="4"/>
  <c r="BB522" i="4"/>
  <c r="BC522" i="4"/>
  <c r="BE521" i="4"/>
  <c r="BF521" i="4"/>
  <c r="BB518" i="4"/>
  <c r="BC518" i="4"/>
  <c r="BE517" i="4"/>
  <c r="BF517" i="4"/>
  <c r="BB514" i="4"/>
  <c r="BC514" i="4"/>
  <c r="BE513" i="4"/>
  <c r="BF513" i="4"/>
  <c r="BB510" i="4"/>
  <c r="BC510" i="4"/>
  <c r="BE509" i="4"/>
  <c r="BF509" i="4"/>
  <c r="BB506" i="4"/>
  <c r="BC506" i="4"/>
  <c r="BE505" i="4"/>
  <c r="BF505" i="4"/>
  <c r="BB502" i="4"/>
  <c r="BC502" i="4"/>
  <c r="BE501" i="4"/>
  <c r="BF501" i="4"/>
  <c r="BB498" i="4"/>
  <c r="BC498" i="4"/>
  <c r="BE497" i="4"/>
  <c r="BF497" i="4"/>
  <c r="BB494" i="4"/>
  <c r="BC494" i="4"/>
  <c r="BE493" i="4"/>
  <c r="BF493" i="4"/>
  <c r="BB490" i="4"/>
  <c r="BC490" i="4"/>
  <c r="BE489" i="4"/>
  <c r="BF489" i="4"/>
  <c r="BB486" i="4"/>
  <c r="BC486" i="4"/>
  <c r="BE485" i="4"/>
  <c r="BF485" i="4"/>
  <c r="BB482" i="4"/>
  <c r="BC482" i="4"/>
  <c r="BE481" i="4"/>
  <c r="BF481" i="4"/>
  <c r="BB478" i="4"/>
  <c r="BC478" i="4"/>
  <c r="BE477" i="4"/>
  <c r="BF477" i="4"/>
  <c r="BB474" i="4"/>
  <c r="BC474" i="4"/>
  <c r="BE473" i="4"/>
  <c r="BF473" i="4"/>
  <c r="BB470" i="4"/>
  <c r="BC470" i="4"/>
  <c r="BE469" i="4"/>
  <c r="BF469" i="4"/>
  <c r="BF463" i="4"/>
  <c r="BE463" i="4"/>
  <c r="BF459" i="4"/>
  <c r="BE459" i="4"/>
  <c r="BF455" i="4"/>
  <c r="BE455" i="4"/>
  <c r="BF451" i="4"/>
  <c r="BE451" i="4"/>
  <c r="BF447" i="4"/>
  <c r="BE447" i="4"/>
  <c r="BC464" i="4"/>
  <c r="BB464" i="4"/>
  <c r="BC456" i="4"/>
  <c r="BB456" i="4"/>
  <c r="BC448" i="4"/>
  <c r="BB448" i="4"/>
  <c r="BF444" i="4"/>
  <c r="BE444" i="4"/>
  <c r="BF442" i="4"/>
  <c r="BE442" i="4"/>
  <c r="BF440" i="4"/>
  <c r="BE440" i="4"/>
  <c r="BF438" i="4"/>
  <c r="BE438" i="4"/>
  <c r="BF436" i="4"/>
  <c r="BE436" i="4"/>
  <c r="BF434" i="4"/>
  <c r="BE434" i="4"/>
  <c r="BF432" i="4"/>
  <c r="BE432" i="4"/>
  <c r="BF430" i="4"/>
  <c r="BE430" i="4"/>
  <c r="BF428" i="4"/>
  <c r="BE428" i="4"/>
  <c r="BF426" i="4"/>
  <c r="BE426" i="4"/>
  <c r="BF424" i="4"/>
  <c r="BE424" i="4"/>
  <c r="BF422" i="4"/>
  <c r="BE422" i="4"/>
  <c r="BF420" i="4"/>
  <c r="BE420" i="4"/>
  <c r="BF418" i="4"/>
  <c r="BE418" i="4"/>
  <c r="BF416" i="4"/>
  <c r="BE416" i="4"/>
  <c r="BF414" i="4"/>
  <c r="BE414" i="4"/>
  <c r="BF412" i="4"/>
  <c r="BE412" i="4"/>
  <c r="BF410" i="4"/>
  <c r="BE410" i="4"/>
  <c r="BF408" i="4"/>
  <c r="BE408" i="4"/>
  <c r="BF406" i="4"/>
  <c r="BE406" i="4"/>
  <c r="BF404" i="4"/>
  <c r="BE404" i="4"/>
  <c r="BF402" i="4"/>
  <c r="BE402" i="4"/>
  <c r="BF400" i="4"/>
  <c r="BE400" i="4"/>
  <c r="BF398" i="4"/>
  <c r="BE398" i="4"/>
  <c r="BF396" i="4"/>
  <c r="BE396" i="4"/>
  <c r="BF394" i="4"/>
  <c r="BE394" i="4"/>
  <c r="BF392" i="4"/>
  <c r="BE392" i="4"/>
  <c r="BF390" i="4"/>
  <c r="BE390" i="4"/>
  <c r="BF388" i="4"/>
  <c r="BE388" i="4"/>
  <c r="BF386" i="4"/>
  <c r="BE386" i="4"/>
  <c r="BF384" i="4"/>
  <c r="BE384" i="4"/>
  <c r="BF382" i="4"/>
  <c r="BE382" i="4"/>
  <c r="BF380" i="4"/>
  <c r="BE380" i="4"/>
  <c r="BF378" i="4"/>
  <c r="BE378" i="4"/>
  <c r="BF376" i="4"/>
  <c r="BE376" i="4"/>
  <c r="BF374" i="4"/>
  <c r="BE374" i="4"/>
  <c r="BF372" i="4"/>
  <c r="BE372" i="4"/>
  <c r="BF370" i="4"/>
  <c r="BE370" i="4"/>
  <c r="BF368" i="4"/>
  <c r="BE368" i="4"/>
  <c r="BF366" i="4"/>
  <c r="BE366" i="4"/>
  <c r="BF364" i="4"/>
  <c r="BE364" i="4"/>
  <c r="BF362" i="4"/>
  <c r="BE362" i="4"/>
  <c r="BF360" i="4"/>
  <c r="BE360" i="4"/>
  <c r="BF358" i="4"/>
  <c r="BE358" i="4"/>
  <c r="BF356" i="4"/>
  <c r="BE356" i="4"/>
  <c r="BF354" i="4"/>
  <c r="BE354" i="4"/>
  <c r="BF352" i="4"/>
  <c r="BE352" i="4"/>
  <c r="BF350" i="4"/>
  <c r="BE350" i="4"/>
  <c r="BF348" i="4"/>
  <c r="BE348" i="4"/>
  <c r="BF346" i="4"/>
  <c r="BE346" i="4"/>
  <c r="BF344" i="4"/>
  <c r="BE344" i="4"/>
  <c r="BF342" i="4"/>
  <c r="BE342" i="4"/>
  <c r="BF340" i="4"/>
  <c r="BE340" i="4"/>
  <c r="BF338" i="4"/>
  <c r="BE338" i="4"/>
  <c r="BF336" i="4"/>
  <c r="BE336" i="4"/>
  <c r="BF334" i="4"/>
  <c r="BE334" i="4"/>
  <c r="BF332" i="4"/>
  <c r="BE332" i="4"/>
  <c r="BF330" i="4"/>
  <c r="BE330" i="4"/>
  <c r="BF328" i="4"/>
  <c r="BE328" i="4"/>
  <c r="BF326" i="4"/>
  <c r="BE326" i="4"/>
  <c r="BF324" i="4"/>
  <c r="BE324" i="4"/>
  <c r="BF322" i="4"/>
  <c r="BE322" i="4"/>
  <c r="BF320" i="4"/>
  <c r="BE320" i="4"/>
  <c r="BF318" i="4"/>
  <c r="BE318" i="4"/>
  <c r="BF316" i="4"/>
  <c r="BE316" i="4"/>
  <c r="BF314" i="4"/>
  <c r="BE314" i="4"/>
  <c r="BF312" i="4"/>
  <c r="BE312" i="4"/>
  <c r="BF310" i="4"/>
  <c r="BE310" i="4"/>
  <c r="BF308" i="4"/>
  <c r="BE308" i="4"/>
  <c r="BF306" i="4"/>
  <c r="BE306" i="4"/>
  <c r="BF304" i="4"/>
  <c r="BE304" i="4"/>
  <c r="BF302" i="4"/>
  <c r="BE302" i="4"/>
  <c r="BF300" i="4"/>
  <c r="BE300" i="4"/>
  <c r="BF298" i="4"/>
  <c r="BE298" i="4"/>
  <c r="BF296" i="4"/>
  <c r="BE296" i="4"/>
  <c r="BF294" i="4"/>
  <c r="BE294" i="4"/>
  <c r="BF292" i="4"/>
  <c r="BE292" i="4"/>
  <c r="BF290" i="4"/>
  <c r="BE290" i="4"/>
  <c r="BF288" i="4"/>
  <c r="BE288" i="4"/>
  <c r="BF286" i="4"/>
  <c r="BE286" i="4"/>
  <c r="BF284" i="4"/>
  <c r="BE284" i="4"/>
  <c r="BF282" i="4"/>
  <c r="BE282" i="4"/>
  <c r="BF280" i="4"/>
  <c r="BE280" i="4"/>
  <c r="BF278" i="4"/>
  <c r="BE278" i="4"/>
  <c r="BF276" i="4"/>
  <c r="BE276" i="4"/>
  <c r="BF274" i="4"/>
  <c r="BE274" i="4"/>
  <c r="BF272" i="4"/>
  <c r="BE272" i="4"/>
  <c r="BF270" i="4"/>
  <c r="BE270" i="4"/>
  <c r="BF268" i="4"/>
  <c r="BE268" i="4"/>
  <c r="BF266" i="4"/>
  <c r="BE266" i="4"/>
  <c r="BF264" i="4"/>
  <c r="BE264" i="4"/>
  <c r="BF262" i="4"/>
  <c r="BE262" i="4"/>
  <c r="BF260" i="4"/>
  <c r="BE260" i="4"/>
  <c r="BF258" i="4"/>
  <c r="BE258" i="4"/>
  <c r="BF256" i="4"/>
  <c r="BE256" i="4"/>
  <c r="BF254" i="4"/>
  <c r="BE254" i="4"/>
  <c r="BF252" i="4"/>
  <c r="BE252" i="4"/>
  <c r="BF250" i="4"/>
  <c r="BE250" i="4"/>
  <c r="BF248" i="4"/>
  <c r="BE248" i="4"/>
  <c r="BF246" i="4"/>
  <c r="BE246" i="4"/>
  <c r="BF244" i="4"/>
  <c r="BE244" i="4"/>
  <c r="BF242" i="4"/>
  <c r="BE242" i="4"/>
  <c r="BF240" i="4"/>
  <c r="BE240" i="4"/>
  <c r="BF238" i="4"/>
  <c r="BE238" i="4"/>
  <c r="BF236" i="4"/>
  <c r="BE236" i="4"/>
  <c r="BF234" i="4"/>
  <c r="BE234" i="4"/>
  <c r="BF232" i="4"/>
  <c r="BE232" i="4"/>
  <c r="BF230" i="4"/>
  <c r="BE230" i="4"/>
  <c r="BF228" i="4"/>
  <c r="BE228" i="4"/>
  <c r="BF226" i="4"/>
  <c r="BE226" i="4"/>
  <c r="BF224" i="4"/>
  <c r="BE224" i="4"/>
  <c r="BF222" i="4"/>
  <c r="BE222" i="4"/>
  <c r="BF220" i="4"/>
  <c r="BE220" i="4"/>
  <c r="BF218" i="4"/>
  <c r="BE218" i="4"/>
  <c r="BF216" i="4"/>
  <c r="BE216" i="4"/>
  <c r="BF214" i="4"/>
  <c r="BE214" i="4"/>
  <c r="BF212" i="4"/>
  <c r="BE212" i="4"/>
  <c r="BF210" i="4"/>
  <c r="BE210" i="4"/>
  <c r="BF208" i="4"/>
  <c r="BE208" i="4"/>
  <c r="BF206" i="4"/>
  <c r="BE206" i="4"/>
  <c r="BE445" i="4"/>
  <c r="BF445" i="4"/>
  <c r="BB442" i="4"/>
  <c r="BC442" i="4"/>
  <c r="BE441" i="4"/>
  <c r="BF441" i="4"/>
  <c r="BB438" i="4"/>
  <c r="BC438" i="4"/>
  <c r="BE437" i="4"/>
  <c r="BF437" i="4"/>
  <c r="BB434" i="4"/>
  <c r="BC434" i="4"/>
  <c r="BE433" i="4"/>
  <c r="BF433" i="4"/>
  <c r="BB430" i="4"/>
  <c r="BC430" i="4"/>
  <c r="BE429" i="4"/>
  <c r="BF429" i="4"/>
  <c r="BB426" i="4"/>
  <c r="BC426" i="4"/>
  <c r="BE425" i="4"/>
  <c r="BF425" i="4"/>
  <c r="BB422" i="4"/>
  <c r="BC422" i="4"/>
  <c r="BE421" i="4"/>
  <c r="BF421" i="4"/>
  <c r="BB418" i="4"/>
  <c r="BC418" i="4"/>
  <c r="BE417" i="4"/>
  <c r="BF417" i="4"/>
  <c r="BB414" i="4"/>
  <c r="BC414" i="4"/>
  <c r="BE413" i="4"/>
  <c r="BF413" i="4"/>
  <c r="BB410" i="4"/>
  <c r="BC410" i="4"/>
  <c r="BE409" i="4"/>
  <c r="BF409" i="4"/>
  <c r="BB406" i="4"/>
  <c r="BC406" i="4"/>
  <c r="BE405" i="4"/>
  <c r="BF405" i="4"/>
  <c r="BB402" i="4"/>
  <c r="BC402" i="4"/>
  <c r="BE401" i="4"/>
  <c r="BF401" i="4"/>
  <c r="BB398" i="4"/>
  <c r="BC398" i="4"/>
  <c r="BE397" i="4"/>
  <c r="BF397" i="4"/>
  <c r="BB394" i="4"/>
  <c r="BC394" i="4"/>
  <c r="BE393" i="4"/>
  <c r="BF393" i="4"/>
  <c r="BB390" i="4"/>
  <c r="BC390" i="4"/>
  <c r="BE389" i="4"/>
  <c r="BF389" i="4"/>
  <c r="BB386" i="4"/>
  <c r="BC386" i="4"/>
  <c r="BE385" i="4"/>
  <c r="BF385" i="4"/>
  <c r="BB382" i="4"/>
  <c r="BC382" i="4"/>
  <c r="BE381" i="4"/>
  <c r="BF381" i="4"/>
  <c r="BB378" i="4"/>
  <c r="BC378" i="4"/>
  <c r="BE377" i="4"/>
  <c r="BF377" i="4"/>
  <c r="BB374" i="4"/>
  <c r="BC374" i="4"/>
  <c r="BE373" i="4"/>
  <c r="BF373" i="4"/>
  <c r="BB370" i="4"/>
  <c r="BC370" i="4"/>
  <c r="BE369" i="4"/>
  <c r="BF369" i="4"/>
  <c r="BB366" i="4"/>
  <c r="BC366" i="4"/>
  <c r="BE365" i="4"/>
  <c r="BF365" i="4"/>
  <c r="BB362" i="4"/>
  <c r="BC362" i="4"/>
  <c r="BE361" i="4"/>
  <c r="BF361" i="4"/>
  <c r="BB358" i="4"/>
  <c r="BC358" i="4"/>
  <c r="BE357" i="4"/>
  <c r="BF357" i="4"/>
  <c r="BB354" i="4"/>
  <c r="BC354" i="4"/>
  <c r="BE353" i="4"/>
  <c r="BF353" i="4"/>
  <c r="BB350" i="4"/>
  <c r="BC350" i="4"/>
  <c r="BE349" i="4"/>
  <c r="BF349" i="4"/>
  <c r="BB346" i="4"/>
  <c r="BC346" i="4"/>
  <c r="BE345" i="4"/>
  <c r="BF345" i="4"/>
  <c r="BB342" i="4"/>
  <c r="BC342" i="4"/>
  <c r="BE341" i="4"/>
  <c r="BF341" i="4"/>
  <c r="BB338" i="4"/>
  <c r="BC338" i="4"/>
  <c r="BE337" i="4"/>
  <c r="BF337" i="4"/>
  <c r="BB334" i="4"/>
  <c r="BC334" i="4"/>
  <c r="BE333" i="4"/>
  <c r="BF333" i="4"/>
  <c r="BB330" i="4"/>
  <c r="BC330" i="4"/>
  <c r="BE329" i="4"/>
  <c r="BF329" i="4"/>
  <c r="BB326" i="4"/>
  <c r="BC326" i="4"/>
  <c r="BE325" i="4"/>
  <c r="BF325" i="4"/>
  <c r="BB322" i="4"/>
  <c r="BC322" i="4"/>
  <c r="BE321" i="4"/>
  <c r="BF321" i="4"/>
  <c r="BB318" i="4"/>
  <c r="BC318" i="4"/>
  <c r="BE317" i="4"/>
  <c r="BF317" i="4"/>
  <c r="BB314" i="4"/>
  <c r="BC314" i="4"/>
  <c r="BE313" i="4"/>
  <c r="BF313" i="4"/>
  <c r="BB310" i="4"/>
  <c r="BC310" i="4"/>
  <c r="BE309" i="4"/>
  <c r="BF309" i="4"/>
  <c r="BB306" i="4"/>
  <c r="BC306" i="4"/>
  <c r="BE305" i="4"/>
  <c r="BF305" i="4"/>
  <c r="BB302" i="4"/>
  <c r="BC302" i="4"/>
  <c r="BE301" i="4"/>
  <c r="BF301" i="4"/>
  <c r="BB298" i="4"/>
  <c r="BC298" i="4"/>
  <c r="BE297" i="4"/>
  <c r="BF297" i="4"/>
  <c r="BB294" i="4"/>
  <c r="BC294" i="4"/>
  <c r="BE293" i="4"/>
  <c r="BF293" i="4"/>
  <c r="BB290" i="4"/>
  <c r="BC290" i="4"/>
  <c r="BE289" i="4"/>
  <c r="BF289" i="4"/>
  <c r="BB286" i="4"/>
  <c r="BC286" i="4"/>
  <c r="BE285" i="4"/>
  <c r="BF285" i="4"/>
  <c r="BB282" i="4"/>
  <c r="BC282" i="4"/>
  <c r="BE281" i="4"/>
  <c r="BF281" i="4"/>
  <c r="BB278" i="4"/>
  <c r="BC278" i="4"/>
  <c r="BE277" i="4"/>
  <c r="BF277" i="4"/>
  <c r="BB274" i="4"/>
  <c r="BC274" i="4"/>
  <c r="BE273" i="4"/>
  <c r="BF273" i="4"/>
  <c r="BB270" i="4"/>
  <c r="BC270" i="4"/>
  <c r="BE269" i="4"/>
  <c r="BF269" i="4"/>
  <c r="BB266" i="4"/>
  <c r="BC266" i="4"/>
  <c r="BE265" i="4"/>
  <c r="BF265" i="4"/>
  <c r="BB262" i="4"/>
  <c r="BC262" i="4"/>
  <c r="BE261" i="4"/>
  <c r="BF261" i="4"/>
  <c r="BB258" i="4"/>
  <c r="BC258" i="4"/>
  <c r="BE257" i="4"/>
  <c r="BF257" i="4"/>
  <c r="BB254" i="4"/>
  <c r="BC254" i="4"/>
  <c r="BE253" i="4"/>
  <c r="BF253" i="4"/>
  <c r="BB250" i="4"/>
  <c r="BC250" i="4"/>
  <c r="BE249" i="4"/>
  <c r="BF249" i="4"/>
  <c r="BB246" i="4"/>
  <c r="BC246" i="4"/>
  <c r="BE245" i="4"/>
  <c r="BF245" i="4"/>
  <c r="BB242" i="4"/>
  <c r="BC242" i="4"/>
  <c r="BE241" i="4"/>
  <c r="BF241" i="4"/>
  <c r="BB238" i="4"/>
  <c r="BC238" i="4"/>
  <c r="BE237" i="4"/>
  <c r="BF237" i="4"/>
  <c r="BB234" i="4"/>
  <c r="BC234" i="4"/>
  <c r="BE233" i="4"/>
  <c r="BF233" i="4"/>
  <c r="BB230" i="4"/>
  <c r="BC230" i="4"/>
  <c r="BE229" i="4"/>
  <c r="BF229" i="4"/>
  <c r="BB226" i="4"/>
  <c r="BC226" i="4"/>
  <c r="BE225" i="4"/>
  <c r="BF225" i="4"/>
  <c r="BB222" i="4"/>
  <c r="BC222" i="4"/>
  <c r="BE221" i="4"/>
  <c r="BF221" i="4"/>
  <c r="BB218" i="4"/>
  <c r="BC218" i="4"/>
  <c r="BE217" i="4"/>
  <c r="BF217" i="4"/>
  <c r="BB214" i="4"/>
  <c r="BC214" i="4"/>
  <c r="BE213" i="4"/>
  <c r="BF213" i="4"/>
  <c r="BB210" i="4"/>
  <c r="BC210" i="4"/>
  <c r="BE209" i="4"/>
  <c r="BF209" i="4"/>
  <c r="BB206" i="4"/>
  <c r="BC206" i="4"/>
  <c r="BE205" i="4"/>
  <c r="BF205" i="4"/>
  <c r="BF201" i="4"/>
  <c r="BE201" i="4"/>
  <c r="BF197" i="4"/>
  <c r="BE197" i="4"/>
  <c r="BF193" i="4"/>
  <c r="BE193" i="4"/>
  <c r="BF189" i="4"/>
  <c r="BE189" i="4"/>
  <c r="BF185" i="4"/>
  <c r="BE185" i="4"/>
  <c r="BF181" i="4"/>
  <c r="BE181" i="4"/>
  <c r="BF177" i="4"/>
  <c r="BE177" i="4"/>
  <c r="BF173" i="4"/>
  <c r="BE173" i="4"/>
  <c r="BC202" i="4"/>
  <c r="BB202" i="4"/>
  <c r="BC194" i="4"/>
  <c r="BB194" i="4"/>
  <c r="BC186" i="4"/>
  <c r="BB186" i="4"/>
  <c r="BE180" i="4"/>
  <c r="BF180" i="4"/>
  <c r="BE176" i="4"/>
  <c r="BF176" i="4"/>
  <c r="BE172" i="4"/>
  <c r="BF172" i="4"/>
  <c r="BC167" i="4"/>
  <c r="BB167" i="4"/>
  <c r="BF166" i="4"/>
  <c r="BE166" i="4"/>
  <c r="BC163" i="4"/>
  <c r="BB163" i="4"/>
  <c r="BF162" i="4"/>
  <c r="BE162" i="4"/>
  <c r="BC159" i="4"/>
  <c r="BB159" i="4"/>
  <c r="BF158" i="4"/>
  <c r="BE158" i="4"/>
  <c r="BC155" i="4"/>
  <c r="BB155" i="4"/>
  <c r="BF154" i="4"/>
  <c r="BE154" i="4"/>
  <c r="BC151" i="4"/>
  <c r="BB151" i="4"/>
  <c r="BF150" i="4"/>
  <c r="BE150" i="4"/>
  <c r="BC147" i="4"/>
  <c r="BB147" i="4"/>
  <c r="BF146" i="4"/>
  <c r="BE146" i="4"/>
  <c r="BC143" i="4"/>
  <c r="BB143" i="4"/>
  <c r="BF142" i="4"/>
  <c r="BE142" i="4"/>
  <c r="BC139" i="4"/>
  <c r="BB139" i="4"/>
  <c r="BF138" i="4"/>
  <c r="BE138" i="4"/>
  <c r="BC135" i="4"/>
  <c r="BB135" i="4"/>
  <c r="BF134" i="4"/>
  <c r="BE134" i="4"/>
  <c r="BC131" i="4"/>
  <c r="BB131" i="4"/>
  <c r="BF130" i="4"/>
  <c r="BE130" i="4"/>
  <c r="BC127" i="4"/>
  <c r="BB127" i="4"/>
  <c r="BF126" i="4"/>
  <c r="BE126" i="4"/>
  <c r="BC123" i="4"/>
  <c r="BB123" i="4"/>
  <c r="BF122" i="4"/>
  <c r="BE122" i="4"/>
  <c r="BC119" i="4"/>
  <c r="BB119" i="4"/>
  <c r="BF118" i="4"/>
  <c r="BE118" i="4"/>
  <c r="BC115" i="4"/>
  <c r="BB115" i="4"/>
  <c r="BF114" i="4"/>
  <c r="BE114" i="4"/>
  <c r="BC111" i="4"/>
  <c r="BB111" i="4"/>
  <c r="BF110" i="4"/>
  <c r="BE110" i="4"/>
  <c r="BC107" i="4"/>
  <c r="BB107" i="4"/>
  <c r="BF106" i="4"/>
  <c r="BE106" i="4"/>
  <c r="BC103" i="4"/>
  <c r="BB103" i="4"/>
  <c r="BF102" i="4"/>
  <c r="BE102" i="4"/>
  <c r="BC99" i="4"/>
  <c r="BB99" i="4"/>
  <c r="BF98" i="4"/>
  <c r="BE98" i="4"/>
  <c r="BC95" i="4"/>
  <c r="BB95" i="4"/>
  <c r="BF94" i="4"/>
  <c r="BE94" i="4"/>
  <c r="BC91" i="4"/>
  <c r="BB91" i="4"/>
  <c r="BF90" i="4"/>
  <c r="BE90" i="4"/>
  <c r="BC87" i="4"/>
  <c r="BB87" i="4"/>
  <c r="BF86" i="4"/>
  <c r="BE86" i="4"/>
  <c r="BC83" i="4"/>
  <c r="BB83" i="4"/>
  <c r="BF82" i="4"/>
  <c r="BE82" i="4"/>
  <c r="BC79" i="4"/>
  <c r="BB79" i="4"/>
  <c r="BF78" i="4"/>
  <c r="BE78" i="4"/>
  <c r="BC75" i="4"/>
  <c r="BB75" i="4"/>
  <c r="BF74" i="4"/>
  <c r="BE74" i="4"/>
  <c r="BC71" i="4"/>
  <c r="BB71" i="4"/>
  <c r="BF70" i="4"/>
  <c r="BE70" i="4"/>
  <c r="BC67" i="4"/>
  <c r="BB67" i="4"/>
  <c r="BF66" i="4"/>
  <c r="BE66" i="4"/>
  <c r="BC63" i="4"/>
  <c r="BB63" i="4"/>
  <c r="BF62" i="4"/>
  <c r="BE62" i="4"/>
  <c r="BC59" i="4"/>
  <c r="BB59" i="4"/>
  <c r="BF58" i="4"/>
  <c r="BE58" i="4"/>
  <c r="BC55" i="4"/>
  <c r="BB55" i="4"/>
  <c r="BF54" i="4"/>
  <c r="BE54" i="4"/>
  <c r="BC51" i="4"/>
  <c r="BB51" i="4"/>
  <c r="BF50" i="4"/>
  <c r="BE50" i="4"/>
  <c r="BC47" i="4"/>
  <c r="BB47" i="4"/>
  <c r="BF46" i="4"/>
  <c r="BE46" i="4"/>
  <c r="BC43" i="4"/>
  <c r="BB43" i="4"/>
  <c r="BF42" i="4"/>
  <c r="BE42" i="4"/>
  <c r="BC39" i="4"/>
  <c r="BB39" i="4"/>
  <c r="BF38" i="4"/>
  <c r="BE38" i="4"/>
  <c r="BC35" i="4"/>
  <c r="BB35" i="4"/>
  <c r="BF34" i="4"/>
  <c r="BE34" i="4"/>
  <c r="BC31" i="4"/>
  <c r="BB31" i="4"/>
  <c r="BF30" i="4"/>
  <c r="BE30" i="4"/>
  <c r="BC27" i="4"/>
  <c r="BB27" i="4"/>
  <c r="BF26" i="4"/>
  <c r="BE26" i="4"/>
  <c r="BC23" i="4"/>
  <c r="BB23" i="4"/>
  <c r="BF22" i="4"/>
  <c r="BE22" i="4"/>
  <c r="BC19" i="4"/>
  <c r="BB19" i="4"/>
  <c r="BF18" i="4"/>
  <c r="BE18" i="4"/>
  <c r="BC15" i="4"/>
  <c r="BB15" i="4"/>
  <c r="BF14" i="4"/>
  <c r="BE14" i="4"/>
  <c r="BC11" i="4"/>
  <c r="BB11" i="4"/>
  <c r="BF10" i="4"/>
  <c r="BE10" i="4"/>
  <c r="BC7" i="4"/>
  <c r="BB7" i="4"/>
  <c r="BF6" i="4"/>
  <c r="BE6" i="4"/>
  <c r="BC180" i="4"/>
  <c r="BB180" i="4"/>
  <c r="BC176" i="4"/>
  <c r="BB176" i="4"/>
  <c r="BC172" i="4"/>
  <c r="BB172" i="4"/>
  <c r="BE67" i="4"/>
  <c r="BF67" i="4"/>
  <c r="BE65" i="4"/>
  <c r="BF65" i="4"/>
  <c r="BE61" i="4"/>
  <c r="BF61" i="4"/>
  <c r="BE59" i="4"/>
  <c r="BF59" i="4"/>
  <c r="BE47" i="4"/>
  <c r="BF47" i="4"/>
  <c r="BE41" i="4"/>
  <c r="BF41" i="4"/>
  <c r="BE35" i="4"/>
  <c r="BF35" i="4"/>
  <c r="BE33" i="4"/>
  <c r="BF33" i="4"/>
  <c r="BE15" i="4"/>
  <c r="BF15" i="4"/>
  <c r="BE11" i="4"/>
  <c r="BF11" i="4"/>
  <c r="BE7" i="4"/>
  <c r="BF7" i="4"/>
  <c r="BE5" i="4"/>
  <c r="BF5" i="4"/>
  <c r="BC204" i="4"/>
  <c r="BB204" i="4"/>
  <c r="BE202" i="4"/>
  <c r="BF202" i="4"/>
  <c r="BC200" i="4"/>
  <c r="BB200" i="4"/>
  <c r="BE198" i="4"/>
  <c r="BF198" i="4"/>
  <c r="BC196" i="4"/>
  <c r="BB196" i="4"/>
  <c r="BE194" i="4"/>
  <c r="BF194" i="4"/>
  <c r="BC192" i="4"/>
  <c r="BB192" i="4"/>
  <c r="BE190" i="4"/>
  <c r="BF190" i="4"/>
  <c r="BC188" i="4"/>
  <c r="BB188" i="4"/>
  <c r="BE186" i="4"/>
  <c r="BF186" i="4"/>
  <c r="BC184" i="4"/>
  <c r="BB184" i="4"/>
  <c r="BE57" i="4"/>
  <c r="BF57" i="4"/>
  <c r="BE55" i="4"/>
  <c r="BF55" i="4"/>
  <c r="BE53" i="4"/>
  <c r="BF53" i="4"/>
  <c r="BE51" i="4"/>
  <c r="BF51" i="4"/>
  <c r="BE43" i="4"/>
  <c r="BF43" i="4"/>
  <c r="BE39" i="4"/>
  <c r="BF39" i="4"/>
  <c r="BE17" i="4"/>
  <c r="BF17" i="4"/>
  <c r="BF898" i="26"/>
  <c r="BG898" i="26"/>
  <c r="BG1002" i="26"/>
  <c r="BF1002" i="26"/>
  <c r="BG998" i="26"/>
  <c r="BF998" i="26"/>
  <c r="BG994" i="26"/>
  <c r="BF994" i="26"/>
  <c r="BG989" i="26"/>
  <c r="BF989" i="26"/>
  <c r="BG985" i="26"/>
  <c r="BF985" i="26"/>
  <c r="BG981" i="26"/>
  <c r="BF981" i="26"/>
  <c r="BG977" i="26"/>
  <c r="BF977" i="26"/>
  <c r="BD990" i="26"/>
  <c r="BC990" i="26"/>
  <c r="BD986" i="26"/>
  <c r="BC986" i="26"/>
  <c r="BD982" i="26"/>
  <c r="BC982" i="26"/>
  <c r="BD978" i="26"/>
  <c r="BC978" i="26"/>
  <c r="BD974" i="26"/>
  <c r="BC974" i="26"/>
  <c r="BG969" i="26"/>
  <c r="BF969" i="26"/>
  <c r="BG965" i="26"/>
  <c r="BF965" i="26"/>
  <c r="BG961" i="26"/>
  <c r="BF961" i="26"/>
  <c r="BG957" i="26"/>
  <c r="BF957" i="26"/>
  <c r="BG953" i="26"/>
  <c r="BF953" i="26"/>
  <c r="BG949" i="26"/>
  <c r="BF949" i="26"/>
  <c r="BG945" i="26"/>
  <c r="BF945" i="26"/>
  <c r="BG941" i="26"/>
  <c r="BF941" i="26"/>
  <c r="BG937" i="26"/>
  <c r="BF937" i="26"/>
  <c r="BG933" i="26"/>
  <c r="BF933" i="26"/>
  <c r="BF1003" i="26"/>
  <c r="BG1003" i="26"/>
  <c r="BD1003" i="26"/>
  <c r="BC1003" i="26"/>
  <c r="BF995" i="26"/>
  <c r="BG995" i="26"/>
  <c r="BD995" i="26"/>
  <c r="BC995" i="26"/>
  <c r="BF992" i="26"/>
  <c r="BG992" i="26"/>
  <c r="BD992" i="26"/>
  <c r="BC992" i="26"/>
  <c r="BF988" i="26"/>
  <c r="BG988" i="26"/>
  <c r="BD988" i="26"/>
  <c r="BC988" i="26"/>
  <c r="BF984" i="26"/>
  <c r="BG984" i="26"/>
  <c r="BD984" i="26"/>
  <c r="BC984" i="26"/>
  <c r="BF980" i="26"/>
  <c r="BG980" i="26"/>
  <c r="BD980" i="26"/>
  <c r="BC980" i="26"/>
  <c r="BF976" i="26"/>
  <c r="BG976" i="26"/>
  <c r="BD976" i="26"/>
  <c r="BC976" i="26"/>
  <c r="BD972" i="26"/>
  <c r="BC972" i="26"/>
  <c r="BD968" i="26"/>
  <c r="BC968" i="26"/>
  <c r="BD964" i="26"/>
  <c r="BC964" i="26"/>
  <c r="BD960" i="26"/>
  <c r="BC960" i="26"/>
  <c r="BD956" i="26"/>
  <c r="BC956" i="26"/>
  <c r="BD952" i="26"/>
  <c r="BC952" i="26"/>
  <c r="BD948" i="26"/>
  <c r="BC948" i="26"/>
  <c r="BD944" i="26"/>
  <c r="BC944" i="26"/>
  <c r="BG929" i="26"/>
  <c r="BF929" i="26"/>
  <c r="BG925" i="26"/>
  <c r="BF925" i="26"/>
  <c r="BG921" i="26"/>
  <c r="BF921" i="26"/>
  <c r="BG917" i="26"/>
  <c r="BF917" i="26"/>
  <c r="BG913" i="26"/>
  <c r="BF913" i="26"/>
  <c r="BG909" i="26"/>
  <c r="BF909" i="26"/>
  <c r="BF999" i="26"/>
  <c r="BG999" i="26"/>
  <c r="BD999" i="26"/>
  <c r="BC999" i="26"/>
  <c r="BK970" i="26"/>
  <c r="BK966" i="26"/>
  <c r="BK962" i="26"/>
  <c r="BK958" i="26"/>
  <c r="BK954" i="26"/>
  <c r="BK950" i="26"/>
  <c r="BK946" i="26"/>
  <c r="BK942" i="26"/>
  <c r="BF932" i="26"/>
  <c r="BG932" i="26"/>
  <c r="BF928" i="26"/>
  <c r="BG928" i="26"/>
  <c r="BF924" i="26"/>
  <c r="BG924" i="26"/>
  <c r="BF920" i="26"/>
  <c r="BG920" i="26"/>
  <c r="BF916" i="26"/>
  <c r="BG916" i="26"/>
  <c r="BF912" i="26"/>
  <c r="BG912" i="26"/>
  <c r="BF908" i="26"/>
  <c r="BG908" i="26"/>
  <c r="BD906" i="26"/>
  <c r="BC906" i="26"/>
  <c r="BG905" i="26"/>
  <c r="BF905" i="26"/>
  <c r="BD902" i="26"/>
  <c r="BC902" i="26"/>
  <c r="BG901" i="26"/>
  <c r="BF901" i="26"/>
  <c r="BD898" i="26"/>
  <c r="BC898" i="26"/>
  <c r="BG897" i="26"/>
  <c r="BF897" i="26"/>
  <c r="BD894" i="26"/>
  <c r="BC894" i="26"/>
  <c r="BG893" i="26"/>
  <c r="BF893" i="26"/>
  <c r="BD890" i="26"/>
  <c r="BC890" i="26"/>
  <c r="BG889" i="26"/>
  <c r="BF889" i="26"/>
  <c r="BD886" i="26"/>
  <c r="BC886" i="26"/>
  <c r="BG885" i="26"/>
  <c r="BF885" i="26"/>
  <c r="BG881" i="26"/>
  <c r="BF881" i="26"/>
  <c r="BG877" i="26"/>
  <c r="BF877" i="26"/>
  <c r="BF938" i="26"/>
  <c r="BG938" i="26"/>
  <c r="BD938" i="26"/>
  <c r="BC938" i="26"/>
  <c r="BF934" i="26"/>
  <c r="BG934" i="26"/>
  <c r="BD934" i="26"/>
  <c r="BC934" i="26"/>
  <c r="BF906" i="26"/>
  <c r="BG906" i="26"/>
  <c r="BF904" i="26"/>
  <c r="BG904" i="26"/>
  <c r="BF902" i="26"/>
  <c r="BG902" i="26"/>
  <c r="BF900" i="26"/>
  <c r="BG900" i="26"/>
  <c r="BF896" i="26"/>
  <c r="BG896" i="26"/>
  <c r="BF894" i="26"/>
  <c r="BG894" i="26"/>
  <c r="BF892" i="26"/>
  <c r="BG892" i="26"/>
  <c r="BF890" i="26"/>
  <c r="BG890" i="26"/>
  <c r="BF888" i="26"/>
  <c r="BG888" i="26"/>
  <c r="BF886" i="26"/>
  <c r="BG886" i="26"/>
  <c r="BD878" i="26"/>
  <c r="BC878" i="26"/>
  <c r="BD884" i="26"/>
  <c r="BC884" i="26"/>
  <c r="BF882" i="26"/>
  <c r="BG882" i="26"/>
  <c r="BD880" i="26"/>
  <c r="BC880" i="26"/>
  <c r="BF878" i="26"/>
  <c r="BG878" i="26"/>
  <c r="BD876" i="26"/>
  <c r="BC876" i="26"/>
  <c r="BC873" i="26"/>
  <c r="BD873" i="26"/>
  <c r="BF872" i="26"/>
  <c r="BG872" i="26"/>
  <c r="BC869" i="26"/>
  <c r="BD869" i="26"/>
  <c r="BF868" i="26"/>
  <c r="BG868" i="26"/>
  <c r="BC865" i="26"/>
  <c r="BD865" i="26"/>
  <c r="BF864" i="26"/>
  <c r="BG864" i="26"/>
  <c r="BC861" i="26"/>
  <c r="BD861" i="26"/>
  <c r="BF860" i="26"/>
  <c r="BG860" i="26"/>
  <c r="BC857" i="26"/>
  <c r="BD857" i="26"/>
  <c r="BF856" i="26"/>
  <c r="BG856" i="26"/>
  <c r="BC853" i="26"/>
  <c r="BD853" i="26"/>
  <c r="BF852" i="26"/>
  <c r="BG852" i="26"/>
  <c r="BC849" i="26"/>
  <c r="BD849" i="26"/>
  <c r="BF848" i="26"/>
  <c r="BG848" i="26"/>
  <c r="BC845" i="26"/>
  <c r="BD845" i="26"/>
  <c r="BF844" i="26"/>
  <c r="BG844" i="26"/>
  <c r="BC841" i="26"/>
  <c r="BD841" i="26"/>
  <c r="BG840" i="26"/>
  <c r="BF840" i="26"/>
  <c r="BG836" i="26"/>
  <c r="BF836" i="26"/>
  <c r="BG832" i="26"/>
  <c r="BF832" i="26"/>
  <c r="BD835" i="26"/>
  <c r="BC835" i="26"/>
  <c r="BG829" i="26"/>
  <c r="BF829" i="26"/>
  <c r="BG827" i="26"/>
  <c r="BF827" i="26"/>
  <c r="BG825" i="26"/>
  <c r="BF825" i="26"/>
  <c r="BG823" i="26"/>
  <c r="BF823" i="26"/>
  <c r="BG821" i="26"/>
  <c r="BF821" i="26"/>
  <c r="BG819" i="26"/>
  <c r="BF819" i="26"/>
  <c r="BG817" i="26"/>
  <c r="BF817" i="26"/>
  <c r="BG815" i="26"/>
  <c r="BF815" i="26"/>
  <c r="BG813" i="26"/>
  <c r="BF813" i="26"/>
  <c r="BG811" i="26"/>
  <c r="BF811" i="26"/>
  <c r="BG809" i="26"/>
  <c r="BF809" i="26"/>
  <c r="BG807" i="26"/>
  <c r="BF807" i="26"/>
  <c r="BG805" i="26"/>
  <c r="BF805" i="26"/>
  <c r="BG803" i="26"/>
  <c r="BF803" i="26"/>
  <c r="BG801" i="26"/>
  <c r="BF801" i="26"/>
  <c r="BG799" i="26"/>
  <c r="BF799" i="26"/>
  <c r="BG797" i="26"/>
  <c r="BF797" i="26"/>
  <c r="BG795" i="26"/>
  <c r="BF795" i="26"/>
  <c r="BG793" i="26"/>
  <c r="BF793" i="26"/>
  <c r="BG791" i="26"/>
  <c r="BF791" i="26"/>
  <c r="BG789" i="26"/>
  <c r="BF789" i="26"/>
  <c r="BG787" i="26"/>
  <c r="BF787" i="26"/>
  <c r="BG785" i="26"/>
  <c r="BF785" i="26"/>
  <c r="BG783" i="26"/>
  <c r="BF783" i="26"/>
  <c r="BG781" i="26"/>
  <c r="BF781" i="26"/>
  <c r="BG779" i="26"/>
  <c r="BF779" i="26"/>
  <c r="BG777" i="26"/>
  <c r="BF777" i="26"/>
  <c r="BG775" i="26"/>
  <c r="BF775" i="26"/>
  <c r="BG773" i="26"/>
  <c r="BF773" i="26"/>
  <c r="BG771" i="26"/>
  <c r="BF771" i="26"/>
  <c r="BG769" i="26"/>
  <c r="BF769" i="26"/>
  <c r="BG767" i="26"/>
  <c r="BF767" i="26"/>
  <c r="BG765" i="26"/>
  <c r="BF765" i="26"/>
  <c r="BG763" i="26"/>
  <c r="BF763" i="26"/>
  <c r="BG761" i="26"/>
  <c r="BF761" i="26"/>
  <c r="BG759" i="26"/>
  <c r="BF759" i="26"/>
  <c r="BG757" i="26"/>
  <c r="BF757" i="26"/>
  <c r="BG755" i="26"/>
  <c r="BF755" i="26"/>
  <c r="BF839" i="26"/>
  <c r="BG839" i="26"/>
  <c r="BD837" i="26"/>
  <c r="BC837" i="26"/>
  <c r="BF835" i="26"/>
  <c r="BG835" i="26"/>
  <c r="BD833" i="26"/>
  <c r="BC833" i="26"/>
  <c r="BF831" i="26"/>
  <c r="BG831" i="26"/>
  <c r="BC829" i="26"/>
  <c r="BD829" i="26"/>
  <c r="BF828" i="26"/>
  <c r="BG828" i="26"/>
  <c r="BC825" i="26"/>
  <c r="BD825" i="26"/>
  <c r="BF824" i="26"/>
  <c r="BG824" i="26"/>
  <c r="BC821" i="26"/>
  <c r="BD821" i="26"/>
  <c r="BF820" i="26"/>
  <c r="BG820" i="26"/>
  <c r="BC817" i="26"/>
  <c r="BD817" i="26"/>
  <c r="BF816" i="26"/>
  <c r="BG816" i="26"/>
  <c r="BC813" i="26"/>
  <c r="BD813" i="26"/>
  <c r="BF812" i="26"/>
  <c r="BG812" i="26"/>
  <c r="BC809" i="26"/>
  <c r="BD809" i="26"/>
  <c r="BF808" i="26"/>
  <c r="BG808" i="26"/>
  <c r="BC805" i="26"/>
  <c r="BD805" i="26"/>
  <c r="BF804" i="26"/>
  <c r="BG804" i="26"/>
  <c r="BC801" i="26"/>
  <c r="BD801" i="26"/>
  <c r="BF800" i="26"/>
  <c r="BG800" i="26"/>
  <c r="BC797" i="26"/>
  <c r="BD797" i="26"/>
  <c r="BF796" i="26"/>
  <c r="BG796" i="26"/>
  <c r="BC793" i="26"/>
  <c r="BD793" i="26"/>
  <c r="BF792" i="26"/>
  <c r="BG792" i="26"/>
  <c r="BC789" i="26"/>
  <c r="BD789" i="26"/>
  <c r="BF788" i="26"/>
  <c r="BG788" i="26"/>
  <c r="BC785" i="26"/>
  <c r="BD785" i="26"/>
  <c r="BF784" i="26"/>
  <c r="BG784" i="26"/>
  <c r="BC781" i="26"/>
  <c r="BD781" i="26"/>
  <c r="BF780" i="26"/>
  <c r="BG780" i="26"/>
  <c r="BC777" i="26"/>
  <c r="BD777" i="26"/>
  <c r="BF776" i="26"/>
  <c r="BG776" i="26"/>
  <c r="BC773" i="26"/>
  <c r="BD773" i="26"/>
  <c r="BF772" i="26"/>
  <c r="BG772" i="26"/>
  <c r="BC769" i="26"/>
  <c r="BD769" i="26"/>
  <c r="BF768" i="26"/>
  <c r="BG768" i="26"/>
  <c r="BC765" i="26"/>
  <c r="BD765" i="26"/>
  <c r="BF764" i="26"/>
  <c r="BG764" i="26"/>
  <c r="BC761" i="26"/>
  <c r="BD761" i="26"/>
  <c r="BF760" i="26"/>
  <c r="BG760" i="26"/>
  <c r="BC757" i="26"/>
  <c r="BD757" i="26"/>
  <c r="BF756" i="26"/>
  <c r="BG756" i="26"/>
  <c r="BG750" i="26"/>
  <c r="BF750" i="26"/>
  <c r="BG746" i="26"/>
  <c r="BF746" i="26"/>
  <c r="BG742" i="26"/>
  <c r="BF742" i="26"/>
  <c r="BG738" i="26"/>
  <c r="BF738" i="26"/>
  <c r="BD747" i="26"/>
  <c r="BC747" i="26"/>
  <c r="BD739" i="26"/>
  <c r="BC739" i="26"/>
  <c r="BF735" i="26"/>
  <c r="BG735" i="26"/>
  <c r="BC734" i="26"/>
  <c r="BD734" i="26"/>
  <c r="BF733" i="26"/>
  <c r="BG733" i="26"/>
  <c r="BC730" i="26"/>
  <c r="BD730" i="26"/>
  <c r="BF729" i="26"/>
  <c r="BG729" i="26"/>
  <c r="BC726" i="26"/>
  <c r="BD726" i="26"/>
  <c r="BF725" i="26"/>
  <c r="BG725" i="26"/>
  <c r="BC722" i="26"/>
  <c r="BD722" i="26"/>
  <c r="BF721" i="26"/>
  <c r="BG721" i="26"/>
  <c r="BC718" i="26"/>
  <c r="BD718" i="26"/>
  <c r="BF717" i="26"/>
  <c r="BG717" i="26"/>
  <c r="BC714" i="26"/>
  <c r="BD714" i="26"/>
  <c r="BF713" i="26"/>
  <c r="BG713" i="26"/>
  <c r="BC710" i="26"/>
  <c r="BD710" i="26"/>
  <c r="BF709" i="26"/>
  <c r="BG709" i="26"/>
  <c r="BC706" i="26"/>
  <c r="BD706" i="26"/>
  <c r="BF705" i="26"/>
  <c r="BG705" i="26"/>
  <c r="BC702" i="26"/>
  <c r="BD702" i="26"/>
  <c r="BF701" i="26"/>
  <c r="BG701" i="26"/>
  <c r="BC698" i="26"/>
  <c r="BD698" i="26"/>
  <c r="BF697" i="26"/>
  <c r="BG697" i="26"/>
  <c r="BC694" i="26"/>
  <c r="BD694" i="26"/>
  <c r="BF693" i="26"/>
  <c r="BG693" i="26"/>
  <c r="BC690" i="26"/>
  <c r="BD690" i="26"/>
  <c r="BF689" i="26"/>
  <c r="BG689" i="26"/>
  <c r="BC686" i="26"/>
  <c r="BD686" i="26"/>
  <c r="BF685" i="26"/>
  <c r="BG685" i="26"/>
  <c r="BC682" i="26"/>
  <c r="BD682" i="26"/>
  <c r="BF681" i="26"/>
  <c r="BG681" i="26"/>
  <c r="BC678" i="26"/>
  <c r="BD678" i="26"/>
  <c r="BF677" i="26"/>
  <c r="BG677" i="26"/>
  <c r="BC674" i="26"/>
  <c r="BD674" i="26"/>
  <c r="BF673" i="26"/>
  <c r="BG673" i="26"/>
  <c r="BC670" i="26"/>
  <c r="BD670" i="26"/>
  <c r="BF669" i="26"/>
  <c r="BG669" i="26"/>
  <c r="BC666" i="26"/>
  <c r="BD666" i="26"/>
  <c r="BF665" i="26"/>
  <c r="BG665" i="26"/>
  <c r="BC662" i="26"/>
  <c r="BD662" i="26"/>
  <c r="BF661" i="26"/>
  <c r="BG661" i="26"/>
  <c r="BC658" i="26"/>
  <c r="BD658" i="26"/>
  <c r="BF657" i="26"/>
  <c r="BG657" i="26"/>
  <c r="BC654" i="26"/>
  <c r="BD654" i="26"/>
  <c r="BF653" i="26"/>
  <c r="BG653" i="26"/>
  <c r="BC650" i="26"/>
  <c r="BD650" i="26"/>
  <c r="BF649" i="26"/>
  <c r="BG649" i="26"/>
  <c r="BC646" i="26"/>
  <c r="BD646" i="26"/>
  <c r="BF645" i="26"/>
  <c r="BG645" i="26"/>
  <c r="BC642" i="26"/>
  <c r="BD642" i="26"/>
  <c r="BF641" i="26"/>
  <c r="BG641" i="26"/>
  <c r="BC638" i="26"/>
  <c r="BD638" i="26"/>
  <c r="BF637" i="26"/>
  <c r="BG637" i="26"/>
  <c r="BC634" i="26"/>
  <c r="BD634" i="26"/>
  <c r="BF633" i="26"/>
  <c r="BG633" i="26"/>
  <c r="BC630" i="26"/>
  <c r="BD630" i="26"/>
  <c r="BF629" i="26"/>
  <c r="BG629" i="26"/>
  <c r="BC626" i="26"/>
  <c r="BD626" i="26"/>
  <c r="BF625" i="26"/>
  <c r="BG625" i="26"/>
  <c r="BC622" i="26"/>
  <c r="BD622" i="26"/>
  <c r="BF621" i="26"/>
  <c r="BG621" i="26"/>
  <c r="BC618" i="26"/>
  <c r="BD618" i="26"/>
  <c r="BF617" i="26"/>
  <c r="BG617" i="26"/>
  <c r="BG613" i="26"/>
  <c r="BF613" i="26"/>
  <c r="BG609" i="26"/>
  <c r="BF609" i="26"/>
  <c r="BG605" i="26"/>
  <c r="BF605" i="26"/>
  <c r="BG601" i="26"/>
  <c r="BF601" i="26"/>
  <c r="BG597" i="26"/>
  <c r="BF597" i="26"/>
  <c r="BG593" i="26"/>
  <c r="BF593" i="26"/>
  <c r="BG589" i="26"/>
  <c r="BF589" i="26"/>
  <c r="BD612" i="26"/>
  <c r="BC612" i="26"/>
  <c r="BD604" i="26"/>
  <c r="BC604" i="26"/>
  <c r="BD596" i="26"/>
  <c r="BC596" i="26"/>
  <c r="BD588" i="26"/>
  <c r="BC588" i="26"/>
  <c r="BG549" i="26"/>
  <c r="BF549" i="26"/>
  <c r="BG545" i="26"/>
  <c r="BF545" i="26"/>
  <c r="BG541" i="26"/>
  <c r="BF541" i="26"/>
  <c r="BG537" i="26"/>
  <c r="BF537" i="26"/>
  <c r="BG533" i="26"/>
  <c r="BF533" i="26"/>
  <c r="BG529" i="26"/>
  <c r="BF529" i="26"/>
  <c r="BG525" i="26"/>
  <c r="BF525" i="26"/>
  <c r="BG521" i="26"/>
  <c r="BF521" i="26"/>
  <c r="BG517" i="26"/>
  <c r="BF517" i="26"/>
  <c r="BG513" i="26"/>
  <c r="BF513" i="26"/>
  <c r="BG509" i="26"/>
  <c r="BF509" i="26"/>
  <c r="BG505" i="26"/>
  <c r="BF505" i="26"/>
  <c r="BG501" i="26"/>
  <c r="BF501" i="26"/>
  <c r="BG497" i="26"/>
  <c r="BF497" i="26"/>
  <c r="BG493" i="26"/>
  <c r="BF493" i="26"/>
  <c r="BG489" i="26"/>
  <c r="BF489" i="26"/>
  <c r="BG485" i="26"/>
  <c r="BF485" i="26"/>
  <c r="BG481" i="26"/>
  <c r="BF481" i="26"/>
  <c r="BG477" i="26"/>
  <c r="BF477" i="26"/>
  <c r="BG473" i="26"/>
  <c r="BF473" i="26"/>
  <c r="BG469" i="26"/>
  <c r="BF469" i="26"/>
  <c r="BG465" i="26"/>
  <c r="BF465" i="26"/>
  <c r="BG461" i="26"/>
  <c r="BF461" i="26"/>
  <c r="BG457" i="26"/>
  <c r="BF457" i="26"/>
  <c r="BG453" i="26"/>
  <c r="BF453" i="26"/>
  <c r="BG449" i="26"/>
  <c r="BF449" i="26"/>
  <c r="BG445" i="26"/>
  <c r="BF445" i="26"/>
  <c r="BG441" i="26"/>
  <c r="BF441" i="26"/>
  <c r="BG437" i="26"/>
  <c r="BF437" i="26"/>
  <c r="BG433" i="26"/>
  <c r="BF433" i="26"/>
  <c r="BG429" i="26"/>
  <c r="BF429" i="26"/>
  <c r="BG425" i="26"/>
  <c r="BF425" i="26"/>
  <c r="BG421" i="26"/>
  <c r="BF421" i="26"/>
  <c r="BG417" i="26"/>
  <c r="BF417" i="26"/>
  <c r="BC585" i="26"/>
  <c r="BD585" i="26"/>
  <c r="BF584" i="26"/>
  <c r="BG584" i="26"/>
  <c r="BC581" i="26"/>
  <c r="BD581" i="26"/>
  <c r="BF580" i="26"/>
  <c r="BG580" i="26"/>
  <c r="BC577" i="26"/>
  <c r="BD577" i="26"/>
  <c r="BF576" i="26"/>
  <c r="BG576" i="26"/>
  <c r="BC573" i="26"/>
  <c r="BD573" i="26"/>
  <c r="BF572" i="26"/>
  <c r="BG572" i="26"/>
  <c r="BC569" i="26"/>
  <c r="BD569" i="26"/>
  <c r="BF568" i="26"/>
  <c r="BG568" i="26"/>
  <c r="BC565" i="26"/>
  <c r="BD565" i="26"/>
  <c r="BF564" i="26"/>
  <c r="BG564" i="26"/>
  <c r="BC561" i="26"/>
  <c r="BD561" i="26"/>
  <c r="BF560" i="26"/>
  <c r="BG560" i="26"/>
  <c r="BC557" i="26"/>
  <c r="BD557" i="26"/>
  <c r="BF556" i="26"/>
  <c r="BG556" i="26"/>
  <c r="BC553" i="26"/>
  <c r="BD553" i="26"/>
  <c r="BF552" i="26"/>
  <c r="BG552" i="26"/>
  <c r="BF550" i="26"/>
  <c r="BG550" i="26"/>
  <c r="BD550" i="26"/>
  <c r="BC550" i="26"/>
  <c r="BF546" i="26"/>
  <c r="BG546" i="26"/>
  <c r="BD546" i="26"/>
  <c r="BC546" i="26"/>
  <c r="BF542" i="26"/>
  <c r="BG542" i="26"/>
  <c r="BD542" i="26"/>
  <c r="BC542" i="26"/>
  <c r="BF538" i="26"/>
  <c r="BG538" i="26"/>
  <c r="BD538" i="26"/>
  <c r="BC538" i="26"/>
  <c r="BF534" i="26"/>
  <c r="BG534" i="26"/>
  <c r="BD534" i="26"/>
  <c r="BC534" i="26"/>
  <c r="BF530" i="26"/>
  <c r="BG530" i="26"/>
  <c r="BD530" i="26"/>
  <c r="BC530" i="26"/>
  <c r="BF526" i="26"/>
  <c r="BG526" i="26"/>
  <c r="BD526" i="26"/>
  <c r="BC526" i="26"/>
  <c r="BF522" i="26"/>
  <c r="BG522" i="26"/>
  <c r="BD522" i="26"/>
  <c r="BC522" i="26"/>
  <c r="BF518" i="26"/>
  <c r="BG518" i="26"/>
  <c r="BD518" i="26"/>
  <c r="BC518" i="26"/>
  <c r="BF514" i="26"/>
  <c r="BG514" i="26"/>
  <c r="BD514" i="26"/>
  <c r="BC514" i="26"/>
  <c r="BF510" i="26"/>
  <c r="BG510" i="26"/>
  <c r="BD510" i="26"/>
  <c r="BC510" i="26"/>
  <c r="BF506" i="26"/>
  <c r="BG506" i="26"/>
  <c r="BD506" i="26"/>
  <c r="BC506" i="26"/>
  <c r="BF502" i="26"/>
  <c r="BG502" i="26"/>
  <c r="BD502" i="26"/>
  <c r="BC502" i="26"/>
  <c r="BF498" i="26"/>
  <c r="BG498" i="26"/>
  <c r="BD498" i="26"/>
  <c r="BC498" i="26"/>
  <c r="BF494" i="26"/>
  <c r="BG494" i="26"/>
  <c r="BD494" i="26"/>
  <c r="BC494" i="26"/>
  <c r="BF490" i="26"/>
  <c r="BG490" i="26"/>
  <c r="BD490" i="26"/>
  <c r="BC490" i="26"/>
  <c r="BF486" i="26"/>
  <c r="BG486" i="26"/>
  <c r="BD486" i="26"/>
  <c r="BC486" i="26"/>
  <c r="BF482" i="26"/>
  <c r="BG482" i="26"/>
  <c r="BD482" i="26"/>
  <c r="BC482" i="26"/>
  <c r="BF478" i="26"/>
  <c r="BG478" i="26"/>
  <c r="BD478" i="26"/>
  <c r="BC478" i="26"/>
  <c r="BF474" i="26"/>
  <c r="BG474" i="26"/>
  <c r="BD474" i="26"/>
  <c r="BC474" i="26"/>
  <c r="BF470" i="26"/>
  <c r="BG470" i="26"/>
  <c r="BD470" i="26"/>
  <c r="BC470" i="26"/>
  <c r="BF466" i="26"/>
  <c r="BG466" i="26"/>
  <c r="BD466" i="26"/>
  <c r="BC466" i="26"/>
  <c r="BF462" i="26"/>
  <c r="BG462" i="26"/>
  <c r="BD462" i="26"/>
  <c r="BC462" i="26"/>
  <c r="BF458" i="26"/>
  <c r="BG458" i="26"/>
  <c r="BD458" i="26"/>
  <c r="BC458" i="26"/>
  <c r="BF454" i="26"/>
  <c r="BG454" i="26"/>
  <c r="BD454" i="26"/>
  <c r="BC454" i="26"/>
  <c r="BF450" i="26"/>
  <c r="BG450" i="26"/>
  <c r="BD450" i="26"/>
  <c r="BC450" i="26"/>
  <c r="BF446" i="26"/>
  <c r="BG446" i="26"/>
  <c r="BD446" i="26"/>
  <c r="BC446" i="26"/>
  <c r="BF442" i="26"/>
  <c r="BG442" i="26"/>
  <c r="BD442" i="26"/>
  <c r="BC442" i="26"/>
  <c r="BF438" i="26"/>
  <c r="BG438" i="26"/>
  <c r="BD438" i="26"/>
  <c r="BC438" i="26"/>
  <c r="BF434" i="26"/>
  <c r="BG434" i="26"/>
  <c r="BD434" i="26"/>
  <c r="BC434" i="26"/>
  <c r="BF430" i="26"/>
  <c r="BG430" i="26"/>
  <c r="BD430" i="26"/>
  <c r="BC430" i="26"/>
  <c r="BF426" i="26"/>
  <c r="BG426" i="26"/>
  <c r="BD426" i="26"/>
  <c r="BC426" i="26"/>
  <c r="BF422" i="26"/>
  <c r="BG422" i="26"/>
  <c r="BD422" i="26"/>
  <c r="BC422" i="26"/>
  <c r="BF418" i="26"/>
  <c r="BG418" i="26"/>
  <c r="BD418" i="26"/>
  <c r="BC418" i="26"/>
  <c r="BG1004" i="26"/>
  <c r="BF1004" i="26"/>
  <c r="BG1000" i="26"/>
  <c r="BF1000" i="26"/>
  <c r="BG996" i="26"/>
  <c r="BF996" i="26"/>
  <c r="BD1005" i="26"/>
  <c r="BC1005" i="26"/>
  <c r="BD1001" i="26"/>
  <c r="BC1001" i="26"/>
  <c r="BD997" i="26"/>
  <c r="BC997" i="26"/>
  <c r="BD993" i="26"/>
  <c r="BC993" i="26"/>
  <c r="BG991" i="26"/>
  <c r="BF991" i="26"/>
  <c r="BG987" i="26"/>
  <c r="BF987" i="26"/>
  <c r="BG983" i="26"/>
  <c r="BF983" i="26"/>
  <c r="BG979" i="26"/>
  <c r="BF979" i="26"/>
  <c r="BG975" i="26"/>
  <c r="BF975" i="26"/>
  <c r="BG973" i="26"/>
  <c r="BF973" i="26"/>
  <c r="BG971" i="26"/>
  <c r="BF971" i="26"/>
  <c r="BG967" i="26"/>
  <c r="BF967" i="26"/>
  <c r="BG963" i="26"/>
  <c r="BF963" i="26"/>
  <c r="BG959" i="26"/>
  <c r="BF959" i="26"/>
  <c r="BG955" i="26"/>
  <c r="BF955" i="26"/>
  <c r="BG951" i="26"/>
  <c r="BF951" i="26"/>
  <c r="BG947" i="26"/>
  <c r="BF947" i="26"/>
  <c r="BG943" i="26"/>
  <c r="BF943" i="26"/>
  <c r="BG939" i="26"/>
  <c r="BF939" i="26"/>
  <c r="BG935" i="26"/>
  <c r="BF935" i="26"/>
  <c r="BF970" i="26"/>
  <c r="BG970" i="26"/>
  <c r="BF966" i="26"/>
  <c r="BG966" i="26"/>
  <c r="BF962" i="26"/>
  <c r="BG962" i="26"/>
  <c r="BF958" i="26"/>
  <c r="BG958" i="26"/>
  <c r="BF954" i="26"/>
  <c r="BG954" i="26"/>
  <c r="BF950" i="26"/>
  <c r="BG950" i="26"/>
  <c r="BF946" i="26"/>
  <c r="BG946" i="26"/>
  <c r="BF942" i="26"/>
  <c r="BG942" i="26"/>
  <c r="BD940" i="26"/>
  <c r="BC940" i="26"/>
  <c r="BD936" i="26"/>
  <c r="BC936" i="26"/>
  <c r="BG931" i="26"/>
  <c r="BF931" i="26"/>
  <c r="BG927" i="26"/>
  <c r="BF927" i="26"/>
  <c r="BG923" i="26"/>
  <c r="BF923" i="26"/>
  <c r="BG919" i="26"/>
  <c r="BF919" i="26"/>
  <c r="BG915" i="26"/>
  <c r="BF915" i="26"/>
  <c r="BG911" i="26"/>
  <c r="BF911" i="26"/>
  <c r="BD970" i="26"/>
  <c r="BC970" i="26"/>
  <c r="BD966" i="26"/>
  <c r="BC966" i="26"/>
  <c r="BD962" i="26"/>
  <c r="BC962" i="26"/>
  <c r="BD958" i="26"/>
  <c r="BC958" i="26"/>
  <c r="BD954" i="26"/>
  <c r="BC954" i="26"/>
  <c r="BD950" i="26"/>
  <c r="BC950" i="26"/>
  <c r="BD946" i="26"/>
  <c r="BC946" i="26"/>
  <c r="BD942" i="26"/>
  <c r="BC942" i="26"/>
  <c r="BD930" i="26"/>
  <c r="BC930" i="26"/>
  <c r="BD926" i="26"/>
  <c r="BC926" i="26"/>
  <c r="BD922" i="26"/>
  <c r="BC922" i="26"/>
  <c r="BD918" i="26"/>
  <c r="BC918" i="26"/>
  <c r="BD914" i="26"/>
  <c r="BC914" i="26"/>
  <c r="BD910" i="26"/>
  <c r="BC910" i="26"/>
  <c r="BG907" i="26"/>
  <c r="BF907" i="26"/>
  <c r="BD904" i="26"/>
  <c r="BC904" i="26"/>
  <c r="BG903" i="26"/>
  <c r="BF903" i="26"/>
  <c r="BD900" i="26"/>
  <c r="BC900" i="26"/>
  <c r="BG899" i="26"/>
  <c r="BF899" i="26"/>
  <c r="BD896" i="26"/>
  <c r="BC896" i="26"/>
  <c r="BG895" i="26"/>
  <c r="BF895" i="26"/>
  <c r="BD892" i="26"/>
  <c r="BC892" i="26"/>
  <c r="BG891" i="26"/>
  <c r="BF891" i="26"/>
  <c r="BD888" i="26"/>
  <c r="BC888" i="26"/>
  <c r="BG887" i="26"/>
  <c r="BF887" i="26"/>
  <c r="BG883" i="26"/>
  <c r="BF883" i="26"/>
  <c r="BG879" i="26"/>
  <c r="BF879" i="26"/>
  <c r="BD932" i="26"/>
  <c r="BC932" i="26"/>
  <c r="BD928" i="26"/>
  <c r="BC928" i="26"/>
  <c r="BD924" i="26"/>
  <c r="BC924" i="26"/>
  <c r="BD920" i="26"/>
  <c r="BC920" i="26"/>
  <c r="BD916" i="26"/>
  <c r="BC916" i="26"/>
  <c r="BD912" i="26"/>
  <c r="BC912" i="26"/>
  <c r="BD908" i="26"/>
  <c r="BC908" i="26"/>
  <c r="BD882" i="26"/>
  <c r="BC882" i="26"/>
  <c r="BG875" i="26"/>
  <c r="BF875" i="26"/>
  <c r="BG873" i="26"/>
  <c r="BF873" i="26"/>
  <c r="BG871" i="26"/>
  <c r="BF871" i="26"/>
  <c r="BG869" i="26"/>
  <c r="BF869" i="26"/>
  <c r="BG867" i="26"/>
  <c r="BF867" i="26"/>
  <c r="BG865" i="26"/>
  <c r="BF865" i="26"/>
  <c r="BG863" i="26"/>
  <c r="BF863" i="26"/>
  <c r="BG861" i="26"/>
  <c r="BF861" i="26"/>
  <c r="BG859" i="26"/>
  <c r="BF859" i="26"/>
  <c r="BG857" i="26"/>
  <c r="BF857" i="26"/>
  <c r="BG855" i="26"/>
  <c r="BF855" i="26"/>
  <c r="BG853" i="26"/>
  <c r="BF853" i="26"/>
  <c r="BG851" i="26"/>
  <c r="BF851" i="26"/>
  <c r="BG849" i="26"/>
  <c r="BF849" i="26"/>
  <c r="BG847" i="26"/>
  <c r="BF847" i="26"/>
  <c r="BG845" i="26"/>
  <c r="BF845" i="26"/>
  <c r="BG843" i="26"/>
  <c r="BF843" i="26"/>
  <c r="BG841" i="26"/>
  <c r="BF841" i="26"/>
  <c r="BC875" i="26"/>
  <c r="BD875" i="26"/>
  <c r="BF874" i="26"/>
  <c r="BG874" i="26"/>
  <c r="BC871" i="26"/>
  <c r="BD871" i="26"/>
  <c r="BF870" i="26"/>
  <c r="BG870" i="26"/>
  <c r="BC867" i="26"/>
  <c r="BD867" i="26"/>
  <c r="BF866" i="26"/>
  <c r="BG866" i="26"/>
  <c r="BC863" i="26"/>
  <c r="BD863" i="26"/>
  <c r="BF862" i="26"/>
  <c r="BG862" i="26"/>
  <c r="BC859" i="26"/>
  <c r="BD859" i="26"/>
  <c r="BF858" i="26"/>
  <c r="BG858" i="26"/>
  <c r="BC855" i="26"/>
  <c r="BD855" i="26"/>
  <c r="BF854" i="26"/>
  <c r="BG854" i="26"/>
  <c r="BC851" i="26"/>
  <c r="BD851" i="26"/>
  <c r="BF850" i="26"/>
  <c r="BG850" i="26"/>
  <c r="BC847" i="26"/>
  <c r="BD847" i="26"/>
  <c r="BF846" i="26"/>
  <c r="BG846" i="26"/>
  <c r="BC843" i="26"/>
  <c r="BD843" i="26"/>
  <c r="BF842" i="26"/>
  <c r="BG842" i="26"/>
  <c r="BG838" i="26"/>
  <c r="BF838" i="26"/>
  <c r="BG834" i="26"/>
  <c r="BF834" i="26"/>
  <c r="BD839" i="26"/>
  <c r="BC839" i="26"/>
  <c r="BD831" i="26"/>
  <c r="BC831" i="26"/>
  <c r="BF830" i="26"/>
  <c r="BG830" i="26"/>
  <c r="BC827" i="26"/>
  <c r="BD827" i="26"/>
  <c r="BF826" i="26"/>
  <c r="BG826" i="26"/>
  <c r="BC823" i="26"/>
  <c r="BD823" i="26"/>
  <c r="BF822" i="26"/>
  <c r="BG822" i="26"/>
  <c r="BC819" i="26"/>
  <c r="BD819" i="26"/>
  <c r="BF818" i="26"/>
  <c r="BG818" i="26"/>
  <c r="BC815" i="26"/>
  <c r="BD815" i="26"/>
  <c r="BF814" i="26"/>
  <c r="BG814" i="26"/>
  <c r="BC811" i="26"/>
  <c r="BD811" i="26"/>
  <c r="BF810" i="26"/>
  <c r="BG810" i="26"/>
  <c r="BC807" i="26"/>
  <c r="BD807" i="26"/>
  <c r="BF806" i="26"/>
  <c r="BG806" i="26"/>
  <c r="BC803" i="26"/>
  <c r="BD803" i="26"/>
  <c r="BF802" i="26"/>
  <c r="BG802" i="26"/>
  <c r="BC799" i="26"/>
  <c r="BD799" i="26"/>
  <c r="BF798" i="26"/>
  <c r="BG798" i="26"/>
  <c r="BC795" i="26"/>
  <c r="BD795" i="26"/>
  <c r="BF794" i="26"/>
  <c r="BG794" i="26"/>
  <c r="BC791" i="26"/>
  <c r="BD791" i="26"/>
  <c r="BF790" i="26"/>
  <c r="BG790" i="26"/>
  <c r="BC787" i="26"/>
  <c r="BD787" i="26"/>
  <c r="BF786" i="26"/>
  <c r="BG786" i="26"/>
  <c r="BC783" i="26"/>
  <c r="BD783" i="26"/>
  <c r="BF782" i="26"/>
  <c r="BG782" i="26"/>
  <c r="BC779" i="26"/>
  <c r="BD779" i="26"/>
  <c r="BF778" i="26"/>
  <c r="BG778" i="26"/>
  <c r="BC775" i="26"/>
  <c r="BD775" i="26"/>
  <c r="BF774" i="26"/>
  <c r="BG774" i="26"/>
  <c r="BC771" i="26"/>
  <c r="BD771" i="26"/>
  <c r="BF770" i="26"/>
  <c r="BG770" i="26"/>
  <c r="BC767" i="26"/>
  <c r="BD767" i="26"/>
  <c r="BF766" i="26"/>
  <c r="BG766" i="26"/>
  <c r="BC763" i="26"/>
  <c r="BD763" i="26"/>
  <c r="BF762" i="26"/>
  <c r="BG762" i="26"/>
  <c r="BC759" i="26"/>
  <c r="BD759" i="26"/>
  <c r="BF758" i="26"/>
  <c r="BG758" i="26"/>
  <c r="BC755" i="26"/>
  <c r="BD755" i="26"/>
  <c r="BF754" i="26"/>
  <c r="BG754" i="26"/>
  <c r="BG752" i="26"/>
  <c r="BF752" i="26"/>
  <c r="BG748" i="26"/>
  <c r="BF748" i="26"/>
  <c r="BG744" i="26"/>
  <c r="BF744" i="26"/>
  <c r="BG740" i="26"/>
  <c r="BF740" i="26"/>
  <c r="BG736" i="26"/>
  <c r="BF736" i="26"/>
  <c r="BD751" i="26"/>
  <c r="BC751" i="26"/>
  <c r="BD743" i="26"/>
  <c r="BC743" i="26"/>
  <c r="BG734" i="26"/>
  <c r="BF734" i="26"/>
  <c r="BG732" i="26"/>
  <c r="BF732" i="26"/>
  <c r="BG730" i="26"/>
  <c r="BF730" i="26"/>
  <c r="BG728" i="26"/>
  <c r="BF728" i="26"/>
  <c r="BG726" i="26"/>
  <c r="BF726" i="26"/>
  <c r="BG724" i="26"/>
  <c r="BF724" i="26"/>
  <c r="BG722" i="26"/>
  <c r="BF722" i="26"/>
  <c r="BG720" i="26"/>
  <c r="BF720" i="26"/>
  <c r="BG718" i="26"/>
  <c r="BF718" i="26"/>
  <c r="BG716" i="26"/>
  <c r="BF716" i="26"/>
  <c r="BG714" i="26"/>
  <c r="BF714" i="26"/>
  <c r="BG712" i="26"/>
  <c r="BF712" i="26"/>
  <c r="BG710" i="26"/>
  <c r="BF710" i="26"/>
  <c r="BG708" i="26"/>
  <c r="BF708" i="26"/>
  <c r="BG706" i="26"/>
  <c r="BF706" i="26"/>
  <c r="BG704" i="26"/>
  <c r="BF704" i="26"/>
  <c r="BG702" i="26"/>
  <c r="BF702" i="26"/>
  <c r="BG700" i="26"/>
  <c r="BF700" i="26"/>
  <c r="BG698" i="26"/>
  <c r="BF698" i="26"/>
  <c r="BG696" i="26"/>
  <c r="BF696" i="26"/>
  <c r="BG694" i="26"/>
  <c r="BF694" i="26"/>
  <c r="BG692" i="26"/>
  <c r="BF692" i="26"/>
  <c r="BG690" i="26"/>
  <c r="BF690" i="26"/>
  <c r="BG688" i="26"/>
  <c r="BF688" i="26"/>
  <c r="BG686" i="26"/>
  <c r="BF686" i="26"/>
  <c r="BG684" i="26"/>
  <c r="BF684" i="26"/>
  <c r="BG682" i="26"/>
  <c r="BF682" i="26"/>
  <c r="BG680" i="26"/>
  <c r="BF680" i="26"/>
  <c r="BG678" i="26"/>
  <c r="BF678" i="26"/>
  <c r="BG676" i="26"/>
  <c r="BF676" i="26"/>
  <c r="BG674" i="26"/>
  <c r="BF674" i="26"/>
  <c r="BG672" i="26"/>
  <c r="BF672" i="26"/>
  <c r="BG670" i="26"/>
  <c r="BF670" i="26"/>
  <c r="BG668" i="26"/>
  <c r="BF668" i="26"/>
  <c r="BG666" i="26"/>
  <c r="BF666" i="26"/>
  <c r="BG664" i="26"/>
  <c r="BF664" i="26"/>
  <c r="BG662" i="26"/>
  <c r="BF662" i="26"/>
  <c r="BG660" i="26"/>
  <c r="BF660" i="26"/>
  <c r="BG658" i="26"/>
  <c r="BF658" i="26"/>
  <c r="BG656" i="26"/>
  <c r="BF656" i="26"/>
  <c r="BG654" i="26"/>
  <c r="BF654" i="26"/>
  <c r="BG652" i="26"/>
  <c r="BF652" i="26"/>
  <c r="BG650" i="26"/>
  <c r="BF650" i="26"/>
  <c r="BG648" i="26"/>
  <c r="BF648" i="26"/>
  <c r="BG646" i="26"/>
  <c r="BF646" i="26"/>
  <c r="BG644" i="26"/>
  <c r="BF644" i="26"/>
  <c r="BG642" i="26"/>
  <c r="BF642" i="26"/>
  <c r="BG640" i="26"/>
  <c r="BF640" i="26"/>
  <c r="BG638" i="26"/>
  <c r="BF638" i="26"/>
  <c r="BG636" i="26"/>
  <c r="BF636" i="26"/>
  <c r="BG634" i="26"/>
  <c r="BF634" i="26"/>
  <c r="BG632" i="26"/>
  <c r="BF632" i="26"/>
  <c r="BG630" i="26"/>
  <c r="BF630" i="26"/>
  <c r="BG628" i="26"/>
  <c r="BF628" i="26"/>
  <c r="BG626" i="26"/>
  <c r="BF626" i="26"/>
  <c r="BG624" i="26"/>
  <c r="BF624" i="26"/>
  <c r="BG622" i="26"/>
  <c r="BF622" i="26"/>
  <c r="BG620" i="26"/>
  <c r="BF620" i="26"/>
  <c r="BG618" i="26"/>
  <c r="BF618" i="26"/>
  <c r="BC753" i="26"/>
  <c r="BD753" i="26"/>
  <c r="BG753" i="26"/>
  <c r="BF753" i="26"/>
  <c r="BF751" i="26"/>
  <c r="BG751" i="26"/>
  <c r="BD749" i="26"/>
  <c r="BC749" i="26"/>
  <c r="BF747" i="26"/>
  <c r="BG747" i="26"/>
  <c r="BD745" i="26"/>
  <c r="BC745" i="26"/>
  <c r="BF743" i="26"/>
  <c r="BG743" i="26"/>
  <c r="BD741" i="26"/>
  <c r="BC741" i="26"/>
  <c r="BF739" i="26"/>
  <c r="BG739" i="26"/>
  <c r="BD737" i="26"/>
  <c r="BC737" i="26"/>
  <c r="BD735" i="26"/>
  <c r="BC735" i="26"/>
  <c r="BC732" i="26"/>
  <c r="BD732" i="26"/>
  <c r="BF731" i="26"/>
  <c r="BG731" i="26"/>
  <c r="BC728" i="26"/>
  <c r="BD728" i="26"/>
  <c r="BF727" i="26"/>
  <c r="BG727" i="26"/>
  <c r="BC724" i="26"/>
  <c r="BD724" i="26"/>
  <c r="BF723" i="26"/>
  <c r="BG723" i="26"/>
  <c r="BC720" i="26"/>
  <c r="BD720" i="26"/>
  <c r="BF719" i="26"/>
  <c r="BG719" i="26"/>
  <c r="BC716" i="26"/>
  <c r="BD716" i="26"/>
  <c r="BF715" i="26"/>
  <c r="BG715" i="26"/>
  <c r="BC712" i="26"/>
  <c r="BD712" i="26"/>
  <c r="BF711" i="26"/>
  <c r="BG711" i="26"/>
  <c r="BC708" i="26"/>
  <c r="BD708" i="26"/>
  <c r="BF707" i="26"/>
  <c r="BG707" i="26"/>
  <c r="BC704" i="26"/>
  <c r="BD704" i="26"/>
  <c r="BF703" i="26"/>
  <c r="BG703" i="26"/>
  <c r="BC700" i="26"/>
  <c r="BD700" i="26"/>
  <c r="BF699" i="26"/>
  <c r="BG699" i="26"/>
  <c r="BC696" i="26"/>
  <c r="BD696" i="26"/>
  <c r="BF695" i="26"/>
  <c r="BG695" i="26"/>
  <c r="BC692" i="26"/>
  <c r="BD692" i="26"/>
  <c r="BF691" i="26"/>
  <c r="BG691" i="26"/>
  <c r="BC688" i="26"/>
  <c r="BD688" i="26"/>
  <c r="BF687" i="26"/>
  <c r="BG687" i="26"/>
  <c r="BC684" i="26"/>
  <c r="BD684" i="26"/>
  <c r="BF683" i="26"/>
  <c r="BG683" i="26"/>
  <c r="BC680" i="26"/>
  <c r="BD680" i="26"/>
  <c r="BF679" i="26"/>
  <c r="BG679" i="26"/>
  <c r="BC676" i="26"/>
  <c r="BD676" i="26"/>
  <c r="BF675" i="26"/>
  <c r="BG675" i="26"/>
  <c r="BC672" i="26"/>
  <c r="BD672" i="26"/>
  <c r="BF671" i="26"/>
  <c r="BG671" i="26"/>
  <c r="BC668" i="26"/>
  <c r="BD668" i="26"/>
  <c r="BF667" i="26"/>
  <c r="BG667" i="26"/>
  <c r="BC664" i="26"/>
  <c r="BD664" i="26"/>
  <c r="BF663" i="26"/>
  <c r="BG663" i="26"/>
  <c r="BC660" i="26"/>
  <c r="BD660" i="26"/>
  <c r="BF659" i="26"/>
  <c r="BG659" i="26"/>
  <c r="BC656" i="26"/>
  <c r="BD656" i="26"/>
  <c r="BF655" i="26"/>
  <c r="BG655" i="26"/>
  <c r="BC652" i="26"/>
  <c r="BD652" i="26"/>
  <c r="BF651" i="26"/>
  <c r="BG651" i="26"/>
  <c r="BC648" i="26"/>
  <c r="BD648" i="26"/>
  <c r="BF647" i="26"/>
  <c r="BG647" i="26"/>
  <c r="BC644" i="26"/>
  <c r="BD644" i="26"/>
  <c r="BF643" i="26"/>
  <c r="BG643" i="26"/>
  <c r="BC640" i="26"/>
  <c r="BD640" i="26"/>
  <c r="BF639" i="26"/>
  <c r="BG639" i="26"/>
  <c r="BC636" i="26"/>
  <c r="BD636" i="26"/>
  <c r="BF635" i="26"/>
  <c r="BG635" i="26"/>
  <c r="BC632" i="26"/>
  <c r="BD632" i="26"/>
  <c r="BF631" i="26"/>
  <c r="BG631" i="26"/>
  <c r="BC628" i="26"/>
  <c r="BD628" i="26"/>
  <c r="BF627" i="26"/>
  <c r="BG627" i="26"/>
  <c r="BC624" i="26"/>
  <c r="BD624" i="26"/>
  <c r="BF623" i="26"/>
  <c r="BG623" i="26"/>
  <c r="BC620" i="26"/>
  <c r="BD620" i="26"/>
  <c r="BF619" i="26"/>
  <c r="BG619" i="26"/>
  <c r="BG615" i="26"/>
  <c r="BF615" i="26"/>
  <c r="BG611" i="26"/>
  <c r="BF611" i="26"/>
  <c r="BG607" i="26"/>
  <c r="BF607" i="26"/>
  <c r="BG603" i="26"/>
  <c r="BF603" i="26"/>
  <c r="BG599" i="26"/>
  <c r="BF599" i="26"/>
  <c r="BG595" i="26"/>
  <c r="BF595" i="26"/>
  <c r="BG591" i="26"/>
  <c r="BF591" i="26"/>
  <c r="BG587" i="26"/>
  <c r="BF587" i="26"/>
  <c r="BD616" i="26"/>
  <c r="BC616" i="26"/>
  <c r="BD608" i="26"/>
  <c r="BC608" i="26"/>
  <c r="BD600" i="26"/>
  <c r="BC600" i="26"/>
  <c r="BD592" i="26"/>
  <c r="BC592" i="26"/>
  <c r="BG585" i="26"/>
  <c r="BF585" i="26"/>
  <c r="BG583" i="26"/>
  <c r="BF583" i="26"/>
  <c r="BG581" i="26"/>
  <c r="BF581" i="26"/>
  <c r="BG579" i="26"/>
  <c r="BF579" i="26"/>
  <c r="BG577" i="26"/>
  <c r="BF577" i="26"/>
  <c r="BG575" i="26"/>
  <c r="BF575" i="26"/>
  <c r="BG573" i="26"/>
  <c r="BF573" i="26"/>
  <c r="BG571" i="26"/>
  <c r="BF571" i="26"/>
  <c r="BG569" i="26"/>
  <c r="BF569" i="26"/>
  <c r="BG567" i="26"/>
  <c r="BF567" i="26"/>
  <c r="BG565" i="26"/>
  <c r="BF565" i="26"/>
  <c r="BG563" i="26"/>
  <c r="BF563" i="26"/>
  <c r="BG561" i="26"/>
  <c r="BF561" i="26"/>
  <c r="BG559" i="26"/>
  <c r="BF559" i="26"/>
  <c r="BG557" i="26"/>
  <c r="BF557" i="26"/>
  <c r="BG555" i="26"/>
  <c r="BF555" i="26"/>
  <c r="BG553" i="26"/>
  <c r="BF553" i="26"/>
  <c r="BG551" i="26"/>
  <c r="BF551" i="26"/>
  <c r="BG547" i="26"/>
  <c r="BF547" i="26"/>
  <c r="BG543" i="26"/>
  <c r="BF543" i="26"/>
  <c r="BG539" i="26"/>
  <c r="BF539" i="26"/>
  <c r="BG535" i="26"/>
  <c r="BF535" i="26"/>
  <c r="BG531" i="26"/>
  <c r="BF531" i="26"/>
  <c r="BG527" i="26"/>
  <c r="BF527" i="26"/>
  <c r="BG523" i="26"/>
  <c r="BF523" i="26"/>
  <c r="BG519" i="26"/>
  <c r="BF519" i="26"/>
  <c r="BG515" i="26"/>
  <c r="BF515" i="26"/>
  <c r="BG511" i="26"/>
  <c r="BF511" i="26"/>
  <c r="BG507" i="26"/>
  <c r="BF507" i="26"/>
  <c r="BG503" i="26"/>
  <c r="BF503" i="26"/>
  <c r="BG499" i="26"/>
  <c r="BF499" i="26"/>
  <c r="BG495" i="26"/>
  <c r="BF495" i="26"/>
  <c r="BG491" i="26"/>
  <c r="BF491" i="26"/>
  <c r="BG487" i="26"/>
  <c r="BF487" i="26"/>
  <c r="BG483" i="26"/>
  <c r="BF483" i="26"/>
  <c r="BG479" i="26"/>
  <c r="BF479" i="26"/>
  <c r="BG475" i="26"/>
  <c r="BF475" i="26"/>
  <c r="BG471" i="26"/>
  <c r="BF471" i="26"/>
  <c r="BG467" i="26"/>
  <c r="BF467" i="26"/>
  <c r="BG463" i="26"/>
  <c r="BF463" i="26"/>
  <c r="BG459" i="26"/>
  <c r="BF459" i="26"/>
  <c r="BG455" i="26"/>
  <c r="BF455" i="26"/>
  <c r="BG451" i="26"/>
  <c r="BF451" i="26"/>
  <c r="BG447" i="26"/>
  <c r="BF447" i="26"/>
  <c r="BG443" i="26"/>
  <c r="BF443" i="26"/>
  <c r="BG439" i="26"/>
  <c r="BF439" i="26"/>
  <c r="BG435" i="26"/>
  <c r="BF435" i="26"/>
  <c r="BG431" i="26"/>
  <c r="BF431" i="26"/>
  <c r="BG427" i="26"/>
  <c r="BF427" i="26"/>
  <c r="BG423" i="26"/>
  <c r="BF423" i="26"/>
  <c r="BG419" i="26"/>
  <c r="BF419" i="26"/>
  <c r="BF616" i="26"/>
  <c r="BG616" i="26"/>
  <c r="BD614" i="26"/>
  <c r="BC614" i="26"/>
  <c r="BF612" i="26"/>
  <c r="BG612" i="26"/>
  <c r="BD610" i="26"/>
  <c r="BC610" i="26"/>
  <c r="BF608" i="26"/>
  <c r="BG608" i="26"/>
  <c r="BD606" i="26"/>
  <c r="BC606" i="26"/>
  <c r="BF604" i="26"/>
  <c r="BG604" i="26"/>
  <c r="BD602" i="26"/>
  <c r="BC602" i="26"/>
  <c r="BF600" i="26"/>
  <c r="BG600" i="26"/>
  <c r="BD598" i="26"/>
  <c r="BC598" i="26"/>
  <c r="BF596" i="26"/>
  <c r="BG596" i="26"/>
  <c r="BD594" i="26"/>
  <c r="BC594" i="26"/>
  <c r="BF592" i="26"/>
  <c r="BG592" i="26"/>
  <c r="BD590" i="26"/>
  <c r="BC590" i="26"/>
  <c r="BF588" i="26"/>
  <c r="BG588" i="26"/>
  <c r="BD586" i="26"/>
  <c r="BC586" i="26"/>
  <c r="BC583" i="26"/>
  <c r="BD583" i="26"/>
  <c r="BF582" i="26"/>
  <c r="BG582" i="26"/>
  <c r="BC579" i="26"/>
  <c r="BD579" i="26"/>
  <c r="BF578" i="26"/>
  <c r="BG578" i="26"/>
  <c r="BC575" i="26"/>
  <c r="BD575" i="26"/>
  <c r="BF574" i="26"/>
  <c r="BG574" i="26"/>
  <c r="BC571" i="26"/>
  <c r="BD571" i="26"/>
  <c r="BF570" i="26"/>
  <c r="BG570" i="26"/>
  <c r="BC567" i="26"/>
  <c r="BD567" i="26"/>
  <c r="BF566" i="26"/>
  <c r="BG566" i="26"/>
  <c r="BC563" i="26"/>
  <c r="BD563" i="26"/>
  <c r="BF562" i="26"/>
  <c r="BG562" i="26"/>
  <c r="BC559" i="26"/>
  <c r="BD559" i="26"/>
  <c r="BF558" i="26"/>
  <c r="BG558" i="26"/>
  <c r="BC555" i="26"/>
  <c r="BD555" i="26"/>
  <c r="BF554" i="26"/>
  <c r="BG554" i="26"/>
  <c r="BD548" i="26"/>
  <c r="BC548" i="26"/>
  <c r="BD544" i="26"/>
  <c r="BC544" i="26"/>
  <c r="BD540" i="26"/>
  <c r="BC540" i="26"/>
  <c r="BD536" i="26"/>
  <c r="BC536" i="26"/>
  <c r="BD532" i="26"/>
  <c r="BC532" i="26"/>
  <c r="BD528" i="26"/>
  <c r="BC528" i="26"/>
  <c r="BD524" i="26"/>
  <c r="BC524" i="26"/>
  <c r="BD520" i="26"/>
  <c r="BC520" i="26"/>
  <c r="BD516" i="26"/>
  <c r="BC516" i="26"/>
  <c r="BD512" i="26"/>
  <c r="BC512" i="26"/>
  <c r="BD508" i="26"/>
  <c r="BC508" i="26"/>
  <c r="BD504" i="26"/>
  <c r="BC504" i="26"/>
  <c r="BD500" i="26"/>
  <c r="BC500" i="26"/>
  <c r="BD496" i="26"/>
  <c r="BC496" i="26"/>
  <c r="BD492" i="26"/>
  <c r="BC492" i="26"/>
  <c r="BD488" i="26"/>
  <c r="BC488" i="26"/>
  <c r="BD484" i="26"/>
  <c r="BC484" i="26"/>
  <c r="BD480" i="26"/>
  <c r="BC480" i="26"/>
  <c r="BD476" i="26"/>
  <c r="BC476" i="26"/>
  <c r="BD472" i="26"/>
  <c r="BC472" i="26"/>
  <c r="BD468" i="26"/>
  <c r="BC468" i="26"/>
  <c r="BD464" i="26"/>
  <c r="BC464" i="26"/>
  <c r="BD460" i="26"/>
  <c r="BC460" i="26"/>
  <c r="BD456" i="26"/>
  <c r="BC456" i="26"/>
  <c r="BD452" i="26"/>
  <c r="BC452" i="26"/>
  <c r="BD448" i="26"/>
  <c r="BC448" i="26"/>
  <c r="BD444" i="26"/>
  <c r="BC444" i="26"/>
  <c r="BD440" i="26"/>
  <c r="BC440" i="26"/>
  <c r="BD436" i="26"/>
  <c r="BC436" i="26"/>
  <c r="BD432" i="26"/>
  <c r="BC432" i="26"/>
  <c r="BD428" i="26"/>
  <c r="BC428" i="26"/>
  <c r="BD424" i="26"/>
  <c r="BC424" i="26"/>
  <c r="BD420" i="26"/>
  <c r="BC420" i="26"/>
</calcChain>
</file>

<file path=xl/sharedStrings.xml><?xml version="1.0" encoding="utf-8"?>
<sst xmlns="http://schemas.openxmlformats.org/spreadsheetml/2006/main" count="8582" uniqueCount="922">
  <si>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</si>
  <si>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</si>
  <si>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</si>
  <si>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</si>
  <si>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</si>
  <si>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</si>
  <si>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</si>
  <si>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</si>
  <si>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</si>
  <si>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</si>
  <si>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</si>
  <si>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</si>
  <si>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</si>
  <si>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</si>
  <si>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</si>
  <si>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</si>
  <si>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</si>
  <si>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</si>
  <si>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</si>
  <si>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</si>
  <si>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</si>
  <si>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</si>
  <si>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</si>
  <si>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</si>
  <si>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</si>
  <si>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</si>
  <si>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</si>
  <si>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</si>
  <si>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</si>
  <si>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</si>
  <si>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</si>
  <si>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</si>
  <si>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</si>
  <si>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</si>
  <si>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</si>
  <si>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</si>
  <si>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</si>
  <si>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</si>
  <si>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</si>
  <si>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</si>
  <si>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</si>
  <si>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</si>
  <si>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</si>
  <si>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</si>
  <si>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</si>
  <si>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</si>
  <si>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</si>
  <si>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</si>
  <si>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</si>
  <si>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</si>
  <si>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</si>
  <si>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</si>
  <si>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</si>
  <si>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</si>
  <si>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</si>
  <si>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</si>
  <si>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</si>
  <si>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</si>
  <si>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</si>
  <si>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</si>
  <si>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</si>
  <si>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</si>
  <si>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</si>
  <si>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</si>
  <si>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</si>
  <si>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</si>
  <si>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</si>
  <si>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</si>
  <si>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</si>
  <si>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</si>
  <si>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</si>
  <si>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</si>
  <si>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</si>
  <si>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</si>
  <si>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</si>
  <si>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</si>
  <si>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</si>
  <si>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</si>
  <si>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</si>
  <si>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</si>
  <si>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</si>
  <si>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</si>
  <si>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</si>
  <si>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</si>
  <si>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</si>
  <si>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</si>
  <si>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</si>
  <si>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</si>
  <si>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</si>
  <si>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</si>
  <si>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</si>
  <si>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</si>
  <si>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</si>
  <si>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</si>
  <si>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</si>
  <si>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</si>
  <si>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</si>
  <si>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</si>
  <si>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</si>
  <si>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</si>
  <si>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</si>
  <si>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</si>
  <si>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</si>
  <si>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</si>
  <si>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</si>
  <si>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</si>
  <si>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</si>
  <si>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</si>
  <si>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</si>
  <si>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</si>
  <si>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</si>
  <si>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</si>
  <si>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</si>
  <si>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</si>
  <si>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</si>
  <si>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</si>
  <si>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</si>
  <si>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</si>
  <si>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</si>
  <si>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</si>
  <si>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</si>
  <si>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</si>
  <si>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</si>
  <si>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</si>
  <si>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</si>
  <si>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</si>
  <si>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</si>
  <si>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</si>
  <si>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</si>
  <si>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</si>
  <si>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</si>
  <si>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</si>
  <si>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</si>
  <si>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</si>
  <si>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</si>
  <si>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</si>
  <si>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</si>
  <si>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</si>
  <si>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</si>
  <si>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</si>
  <si>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</si>
  <si>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</si>
  <si>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</si>
  <si>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</si>
  <si>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</si>
  <si>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</si>
  <si>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</si>
  <si>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</si>
  <si>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</si>
  <si>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</si>
  <si>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</si>
  <si>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</si>
  <si>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</si>
  <si>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</si>
  <si>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</si>
  <si>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</si>
  <si>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</si>
  <si>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</si>
  <si>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</si>
  <si>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</si>
  <si>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</si>
  <si>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</si>
  <si>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</si>
  <si>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</si>
  <si>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</si>
  <si>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</si>
  <si>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</si>
  <si>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</si>
  <si>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</si>
  <si>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</si>
  <si>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</si>
  <si>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</si>
  <si>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</si>
  <si>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</si>
  <si>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</si>
  <si>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</si>
  <si>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</si>
  <si>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</si>
  <si>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</si>
  <si>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</si>
  <si>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</si>
  <si>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</si>
  <si>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</si>
  <si>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</si>
  <si>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</si>
  <si>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</si>
  <si>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</si>
  <si>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</si>
  <si>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</si>
  <si>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</si>
  <si>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</si>
  <si>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</si>
  <si>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</si>
  <si>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</si>
  <si>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</si>
  <si>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</si>
  <si>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</si>
  <si>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</si>
  <si>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</si>
  <si>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</si>
  <si>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</si>
  <si>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</si>
  <si>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</si>
  <si>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</si>
  <si>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</si>
  <si>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</si>
  <si>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</si>
  <si>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</si>
  <si>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</si>
  <si>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</si>
  <si>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</si>
  <si>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</si>
  <si>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</si>
  <si>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</si>
  <si>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</si>
  <si>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</si>
  <si>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</si>
  <si>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</si>
  <si>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</si>
  <si>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</si>
  <si>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</si>
  <si>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</si>
  <si>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</si>
  <si>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</si>
  <si>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</si>
  <si>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</si>
  <si>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</si>
  <si>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</si>
  <si>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</si>
  <si>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</si>
  <si>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</si>
  <si>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</si>
  <si>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</si>
  <si>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</si>
  <si>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</si>
  <si>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</si>
  <si>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</si>
  <si>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</si>
  <si>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</si>
  <si>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</si>
  <si>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</si>
  <si>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</si>
  <si>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</si>
  <si>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</si>
  <si>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</si>
  <si>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</si>
  <si>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</si>
  <si>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</si>
  <si>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</si>
  <si>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</si>
  <si>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</si>
  <si>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</si>
  <si>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</si>
  <si>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</si>
  <si>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</si>
  <si>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</si>
  <si>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</si>
  <si>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</si>
  <si>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</si>
  <si>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</si>
  <si>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</si>
  <si>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</si>
  <si>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</si>
  <si>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</si>
  <si>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</si>
  <si>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</si>
  <si>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</si>
  <si>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</si>
  <si>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</si>
  <si>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</si>
  <si>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</si>
  <si>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</si>
  <si>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</si>
  <si>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</si>
  <si>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</si>
  <si>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</si>
  <si>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</si>
  <si>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</si>
  <si>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</si>
  <si>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</si>
  <si>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</si>
  <si>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</si>
  <si>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</si>
  <si>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</si>
  <si>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</si>
  <si>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</si>
  <si>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</si>
  <si>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</si>
  <si>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</si>
  <si>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</si>
  <si>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</si>
  <si>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</si>
  <si>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</si>
  <si>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</si>
  <si>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</si>
  <si>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</si>
  <si>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</si>
  <si>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</si>
  <si>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</si>
  <si>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</si>
  <si>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</si>
  <si>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</si>
  <si>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</si>
  <si>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</si>
  <si>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</si>
  <si>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</si>
  <si>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</si>
  <si>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</si>
  <si>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</si>
  <si>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</si>
  <si>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</si>
  <si>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</si>
  <si>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</si>
  <si>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</si>
  <si>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</si>
  <si>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</si>
  <si>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</si>
  <si>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</si>
  <si>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</si>
  <si>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</si>
  <si>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</si>
  <si>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</si>
  <si>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</si>
  <si>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</si>
  <si>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</si>
  <si>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</si>
  <si>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</si>
  <si>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</si>
  <si>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</si>
  <si>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</si>
  <si>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</si>
  <si>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</si>
  <si>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</si>
  <si>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</si>
  <si>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</si>
  <si>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</si>
  <si>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</si>
  <si>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</si>
  <si>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</si>
  <si>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</si>
  <si>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</si>
  <si>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</si>
  <si>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</si>
  <si>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</si>
  <si>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</si>
  <si>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</si>
  <si>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</si>
  <si>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</si>
  <si>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</si>
  <si>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</si>
  <si>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</si>
  <si>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</si>
  <si>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</si>
  <si>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</si>
  <si>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</si>
  <si>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</si>
  <si>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</si>
  <si>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</si>
  <si>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</si>
  <si>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</si>
  <si>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</si>
  <si>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</si>
  <si>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</si>
  <si>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</si>
  <si>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</si>
  <si>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</si>
  <si>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</si>
  <si>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</si>
  <si>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</si>
  <si>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</si>
  <si>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</si>
  <si>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</si>
  <si>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</si>
  <si>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</si>
  <si>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</si>
  <si>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</si>
  <si>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</si>
  <si>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</si>
  <si>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</si>
  <si>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</si>
  <si>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</si>
  <si>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</si>
  <si>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</si>
  <si>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</si>
  <si>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</si>
  <si>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</si>
  <si>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</si>
  <si>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</si>
  <si>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This is the country for the row. Most BU's will have a single country matching their Business Unit code</t>
  </si>
  <si>
    <t>Country</t>
  </si>
  <si>
    <t>DK</t>
  </si>
  <si>
    <t>EE</t>
  </si>
  <si>
    <t>FI</t>
  </si>
  <si>
    <t>IS</t>
  </si>
  <si>
    <t>LT</t>
  </si>
  <si>
    <t>LV</t>
  </si>
  <si>
    <t>NO</t>
  </si>
  <si>
    <t>SE</t>
  </si>
  <si>
    <t>STENA LINE</t>
  </si>
  <si>
    <t>STN2</t>
  </si>
  <si>
    <t>STENA LINE TRAVEL ST 20</t>
  </si>
  <si>
    <t>Ferry</t>
  </si>
  <si>
    <t>No</t>
  </si>
  <si>
    <t/>
  </si>
  <si>
    <t>SWHEEL</t>
  </si>
  <si>
    <t>HOO2</t>
  </si>
  <si>
    <t>SWHEEL DIRECT ESSENTIAL AMT 17</t>
  </si>
  <si>
    <t>Online Travel Agent</t>
  </si>
  <si>
    <t>SWHEEL DIRECT ESSENTIAL AMT 19</t>
  </si>
  <si>
    <t>SWHEELS DIRECT CLASSIC AMT 17</t>
  </si>
  <si>
    <t>SWHEELS DIRECT CLASSIC AMT 19</t>
  </si>
  <si>
    <t>SWHEELS DIRECT CLASSIC ST 19</t>
  </si>
  <si>
    <t>SWHEELS DIRECT ESSENTIAL ST 19</t>
  </si>
  <si>
    <t>SWHEELS DIRECT EXTRA AMT 17</t>
  </si>
  <si>
    <t>SWHEELS DIRECT EXTRA AMT 19</t>
  </si>
  <si>
    <t>Southall</t>
  </si>
  <si>
    <t>STH2</t>
  </si>
  <si>
    <t>Fly Sharp ST 19</t>
  </si>
  <si>
    <t>Travel Agents</t>
  </si>
  <si>
    <t>ST FLY ST 18</t>
  </si>
  <si>
    <t>Southall Direct ST 19</t>
  </si>
  <si>
    <t>Travel Trolley ST 19</t>
  </si>
  <si>
    <t>Virgin Holiday</t>
  </si>
  <si>
    <t>VHO1</t>
  </si>
  <si>
    <t>VIRGIN HOLS WL AMT 18</t>
  </si>
  <si>
    <t>Tour Operator</t>
  </si>
  <si>
    <t>VIRGIN HOLS WL AMT WS 18</t>
  </si>
  <si>
    <t>VIRGIN HOLS WL CRZ AMT 18</t>
  </si>
  <si>
    <t>VIRGIN HOLS WL CRZ ST 18</t>
  </si>
  <si>
    <t>VIRGIN HOLS WL GOLD CRZ ST 18</t>
  </si>
  <si>
    <t>VIRGIN HOLS WL GOLD ST 18</t>
  </si>
  <si>
    <t>VIRGIN HOLS WL GOLD ST WS 18</t>
  </si>
  <si>
    <t>VIRGIN HOLS WL ST 18</t>
  </si>
  <si>
    <t>VIRGIN HOLS WL ST WS 18</t>
  </si>
  <si>
    <t>B2C UK</t>
  </si>
  <si>
    <t>MAG1</t>
  </si>
  <si>
    <t>ALLIANZ B2C UK CDW AMT 18</t>
  </si>
  <si>
    <t>CDW</t>
  </si>
  <si>
    <t>ALLIANZ B2C UK CDW ST 18</t>
  </si>
  <si>
    <t>Holiday Extra</t>
  </si>
  <si>
    <t>CDW3</t>
  </si>
  <si>
    <t>CDW EUROPE EXCESS AMT 18</t>
  </si>
  <si>
    <t>Run off</t>
  </si>
  <si>
    <t>CDW WW EXCESS AMT 18</t>
  </si>
  <si>
    <t>STA</t>
  </si>
  <si>
    <t>STB7</t>
  </si>
  <si>
    <t>STA CDW 18</t>
  </si>
  <si>
    <t>TICKETMASTER UK</t>
  </si>
  <si>
    <t>TMS2</t>
  </si>
  <si>
    <t>TICKETMASTER UK INT ST 18</t>
  </si>
  <si>
    <t>Missed events</t>
  </si>
  <si>
    <t>AEGEAN</t>
  </si>
  <si>
    <t>AEE2</t>
  </si>
  <si>
    <t>AEGEAN AIRLINES INT ST 18</t>
  </si>
  <si>
    <t>Airline</t>
  </si>
  <si>
    <t>AER LINGUS UK</t>
  </si>
  <si>
    <t>AER2</t>
  </si>
  <si>
    <t>AER LINGUS UK INT ST 17</t>
  </si>
  <si>
    <t>AER LINGUS UK INT ST 19</t>
  </si>
  <si>
    <t>AFERRY</t>
  </si>
  <si>
    <t>AFE2</t>
  </si>
  <si>
    <t>AFERRY.COM INT ST 19</t>
  </si>
  <si>
    <t>AFERRY.COM</t>
  </si>
  <si>
    <t>AFERRY.COM INT ST 18</t>
  </si>
  <si>
    <t>Online</t>
  </si>
  <si>
    <t>AIR FRANCE UK</t>
  </si>
  <si>
    <t>AIF2</t>
  </si>
  <si>
    <t>AIR FRANCE UK INT ST 19</t>
  </si>
  <si>
    <t>AIR TRANSAT UK</t>
  </si>
  <si>
    <t>AIT1</t>
  </si>
  <si>
    <t>AIR TRANSAT UK INT CANC 18</t>
  </si>
  <si>
    <t>AIR TRANSAT UK INT CANC 19</t>
  </si>
  <si>
    <t>AIR TRANSAT UK INT ST 18</t>
  </si>
  <si>
    <t>AIR TRANSAT UK INT ST 19</t>
  </si>
  <si>
    <t>Other Insurers</t>
  </si>
  <si>
    <t>ALLIANZ EB</t>
  </si>
  <si>
    <t>AAT2</t>
  </si>
  <si>
    <t>ALLIANZ EB AMT 18</t>
  </si>
  <si>
    <t>Staff</t>
  </si>
  <si>
    <t>ALLIANZ EB AMT WS 18</t>
  </si>
  <si>
    <t>AVIOS</t>
  </si>
  <si>
    <t>AVS2</t>
  </si>
  <si>
    <t>AVIOS STAFF FAMILY AMT 19</t>
  </si>
  <si>
    <t>B2C NI</t>
  </si>
  <si>
    <t>ALLIANZ B2C NI BP 18</t>
  </si>
  <si>
    <t>ALLIANZ B2C NI BRNZ AMT 18</t>
  </si>
  <si>
    <t>ALLIANZ B2C NI BRNZ ST 18</t>
  </si>
  <si>
    <t>ALLIANZ B2C NI GOLD AMT 18</t>
  </si>
  <si>
    <t>ALLIANZ B2C NI GOLD AMT WS 18</t>
  </si>
  <si>
    <t>ALLIANZ B2C NI GOLD ST 18</t>
  </si>
  <si>
    <t>ALLIANZ B2C NI GOLD ST WS 18</t>
  </si>
  <si>
    <t>ALLIANZ B2C NI SLVR AMT 18</t>
  </si>
  <si>
    <t>ALLIANZ B2C NI SLVR AMT WS 18</t>
  </si>
  <si>
    <t>ALLIANZ B2C NI SLVR ST 18</t>
  </si>
  <si>
    <t>ALLIANZ B2C UK BP 17</t>
  </si>
  <si>
    <t>Backpacker</t>
  </si>
  <si>
    <t>ALLIANZ B2C UK BP 19</t>
  </si>
  <si>
    <t>ALLIANZ B2C UK BP WS 17</t>
  </si>
  <si>
    <t>ALLIANZ B2C UK BP WS 19</t>
  </si>
  <si>
    <t>ALLIANZ B2C UK BRNZ AMT 17</t>
  </si>
  <si>
    <t>ALLIANZ B2C UK BRNZ AMT 19</t>
  </si>
  <si>
    <t>ALLIANZ B2C UK BRNZ AMT WS 17</t>
  </si>
  <si>
    <t>ALLIANZ B2C UK BRNZ ST 19</t>
  </si>
  <si>
    <t>ALLIANZ B2C UK GOLD AMT 17</t>
  </si>
  <si>
    <t>ALLIANZ B2C UK GOLD AMT 19</t>
  </si>
  <si>
    <t>ALLIANZ B2C UK GOLD AMT WS 17</t>
  </si>
  <si>
    <t>ALLIANZ B2C UK GOLD AMT WS 19</t>
  </si>
  <si>
    <t>ALLIANZ B2C UK GOLD ST 17</t>
  </si>
  <si>
    <t>ALLIANZ B2C UK GOLD ST 19</t>
  </si>
  <si>
    <t>ALLIANZ B2C UK GOLD ST WS 19</t>
  </si>
  <si>
    <t>ALLIANZ B2C UK SLVR AMT 17</t>
  </si>
  <si>
    <t>ALLIANZ B2C UK SLVR AMT 19</t>
  </si>
  <si>
    <t>ALLIANZ B2C UK SLVR AMT WS 17</t>
  </si>
  <si>
    <t>ALLIANZ B2C UK SLVR AMT WS 19</t>
  </si>
  <si>
    <t>ALLIANZ B2C UK SLVR ST 17</t>
  </si>
  <si>
    <t>ALLIANZ B2C UK SLVR ST 19</t>
  </si>
  <si>
    <t>ALLIANZ B2C UK SLVR ST WS 19</t>
  </si>
  <si>
    <t>BRITISH AIRWAYS IRL</t>
  </si>
  <si>
    <t>BAWSC1</t>
  </si>
  <si>
    <t>BA IE STAFF CANCELLATION ST 18</t>
  </si>
  <si>
    <t>BRITISH AIRWAYS UK</t>
  </si>
  <si>
    <t>BAWC1</t>
  </si>
  <si>
    <t>BA DELUXE AMT18</t>
  </si>
  <si>
    <t>BA DELUXE ST 18</t>
  </si>
  <si>
    <t>BA DELUXE STAFF AMT 19</t>
  </si>
  <si>
    <t>BA DELUXE STAFF AMT WS 19</t>
  </si>
  <si>
    <t>BA DELUXE STAFF ST 19</t>
  </si>
  <si>
    <t>BA ESSENTIAL AMT 18</t>
  </si>
  <si>
    <t>BA ESSENTIAL ST 18</t>
  </si>
  <si>
    <t>BA ESSENTIAL STAFF AMT 19</t>
  </si>
  <si>
    <t>BA ESSENTIAL STAFF ST 19</t>
  </si>
  <si>
    <t>BA UK STAFF CANCELLATION ST 18</t>
  </si>
  <si>
    <t>EBOOKERS UK</t>
  </si>
  <si>
    <t>EBO2</t>
  </si>
  <si>
    <t>EBOOKERS CANX ONLY 18</t>
  </si>
  <si>
    <t>EBOOKERS ST 18</t>
  </si>
  <si>
    <t>EGENCIA</t>
  </si>
  <si>
    <t>EGE2</t>
  </si>
  <si>
    <t>EGENCIA INTNL ST 19</t>
  </si>
  <si>
    <t>EXPEDIA</t>
  </si>
  <si>
    <t>EXPED2</t>
  </si>
  <si>
    <t>EXPEDIA UK INT ST 18</t>
  </si>
  <si>
    <t>EXPEDIA UK INT ST CANX 18</t>
  </si>
  <si>
    <t>Esure</t>
  </si>
  <si>
    <t>ESURE DIRECT CLASSIC AMT 17</t>
  </si>
  <si>
    <t>ESURE DIRECT CLASSIC AMT 19</t>
  </si>
  <si>
    <t>ESURE DIRECT CLASSIC ST 17</t>
  </si>
  <si>
    <t>ESURE DIRECT CLASSIC ST 19</t>
  </si>
  <si>
    <t>ESURE DIRECT ESSENTIAL AMT 17</t>
  </si>
  <si>
    <t>ESURE DIRECT ESSENTIAL AMT 19</t>
  </si>
  <si>
    <t>ESURE DIRECT ESSENTIAL ST 17</t>
  </si>
  <si>
    <t>ESURE DIRECT ESSENTIAL ST 19</t>
  </si>
  <si>
    <t>ESURE DIRECT EXTRA AMT 17</t>
  </si>
  <si>
    <t>ESURE DIRECT EXTRA AMT 19</t>
  </si>
  <si>
    <t>ESURE DIRECT EXTRA ST 19</t>
  </si>
  <si>
    <t>ESURE IDOL PREMIUM + AMT 18</t>
  </si>
  <si>
    <t>Aggregate</t>
  </si>
  <si>
    <t>ESURE IDOL PREMIUM + ST 18</t>
  </si>
  <si>
    <t>ESURE IDOL PREMIUM AMT 18</t>
  </si>
  <si>
    <t>ESURE IDOL PREMIUM ST 18</t>
  </si>
  <si>
    <t>ESURE IDOL SAVER + AMT 18</t>
  </si>
  <si>
    <t>ESURE IDOL SAVER + ST 18</t>
  </si>
  <si>
    <t>ESURE IDOL SAVER ST 18</t>
  </si>
  <si>
    <t>ESURE IDOL STANDARD + AMT 18</t>
  </si>
  <si>
    <t>ESURE IDOL STANDARD + ST 18</t>
  </si>
  <si>
    <t>ESURE IDOL STANDARD AMT 18</t>
  </si>
  <si>
    <t>ESURE IDOL STANDARD ST 18</t>
  </si>
  <si>
    <t>ESURE TI HOME ADD ON AMT 17</t>
  </si>
  <si>
    <t>Home Ins Add On</t>
  </si>
  <si>
    <t>ESURE TI HOME ADD ON AMT 19</t>
  </si>
  <si>
    <t>Eurostar</t>
  </si>
  <si>
    <t>ESP3</t>
  </si>
  <si>
    <t>EUROSTAR PKG INT ST CANXBAG 19</t>
  </si>
  <si>
    <t>Train</t>
  </si>
  <si>
    <t>EUROSTAR PKGS INT ST 19</t>
  </si>
  <si>
    <t>EST2</t>
  </si>
  <si>
    <t>EUROSTAR STAFF WL AMT WS 19</t>
  </si>
  <si>
    <t>EUROSTAR STAFF WL AMT WS ER 19</t>
  </si>
  <si>
    <t>EUROSTAR WL ST 18</t>
  </si>
  <si>
    <t>EUROSTAR WL ST CANX BAGG 18</t>
  </si>
  <si>
    <t>EST3</t>
  </si>
  <si>
    <t>EUROSTAR INT ST 18</t>
  </si>
  <si>
    <t>EUROSTAR INT ST CANX BAGG 18</t>
  </si>
  <si>
    <t>EUROSTAR INT ST OW 18</t>
  </si>
  <si>
    <t>EUROSTAR INT ST WS 18</t>
  </si>
  <si>
    <t>Health Insurance</t>
  </si>
  <si>
    <t>ILH4</t>
  </si>
  <si>
    <t>IRISH LIFE HEALTH ST WS 20 NL2</t>
  </si>
  <si>
    <t>ALT3</t>
  </si>
  <si>
    <t>HE ALTHAMS TVL BRNZ ST 18</t>
  </si>
  <si>
    <t>HE ALTHAMS TVL GOLD ST 18</t>
  </si>
  <si>
    <t>HE ALTHAMS TVL PLAT 23D AMT 18</t>
  </si>
  <si>
    <t>HE ALTHAMS TVL PLAT 31D AMT 18</t>
  </si>
  <si>
    <t>HE ALTHAMS TVL PLAT 60D AMT 18</t>
  </si>
  <si>
    <t>HE ALTHAMS TVL SLVR ST 18</t>
  </si>
  <si>
    <t>CAC3</t>
  </si>
  <si>
    <t>CARNIVAL CRUISE GOLD AMT 18</t>
  </si>
  <si>
    <t>Cruise</t>
  </si>
  <si>
    <t>CARNIVAL CRUISE GOLD ST 18</t>
  </si>
  <si>
    <t>CARNIVAL CRUISE SLVR AMT 18</t>
  </si>
  <si>
    <t>CARNIVAL CRUISE SLVR ST 18</t>
  </si>
  <si>
    <t>COH3</t>
  </si>
  <si>
    <t>COACH ST 18</t>
  </si>
  <si>
    <t>Coach</t>
  </si>
  <si>
    <t>CRU3</t>
  </si>
  <si>
    <t>CRUISE GOLD 10D AMT 18</t>
  </si>
  <si>
    <t>CRUISE GOLD 30D AMT 18</t>
  </si>
  <si>
    <t>CRUISE GOLD ST 18</t>
  </si>
  <si>
    <t>CRUISE SLVR 10D AMT 18</t>
  </si>
  <si>
    <t>CRUISE SLVR 30D AMT 18</t>
  </si>
  <si>
    <t>CRUISE SLVR 45D AMT 18</t>
  </si>
  <si>
    <t>CRUISE SLVR ST 18</t>
  </si>
  <si>
    <t>DAS3</t>
  </si>
  <si>
    <t>HE - DAWSON &amp; S SILVER ST 18</t>
  </si>
  <si>
    <t>HEX3</t>
  </si>
  <si>
    <t>HOLIDAY EXTRAS BRNZ ST 18</t>
  </si>
  <si>
    <t>HOLIDAY EXTRAS GOLD ST 18</t>
  </si>
  <si>
    <t>HOLIDAY EXTRAS PLAT 23D AMT 18</t>
  </si>
  <si>
    <t>HOLIDAY EXTRAS PLAT 31D AMT 18</t>
  </si>
  <si>
    <t>HOLIDAY EXTRAS PLAT 60D AMT 18</t>
  </si>
  <si>
    <t>HOLIDAY EXTRAS SLVR ST 18</t>
  </si>
  <si>
    <t>HXD3</t>
  </si>
  <si>
    <t>DIRECT BASIC ST 18</t>
  </si>
  <si>
    <t>DIRECT PREMIUM 23D AMT 18</t>
  </si>
  <si>
    <t>DIRECT STANDARD ST 18</t>
  </si>
  <si>
    <t>JVI3</t>
  </si>
  <si>
    <t>JAMES VILLAS ELITE ST 18</t>
  </si>
  <si>
    <t>LAT3</t>
  </si>
  <si>
    <t>LATITUDE PREM AMT 17</t>
  </si>
  <si>
    <t>LATITUDE PREM AMT 18</t>
  </si>
  <si>
    <t>LATITUDE PREM ST 17</t>
  </si>
  <si>
    <t>LATITUDE PREM ST 18</t>
  </si>
  <si>
    <t>LATITUDE STD AMT 18</t>
  </si>
  <si>
    <t>LATITUDE STD ST 18</t>
  </si>
  <si>
    <t>HAL1</t>
  </si>
  <si>
    <t>HOME AND LEGACY AMT 19</t>
  </si>
  <si>
    <t>HOME AND LEGACY AMT WS 19</t>
  </si>
  <si>
    <t>KLM UK</t>
  </si>
  <si>
    <t>KLM1</t>
  </si>
  <si>
    <t>KLM WL CANX PP 18</t>
  </si>
  <si>
    <t>KLM WL ST 18</t>
  </si>
  <si>
    <t>KLM2</t>
  </si>
  <si>
    <t>KLM INT ST 18</t>
  </si>
  <si>
    <t>L&amp;G</t>
  </si>
  <si>
    <t>L&amp;G DIRECT BRONZE AMT 18</t>
  </si>
  <si>
    <t>L&amp;G DIRECT BRONZE AMT 19</t>
  </si>
  <si>
    <t>L&amp;G DIRECT BRONZE ST 19</t>
  </si>
  <si>
    <t>L&amp;G DIRECT GOLD AMT 18</t>
  </si>
  <si>
    <t>L&amp;G DIRECT GOLD AMT 19</t>
  </si>
  <si>
    <t>L&amp;G DIRECT GOLD ST 18</t>
  </si>
  <si>
    <t>L&amp;G DIRECT GOLD ST 19</t>
  </si>
  <si>
    <t>L&amp;G DIRECT SILVER AMT 18</t>
  </si>
  <si>
    <t>L&amp;G DIRECT SILVER AMT 19</t>
  </si>
  <si>
    <t>L&amp;G DIRECT SILVER ST 19</t>
  </si>
  <si>
    <t>L&amp;G IDOL BASIC + AMT 18</t>
  </si>
  <si>
    <t>L&amp;G IDOL BASIC + AMT 19</t>
  </si>
  <si>
    <t>L&amp;G IDOL BASIC + ST 18</t>
  </si>
  <si>
    <t>L&amp;G IDOL BASIC + ST 19</t>
  </si>
  <si>
    <t>L&amp;G IDOL BASIC AMT 18</t>
  </si>
  <si>
    <t>L&amp;G IDOL BASIC AMT 19</t>
  </si>
  <si>
    <t>L&amp;G IDOL BASIC ST 19</t>
  </si>
  <si>
    <t>L&amp;G IDOL CLASSIC + AMT 18</t>
  </si>
  <si>
    <t>L&amp;G IDOL CLASSIC + AMT 19</t>
  </si>
  <si>
    <t>L&amp;G IDOL CLASSIC + ST 18</t>
  </si>
  <si>
    <t>L&amp;G IDOL CLASSIC + ST 19</t>
  </si>
  <si>
    <t>L&amp;G IDOL CLASSIC AMT 18</t>
  </si>
  <si>
    <t>L&amp;G IDOL CLASSIC AMT 19</t>
  </si>
  <si>
    <t>L&amp;G IDOL CLASSIC ST 18</t>
  </si>
  <si>
    <t>L&amp;G IDOL CLASSIC ST 19</t>
  </si>
  <si>
    <t>L&amp;G IDOL PRESTIGE AMT 18</t>
  </si>
  <si>
    <t>L&amp;G IDOL PRESTIGE AMT 19</t>
  </si>
  <si>
    <t>L&amp;G IDOL PRESTIGE ST 18</t>
  </si>
  <si>
    <t>L&amp;G IDOL PRESTIGE ST 19</t>
  </si>
  <si>
    <t>L&amp;G MSM ECONOMY + AMT 18</t>
  </si>
  <si>
    <t>L&amp;G MSM ECONOMY + AMT 19</t>
  </si>
  <si>
    <t>L&amp;G MSM ECONOMY + ST 19</t>
  </si>
  <si>
    <t>L&amp;G MSM ECONOMY AMT 18</t>
  </si>
  <si>
    <t>L&amp;G MSM ECONOMY AMT 19</t>
  </si>
  <si>
    <t>L&amp;G MSM ECONOMY ST 18</t>
  </si>
  <si>
    <t>L&amp;G MSM ECONOMY ST 19</t>
  </si>
  <si>
    <t>L&amp;G MSM PREMIER + AMT 18</t>
  </si>
  <si>
    <t>L&amp;G MSM PREMIER + AMT 19</t>
  </si>
  <si>
    <t>L&amp;G MSM PREMIER + ST 18</t>
  </si>
  <si>
    <t>L&amp;G MSM PREMIER + ST 19</t>
  </si>
  <si>
    <t>L&amp;G MSM PREMIER AMT 18</t>
  </si>
  <si>
    <t>L&amp;G MSM PREMIER AMT 19</t>
  </si>
  <si>
    <t>L&amp;G MSM PREMIER ST 18</t>
  </si>
  <si>
    <t>L&amp;G MSM PREMIER ST 19</t>
  </si>
  <si>
    <t>L&amp;G MSM STANDARD + AMT 18</t>
  </si>
  <si>
    <t>L&amp;G MSM STANDARD + AMT 19</t>
  </si>
  <si>
    <t>L&amp;G MSM STANDARD + ST 18</t>
  </si>
  <si>
    <t>L&amp;G MSM STANDARD + ST 19</t>
  </si>
  <si>
    <t>L&amp;G MSM STANDARD AMT 18</t>
  </si>
  <si>
    <t>L&amp;G MSM STANDARD AMT 19</t>
  </si>
  <si>
    <t>L&amp;G MSM STANDARD ST 18</t>
  </si>
  <si>
    <t>L&amp;G MSM STANDARD ST 19</t>
  </si>
  <si>
    <t>More Than</t>
  </si>
  <si>
    <t>MORE THAN AGG CLASSIC + AMT 18</t>
  </si>
  <si>
    <t>MORE THAN AGG CLASSIC + AMT 19</t>
  </si>
  <si>
    <t>MORE THAN AGG CLASSIC + ST 18</t>
  </si>
  <si>
    <t>MORE THAN AGG CLASSIC + ST 19</t>
  </si>
  <si>
    <t>MORE THAN AGG CLASSIC AMT 18</t>
  </si>
  <si>
    <t>MORE THAN AGG CLASSIC AMT 19</t>
  </si>
  <si>
    <t>MORE THAN AGG CLASSIC ST 19</t>
  </si>
  <si>
    <t>MORE THAN AGG PREMIER AMT 18</t>
  </si>
  <si>
    <t>MORE THAN AGG PREMIER AMT 19</t>
  </si>
  <si>
    <t>MORE THAN AGG PREMIER ST 18</t>
  </si>
  <si>
    <t>MORE THAN AGG PREMIER ST 19</t>
  </si>
  <si>
    <t>MORE THAN DIR DIAMOND AMT 18</t>
  </si>
  <si>
    <t>MORE THAN DIR DIAMOND AMT 19</t>
  </si>
  <si>
    <t>MORE THAN DIR DIAMOND ST 18</t>
  </si>
  <si>
    <t>MORE THAN DIR DIAMOND ST 19</t>
  </si>
  <si>
    <t>MORE THAN DIR GOLD AMT 17</t>
  </si>
  <si>
    <t>MORE THAN DIR GOLD AMT 18</t>
  </si>
  <si>
    <t>MORE THAN DIR GOLD AMT 19</t>
  </si>
  <si>
    <t>MORE THAN DIR GOLD ST 18</t>
  </si>
  <si>
    <t>MORE THAN DIR GOLD ST 19</t>
  </si>
  <si>
    <t>MORE THAN DIR SILVER AMT 18</t>
  </si>
  <si>
    <t>MORE THAN DIR SILVER AMT 19</t>
  </si>
  <si>
    <t>MORE THAN DIR SILVER ST 18</t>
  </si>
  <si>
    <t>MORE THAN DIR SILVER ST 19</t>
  </si>
  <si>
    <t>MORE THAN MSM ECONOMY + AMT 18</t>
  </si>
  <si>
    <t>MORE THAN MSM ECONOMY + AMT 19</t>
  </si>
  <si>
    <t>MORE THAN MSM ECONOMY + ST 19</t>
  </si>
  <si>
    <t>MORE THAN MSM ECONOMY AMT 18</t>
  </si>
  <si>
    <t>MORE THAN MSM ECONOMY AMT 19</t>
  </si>
  <si>
    <t>MORE THAN MSM ECONOMY ST 18</t>
  </si>
  <si>
    <t>MORE THAN MSM ECONOMY ST 19</t>
  </si>
  <si>
    <t>MORE THAN MSM STND + AMT 18</t>
  </si>
  <si>
    <t>MORE THAN MSM STND + AMT 19</t>
  </si>
  <si>
    <t>MORE THAN MSM STND + ST 18</t>
  </si>
  <si>
    <t>MORE THAN MSM STND + ST 19</t>
  </si>
  <si>
    <t>MORE THAN MSM STND AMT 18</t>
  </si>
  <si>
    <t>MORE THAN MSM STND AMT 19</t>
  </si>
  <si>
    <t>MORE THAN MSM STND ST 19</t>
  </si>
  <si>
    <t>MORE THAN MSM SUPER + AMT 18</t>
  </si>
  <si>
    <t>MORE THAN MSM SUPER + AMT 19</t>
  </si>
  <si>
    <t>MORE THAN MSM SUPER + ST 19</t>
  </si>
  <si>
    <t>MORE THAN MSM SUPER AMT 18</t>
  </si>
  <si>
    <t>MORE THAN MSM SUPER AMT 19</t>
  </si>
  <si>
    <t>MORE THAN MSM SUPER ST 19</t>
  </si>
  <si>
    <t>NATIONAL EXPRESS</t>
  </si>
  <si>
    <t>NEX3</t>
  </si>
  <si>
    <t>NATIONAL EXPRESS ST 18</t>
  </si>
  <si>
    <t>NATIONAL EXPRESS ST 19</t>
  </si>
  <si>
    <t>P&amp;O</t>
  </si>
  <si>
    <t>P&amp;O FERRIES DIR BRONZE AMT 17</t>
  </si>
  <si>
    <t>Direct</t>
  </si>
  <si>
    <t>P&amp;O FERRIES DIR BRONZE AMT 19</t>
  </si>
  <si>
    <t>P&amp;O FERRIES DIR BRONZE ST 19</t>
  </si>
  <si>
    <t>P&amp;O FERRIES DIR GOLD AMT 17</t>
  </si>
  <si>
    <t>P&amp;O FERRIES DIR GOLD AMT 19</t>
  </si>
  <si>
    <t>P&amp;O FERRIES DIR GOLD ST 19</t>
  </si>
  <si>
    <t>P&amp;O FERRIES DIR SILVER AMT 17</t>
  </si>
  <si>
    <t>P&amp;O FERRIES DIR SILVER AMT 19</t>
  </si>
  <si>
    <t>P&amp;O IDOL CLASSIC + AMT 18</t>
  </si>
  <si>
    <t>P&amp;O IDOL CLASSIC + ST 18</t>
  </si>
  <si>
    <t>P&amp;O IDOL CLASSIC AMT 18</t>
  </si>
  <si>
    <t>P&amp;O IDOL CLASSIC ST 18</t>
  </si>
  <si>
    <t>P&amp;O IDOL PREMIUM + AMT 18</t>
  </si>
  <si>
    <t>P&amp;O IDOL PREMIUM + ST 18</t>
  </si>
  <si>
    <t>P&amp;O IDOL PREMIUM AMT 18</t>
  </si>
  <si>
    <t>P&amp;O IDOL PREMIUM ST 18</t>
  </si>
  <si>
    <t>P&amp;O IDOL PRESTIGE + ST 18</t>
  </si>
  <si>
    <t>P&amp;O IDOL PRESTIGE AMT 18</t>
  </si>
  <si>
    <t>P&amp;O IDOL PRESTIGE ST 18</t>
  </si>
  <si>
    <t>Banks</t>
  </si>
  <si>
    <t>RBS ADAM</t>
  </si>
  <si>
    <t>ADM8</t>
  </si>
  <si>
    <t>ADAM_AH_CANX UPGRADE ST 19</t>
  </si>
  <si>
    <t>Bank</t>
  </si>
  <si>
    <t>ADAM_AH_MEDSC AMT 18</t>
  </si>
  <si>
    <t>ADAM_AH_MEDSC AMT 19</t>
  </si>
  <si>
    <t>ADAM_AH_MIN SPND WAIVER ST 18</t>
  </si>
  <si>
    <t>ADAM_AH_MIN SPND WAIVER ST 19</t>
  </si>
  <si>
    <t>ADAM_AH_TRIP EXT ST (51-70) 19</t>
  </si>
  <si>
    <t>RBS COUTTS</t>
  </si>
  <si>
    <t>CTP8</t>
  </si>
  <si>
    <t>CTPA_AH_CANX UPGRADE ST 18</t>
  </si>
  <si>
    <t>CTPA_AH_CANX UPGRADE ST 19</t>
  </si>
  <si>
    <t>CTPA_AH_HAZACT AMT 18</t>
  </si>
  <si>
    <t>CTPA_AH_HAZACT AMT 19</t>
  </si>
  <si>
    <t>CTPA_AH_HAZACT MEDSC AMT 19</t>
  </si>
  <si>
    <t>CTPA_AH_MEDSC AMT 18</t>
  </si>
  <si>
    <t>CTPA_AH_MEDSC AMT 19</t>
  </si>
  <si>
    <t>CTPA_AH_MEDSC ST 18</t>
  </si>
  <si>
    <t>CTPA_AH_MEDSC ST 19</t>
  </si>
  <si>
    <t>CTPA_AH_TRIP EXT ST (18-50) 19</t>
  </si>
  <si>
    <t>CTPA_AH_TRIP EXT ST (51-70) 18</t>
  </si>
  <si>
    <t>CTPA_AH_TRIP EXT ST (51-70) 19</t>
  </si>
  <si>
    <t>CTPA_AH_TRIP EXT ST (71+) 18</t>
  </si>
  <si>
    <t>CTPA_AH_TRIP EXT ST (71+) 19</t>
  </si>
  <si>
    <t>CTPA_AH_WS AMT 18</t>
  </si>
  <si>
    <t>CTPA_AH_WS AMT 19</t>
  </si>
  <si>
    <t>CTPA_GUEST_ST (0-17) 19</t>
  </si>
  <si>
    <t>CTPA_GUEST_ST (18-50) 19</t>
  </si>
  <si>
    <t>CTPA_GUEST_ST (51-70) 19</t>
  </si>
  <si>
    <t>CTPA_GUEST_ST (71+) 19</t>
  </si>
  <si>
    <t>CTPA_GUEST_WS ST (18-50) 19</t>
  </si>
  <si>
    <t>RBS ISLE OF MAN BANK</t>
  </si>
  <si>
    <t>IOM7</t>
  </si>
  <si>
    <t>IOMB_AH_BASE POLICY 18</t>
  </si>
  <si>
    <t>IOMB_AH_BASE POLICY 19</t>
  </si>
  <si>
    <t>IOM8</t>
  </si>
  <si>
    <t>IOMB_AH_MEDSC AMT 18</t>
  </si>
  <si>
    <t>IOMB_AH_MEDSC AMT 19</t>
  </si>
  <si>
    <t>IOMB_AH_MEDSC ST 19</t>
  </si>
  <si>
    <t>IOMB_AH_WS AMT 19</t>
  </si>
  <si>
    <t>IOMB_GUEST_ST (18-50) 19</t>
  </si>
  <si>
    <t>RBS NATWEST</t>
  </si>
  <si>
    <t>NWG7</t>
  </si>
  <si>
    <t>NWGO_AH_BASE POLICY 18</t>
  </si>
  <si>
    <t>NWGO_AH_BASE POLICY 19</t>
  </si>
  <si>
    <t>NWG8</t>
  </si>
  <si>
    <t>NWGO_AH_CANX UPGRADE ST 18</t>
  </si>
  <si>
    <t>NWGO_AH_MEDSC AMT 18</t>
  </si>
  <si>
    <t>NWGO_AH_MEDSC AMT 19</t>
  </si>
  <si>
    <t>NWGO_AH_MEDSC ST 18</t>
  </si>
  <si>
    <t>NWGO_AH_MEDSC ST 19</t>
  </si>
  <si>
    <t>NWGO_AH_WS AMT 19</t>
  </si>
  <si>
    <t>NWGO_GUEST_ST (0-17) 19</t>
  </si>
  <si>
    <t>NWGO_GUEST_ST (18-50) 19</t>
  </si>
  <si>
    <t>NWGO_GUEST_ST (51-70) 19</t>
  </si>
  <si>
    <t>NWGO_GUEST_ST (71+) 19</t>
  </si>
  <si>
    <t>NWGO_GUEST_WS ST (18-50) 19</t>
  </si>
  <si>
    <t>STB1</t>
  </si>
  <si>
    <t>STA BUDG BLUE INT ST 2018</t>
  </si>
  <si>
    <t>STA BUDG BLUE WL ST 2017</t>
  </si>
  <si>
    <t>STA BUDG BLUE WL ST 2018</t>
  </si>
  <si>
    <t>STA PREM BLUE INT ST 2018</t>
  </si>
  <si>
    <t>STA PREM BLUE WL ST 2017</t>
  </si>
  <si>
    <t>STA PREM BLUE WL ST 2018</t>
  </si>
  <si>
    <t>STA PREM+ BLUE INT ST 2018</t>
  </si>
  <si>
    <t>STA PREM+ BLUE WL ST 2018</t>
  </si>
  <si>
    <t>STA RET BUDG BLUE ST 2017</t>
  </si>
  <si>
    <t>STA RET BUDG BLUE ST 2018</t>
  </si>
  <si>
    <t>STA RET PREM BLUE ST 2017</t>
  </si>
  <si>
    <t>STA RET PREM BLUE ST 2018</t>
  </si>
  <si>
    <t>STA RET PREM+ BLUE ST 2017</t>
  </si>
  <si>
    <t>STA RET PREM+ BLUE ST 2018</t>
  </si>
  <si>
    <t>STA RET STD BLUE ST 2017</t>
  </si>
  <si>
    <t>STA RET STD BLUE ST 2018</t>
  </si>
  <si>
    <t>STA STD BLUE INT ST 2018</t>
  </si>
  <si>
    <t>STA STD BLUE WL ST 2017</t>
  </si>
  <si>
    <t>STA STD BLUE WL ST 2018</t>
  </si>
  <si>
    <t>STB2</t>
  </si>
  <si>
    <t>BTW RET COU BLUE AMT 2017</t>
  </si>
  <si>
    <t>STA BLUE WL AMT 2018</t>
  </si>
  <si>
    <t>STA PREM+ IND BL WL AMT 2018</t>
  </si>
  <si>
    <t>STA RET ADD CHI BLUE AMT 2017</t>
  </si>
  <si>
    <t>STA RET ADD CHI BLUE AMT 2018</t>
  </si>
  <si>
    <t>STA RET COU BLUE AMT 2017</t>
  </si>
  <si>
    <t>STA RET COU BLUE AMT 2018</t>
  </si>
  <si>
    <t>STA RET IND BLUE AMT 2017</t>
  </si>
  <si>
    <t>STA RET IND BLUE AMT 2018</t>
  </si>
  <si>
    <t>STA RET PREM+ COU BL AMT 2017</t>
  </si>
  <si>
    <t>STA RET PREM+ COU BL AMT 2018</t>
  </si>
  <si>
    <t>STA RET PREM+ FAM BL AMT 2018</t>
  </si>
  <si>
    <t>STA RET PREM+ IND BL AMT 2017</t>
  </si>
  <si>
    <t>STA RET PREM+ IND BL AMT 2018</t>
  </si>
  <si>
    <t>STB3</t>
  </si>
  <si>
    <t>STA RET FLIGHT BLUE OW 2018</t>
  </si>
  <si>
    <t>STA RET FLIGHT BLUE RTN 2017</t>
  </si>
  <si>
    <t>STA RET FLIGHT BLUE RTN 2018</t>
  </si>
  <si>
    <t>STB4</t>
  </si>
  <si>
    <t>STA RET PREM BLUE WS 2018</t>
  </si>
  <si>
    <t>STA RET PREM+ BLUE WS 2018</t>
  </si>
  <si>
    <t>STA RET STD BLUE WS 2018</t>
  </si>
  <si>
    <t>STB5</t>
  </si>
  <si>
    <t>STA RET PREM BLUE SPORT 2017</t>
  </si>
  <si>
    <t>STA RET PREM BLUE SPORT 2018</t>
  </si>
  <si>
    <t>STA RET PREM+ BLUE SPORT 2018</t>
  </si>
  <si>
    <t>STA RET STD BLUE SPORT 2018</t>
  </si>
  <si>
    <t>STB6</t>
  </si>
  <si>
    <t>STA RET PREM BLUE STUDY 2018</t>
  </si>
  <si>
    <t>STA RET STD BLUE STUDY 2018</t>
  </si>
  <si>
    <t>STG1</t>
  </si>
  <si>
    <t>STA BUDG GOLD WL ST 2018</t>
  </si>
  <si>
    <t>STA PREM GOLD WL ST 2018</t>
  </si>
  <si>
    <t>STA PREM+ GOLD WL ST 2018</t>
  </si>
  <si>
    <t>STA RET BUDG GOLD ST 2017</t>
  </si>
  <si>
    <t>STA RET BUDG GOLD ST 2018</t>
  </si>
  <si>
    <t>STA RET PREM GOLD ST 2017</t>
  </si>
  <si>
    <t>STA RET PREM GOLD ST 2018</t>
  </si>
  <si>
    <t>STA RET PREM+ GOLD ST 2018</t>
  </si>
  <si>
    <t>STA RET STD GOLD ST 2017</t>
  </si>
  <si>
    <t>STA RET STD GOLD ST 2018</t>
  </si>
  <si>
    <t>STA STD GOLD WL ST 2018</t>
  </si>
  <si>
    <t>STG2</t>
  </si>
  <si>
    <t>STA GOLD WL AMT 2018</t>
  </si>
  <si>
    <t>STA PREM+ IND GD WL AMT 2018</t>
  </si>
  <si>
    <t>STA RET ADD CHI GD AMT 2018</t>
  </si>
  <si>
    <t>STA RET COU GOLD AMT 2017</t>
  </si>
  <si>
    <t>STA RET COU GOLD AMT 2018</t>
  </si>
  <si>
    <t>STA RET FAM GOLD AMT 2017</t>
  </si>
  <si>
    <t>STA RET FAM GOLD AMT 2018</t>
  </si>
  <si>
    <t>STA RET IND GOLD AMT 2017</t>
  </si>
  <si>
    <t>STA RET IND GOLD AMT 2018</t>
  </si>
  <si>
    <t>STA RET P+ ADD CHI GD AMT 2017</t>
  </si>
  <si>
    <t>STA RET P+ ADD CHI GD AMT 2018</t>
  </si>
  <si>
    <t>STA RET PREM+ COU GD AMT 2017</t>
  </si>
  <si>
    <t>STA RET PREM+ COU GD AMT 2018</t>
  </si>
  <si>
    <t>STA RET PREM+ FAM GD AMT 2018</t>
  </si>
  <si>
    <t>STA RET PREM+ IND GD AMT 2017</t>
  </si>
  <si>
    <t>STA RET PREM+ IND GD AMT 2018</t>
  </si>
  <si>
    <t>STG3</t>
  </si>
  <si>
    <t>STA RET FLIGHT GOLD OW 2018</t>
  </si>
  <si>
    <t>STA RET FLIGHT GOLD RTN 2018</t>
  </si>
  <si>
    <t>STG4</t>
  </si>
  <si>
    <t>STA RET PREM GOLD WS 2018</t>
  </si>
  <si>
    <t>STA RET PREM+ GOLD WS 2018</t>
  </si>
  <si>
    <t>STA RET STD GOLD WS 2018</t>
  </si>
  <si>
    <t>STG5</t>
  </si>
  <si>
    <t>STA RET PREM GOLD SPORT 2018</t>
  </si>
  <si>
    <t>STA RET STD GOLD SPORT 2018</t>
  </si>
  <si>
    <t>STG6</t>
  </si>
  <si>
    <t>STA RET PREM GOLD STUDY 2018</t>
  </si>
  <si>
    <t>STA RET STD GOLD STUDY 2018</t>
  </si>
  <si>
    <t>Standalone Assistance &amp; PP - Single Trip</t>
  </si>
  <si>
    <t>STENA LINE ASST ONLY ST 20</t>
  </si>
  <si>
    <t>STENA LINE ASST PLUS ST 20</t>
  </si>
  <si>
    <t>STENA LINE CANC ONLY ST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</si>
</sst>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4">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topLeftCell="A22" zoomScaleNormal="100" workbookViewId="0"/>
  </sheetViews>
  <sheetFormatPr defaultRowHeight="15"/>
  <cols>
    <col min="1" max="1" width="24.7109375" bestFit="1" customWidth="1"/>
    <col min="2" max="2" width="55.7109375" customWidth="1"/>
    <col min="3" max="3" width="50.7109375" customWidth="1"/>
  </cols>
  <sheetData>
    <row r="1" spans="1:3" ht="37.5">
      <c r="A1" s="108" t="s">
        <v>353</v>
      </c>
    </row>
    <row r="2" spans="1:3" ht="18.75">
      <c r="A2" s="106" t="s">
        <v>354</v>
      </c>
    </row>
    <row r="3" spans="1:3" ht="18.75">
      <c r="A3" s="106" t="s">
        <v>355</v>
      </c>
    </row>
    <row r="4" spans="1:3" ht="18.75">
      <c r="A4" s="106" t="s">
        <v>359</v>
      </c>
    </row>
    <row r="5" spans="1:3" ht="19.5" thickBot="1">
      <c r="A5" s="107" t="s">
        <v>360</v>
      </c>
    </row>
    <row r="8" spans="1:3" ht="19.5" thickBot="1">
      <c r="A8" s="38" t="s">
        <v>352</v>
      </c>
    </row>
    <row r="9" spans="1:3" ht="15.75" thickBot="1">
      <c r="A9" s="102" t="s">
        <v>299</v>
      </c>
      <c r="B9" s="39" t="s">
        <v>320</v>
      </c>
      <c r="C9" s="40" t="s">
        <v>164</v>
      </c>
    </row>
    <row r="10" spans="1:3" ht="30">
      <c r="A10" s="103">
        <v>1</v>
      </c>
      <c r="B10" s="44" t="s">
        <v>323</v>
      </c>
      <c r="C10" s="41" t="s">
        <v>324</v>
      </c>
    </row>
    <row r="11" spans="1:3" ht="90">
      <c r="A11" s="103">
        <v>2</v>
      </c>
      <c r="B11" s="44" t="s">
        <v>133</v>
      </c>
      <c r="C11" s="41" t="s">
        <v>340</v>
      </c>
    </row>
    <row r="12" spans="1:3" ht="135">
      <c r="A12" s="103">
        <v>3</v>
      </c>
      <c r="B12" s="44" t="s">
        <v>361</v>
      </c>
      <c r="C12" s="41" t="s">
        <v>387</v>
      </c>
    </row>
    <row r="13" spans="1:3" ht="60">
      <c r="A13" s="103">
        <v>4</v>
      </c>
      <c r="B13" s="44" t="s">
        <v>300</v>
      </c>
      <c r="C13" s="41" t="s">
        <v>326</v>
      </c>
    </row>
    <row r="14" spans="1:3" ht="60">
      <c r="A14" s="104">
        <v>5</v>
      </c>
      <c r="B14" s="45" t="s">
        <v>322</v>
      </c>
      <c r="C14" s="42" t="s">
        <v>325</v>
      </c>
    </row>
    <row r="15" spans="1:3" ht="45">
      <c r="A15" s="104">
        <v>6</v>
      </c>
      <c r="B15" s="45" t="s">
        <v>321</v>
      </c>
      <c r="C15" s="42" t="s">
        <v>301</v>
      </c>
    </row>
    <row r="16" spans="1:3" ht="45">
      <c r="A16" s="104" t="s">
        <v>337</v>
      </c>
      <c r="B16" s="45" t="s">
        <v>302</v>
      </c>
      <c r="C16" s="42" t="s">
        <v>303</v>
      </c>
    </row>
    <row r="17" spans="1:3" ht="45">
      <c r="A17" s="104" t="s">
        <v>338</v>
      </c>
      <c r="B17" s="45" t="s">
        <v>304</v>
      </c>
      <c r="C17" s="42" t="s">
        <v>305</v>
      </c>
    </row>
    <row r="18" spans="1:3" ht="45">
      <c r="A18" s="104" t="s">
        <v>339</v>
      </c>
      <c r="B18" s="45" t="s">
        <v>306</v>
      </c>
      <c r="C18" s="42" t="s">
        <v>307</v>
      </c>
    </row>
    <row r="19" spans="1:3" ht="120.75" thickBot="1">
      <c r="A19" s="105">
        <v>8</v>
      </c>
      <c r="B19" s="46" t="s">
        <v>350</v>
      </c>
      <c r="C19" s="43" t="s">
        <v>351</v>
      </c>
    </row>
    <row r="20" spans="1:3">
      <c r="A20" s="57"/>
      <c r="B20" s="58"/>
      <c r="C20" s="58"/>
    </row>
    <row r="22" spans="1:3" ht="19.5" thickBot="1">
      <c r="A22" s="38" t="s">
        <v>356</v>
      </c>
    </row>
    <row r="23" spans="1:3" ht="15.75" thickBot="1">
      <c r="A23" s="51" t="s">
        <v>308</v>
      </c>
      <c r="B23" s="47" t="s">
        <v>164</v>
      </c>
    </row>
    <row r="24" spans="1:3">
      <c r="A24" s="52" t="s">
        <v>309</v>
      </c>
      <c r="B24" s="48" t="s">
        <v>312</v>
      </c>
    </row>
    <row r="25" spans="1:3">
      <c r="A25" s="53" t="s">
        <v>311</v>
      </c>
      <c r="B25" s="49" t="s">
        <v>314</v>
      </c>
    </row>
    <row r="26" spans="1:3">
      <c r="A26" s="53" t="s">
        <v>313</v>
      </c>
      <c r="B26" s="49" t="s">
        <v>316</v>
      </c>
    </row>
    <row r="27" spans="1:3">
      <c r="A27" s="53" t="s">
        <v>315</v>
      </c>
      <c r="B27" s="49" t="s">
        <v>310</v>
      </c>
    </row>
    <row r="28" spans="1:3" ht="15.75" thickBot="1">
      <c r="A28" s="54" t="s">
        <v>317</v>
      </c>
      <c r="B28" s="50" t="s">
        <v>318</v>
      </c>
    </row>
    <row r="29" spans="1:3">
      <c r="A29" s="59"/>
      <c r="B29" s="59"/>
    </row>
    <row r="31" spans="1:3" ht="19.5" thickBot="1">
      <c r="A31" s="38" t="s">
        <v>357</v>
      </c>
    </row>
    <row r="32" spans="1:3" ht="15.75" thickBot="1">
      <c r="A32" s="51" t="s">
        <v>319</v>
      </c>
      <c r="B32" s="47" t="s">
        <v>164</v>
      </c>
    </row>
    <row r="33" spans="1:2">
      <c r="A33" s="56"/>
      <c r="B33" s="48" t="s">
        <v>263</v>
      </c>
    </row>
    <row r="34" spans="1:2" ht="15.75" thickBot="1">
      <c r="A34" s="55"/>
      <c r="B34" s="50" t="s">
        <v>264</v>
      </c>
    </row>
    <row r="37" spans="1:2" ht="19.5" thickBot="1">
      <c r="A37" s="38" t="s">
        <v>358</v>
      </c>
    </row>
    <row r="38" spans="1:2" ht="15.75" thickBot="1">
      <c r="A38" s="51" t="s">
        <v>336</v>
      </c>
      <c r="B38" s="47" t="s">
        <v>330</v>
      </c>
    </row>
    <row r="39" spans="1:2">
      <c r="A39" s="101" t="s">
        <v>26</v>
      </c>
      <c r="B39" s="96" t="s">
        <v>331</v>
      </c>
    </row>
    <row r="40" spans="1:2">
      <c r="A40" s="100" t="s">
        <v>27</v>
      </c>
      <c r="B40" s="97" t="s">
        <v>332</v>
      </c>
    </row>
    <row r="41" spans="1:2" ht="30">
      <c r="A41" s="100" t="s">
        <v>39</v>
      </c>
      <c r="B41" s="42" t="s">
        <v>333</v>
      </c>
    </row>
    <row r="42" spans="1:2" ht="255.75" thickBot="1">
      <c r="A42" s="99" t="s">
        <v>334</v>
      </c>
      <c r="B42" s="98" t="s">
        <v>335</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O1005"/>
  <sheetViews>
    <sheetView tabSelected="1" zoomScaleNormal="100" workbookViewId="0">
      <pane xSplit="1" ySplit="4" topLeftCell="B32" activePane="bottomRight" state="frozen"/>
      <selection pane="topRight" activeCell="B1" sqref="B1"/>
      <selection pane="bottomLeft" activeCell="A5" sqref="A5"/>
      <selection pane="bottomRight" activeCell="A33" sqref="A33:A1005"/>
    </sheetView>
  </sheetViews>
  <sheetFormatPr defaultColWidth="9" defaultRowHeight="15"/>
  <cols>
    <col min="1" max="1" width="13.85546875" bestFit="1" customWidth="1"/>
    <col min="2" max="2" width="13.85546875" customWidth="1"/>
    <col min="3" max="3" width="12" bestFit="1" customWidth="1"/>
    <col min="4" max="4" width="29.85546875" bestFit="1" customWidth="1"/>
    <col min="5" max="6" width="10.85546875" bestFit="1" customWidth="1"/>
    <col min="7" max="7" width="10.85546875"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22" customWidth="1"/>
    <col min="18" max="18" width="51.140625" bestFit="1" customWidth="1"/>
    <col min="19" max="19" width="15.5703125" bestFit="1" customWidth="1"/>
    <col min="20" max="20" width="10.85546875" customWidth="1"/>
    <col min="21" max="21" width="13.2851562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7" ht="22.5">
      <c r="A1" s="7" t="s">
        <v>39</v>
      </c>
      <c r="B1" s="7"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334</v>
      </c>
      <c r="R1" s="9" t="s">
        <v>334</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7" ht="22.5">
      <c r="A2" s="10" t="s">
        <v>91</v>
      </c>
      <c r="B2" s="10"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7" ht="102" thickBot="1">
      <c r="A3" s="14" t="s">
        <v>36</v>
      </c>
      <c r="B3" s="14" t="s">
        <v>388</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341</v>
      </c>
      <c r="AD3" s="21" t="s">
        <v>342</v>
      </c>
      <c r="AE3" s="23" t="s">
        <v>278</v>
      </c>
      <c r="AF3" s="17" t="s">
        <v>285</v>
      </c>
      <c r="AG3" s="17" t="s">
        <v>343</v>
      </c>
      <c r="AH3" s="21" t="s">
        <v>344</v>
      </c>
      <c r="AI3" s="16" t="s">
        <v>30</v>
      </c>
      <c r="AJ3" s="17" t="s">
        <v>31</v>
      </c>
      <c r="AK3" s="17" t="s">
        <v>169</v>
      </c>
      <c r="AL3" s="15" t="s">
        <v>84</v>
      </c>
      <c r="AM3" s="16" t="s">
        <v>173</v>
      </c>
      <c r="AN3" s="16" t="s">
        <v>148</v>
      </c>
      <c r="AO3" s="16" t="s">
        <v>149</v>
      </c>
      <c r="AP3" s="16" t="s">
        <v>151</v>
      </c>
      <c r="AQ3" s="17" t="s">
        <v>345</v>
      </c>
      <c r="AR3" s="17" t="s">
        <v>346</v>
      </c>
      <c r="AS3" s="15" t="s">
        <v>347</v>
      </c>
      <c r="AT3" s="16" t="s">
        <v>32</v>
      </c>
      <c r="AU3" s="17" t="s">
        <v>33</v>
      </c>
      <c r="AV3" s="17" t="s">
        <v>34</v>
      </c>
      <c r="AW3" s="17" t="s">
        <v>35</v>
      </c>
      <c r="AX3" s="15" t="s">
        <v>83</v>
      </c>
      <c r="AY3" s="16" t="s">
        <v>275</v>
      </c>
      <c r="AZ3" s="17" t="s">
        <v>276</v>
      </c>
      <c r="BA3" s="15" t="s">
        <v>96</v>
      </c>
      <c r="BB3" s="16" t="s">
        <v>298</v>
      </c>
      <c r="BC3" s="17" t="s">
        <v>268</v>
      </c>
      <c r="BD3" s="21" t="s">
        <v>297</v>
      </c>
      <c r="BE3" s="16" t="s">
        <v>296</v>
      </c>
      <c r="BF3" s="17" t="s">
        <v>269</v>
      </c>
      <c r="BG3" s="15" t="s">
        <v>295</v>
      </c>
      <c r="BH3" s="16" t="s">
        <v>294</v>
      </c>
      <c r="BI3" s="17" t="s">
        <v>293</v>
      </c>
      <c r="BJ3" s="17" t="s">
        <v>292</v>
      </c>
      <c r="BK3" s="15" t="s">
        <v>291</v>
      </c>
      <c r="BL3" s="23" t="s">
        <v>290</v>
      </c>
      <c r="BM3" s="28" t="s">
        <v>156</v>
      </c>
    </row>
    <row r="4" spans="1:67" ht="45.75" thickBot="1">
      <c r="A4" s="1" t="s">
        <v>66</v>
      </c>
      <c r="B4" s="1" t="s">
        <v>389</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349</v>
      </c>
      <c r="AD4" s="18" t="s">
        <v>280</v>
      </c>
      <c r="AE4" s="22" t="s">
        <v>277</v>
      </c>
      <c r="AF4" s="2" t="s">
        <v>124</v>
      </c>
      <c r="AG4" s="2" t="s">
        <v>348</v>
      </c>
      <c r="AH4" s="18" t="s">
        <v>284</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327</v>
      </c>
      <c r="BE4" s="4" t="s">
        <v>90</v>
      </c>
      <c r="BF4" s="2" t="s">
        <v>273</v>
      </c>
      <c r="BG4" s="18" t="s">
        <v>328</v>
      </c>
      <c r="BH4" s="4" t="s">
        <v>12</v>
      </c>
      <c r="BI4" s="2" t="s">
        <v>13</v>
      </c>
      <c r="BJ4" s="2" t="s">
        <v>14</v>
      </c>
      <c r="BK4" s="3" t="s">
        <v>15</v>
      </c>
      <c r="BL4" s="22" t="s">
        <v>82</v>
      </c>
      <c r="BM4" s="31" t="s">
        <v>10</v>
      </c>
    </row>
    <row r="5" spans="1:67">
      <c r="A5" s="61" t="str">
        <f>B5</f>
        <v>UK</v>
      </c>
      <c r="B5" s="62" t="s">
        <v>64</v>
      </c>
      <c r="C5" s="62" t="s">
        <v>176</v>
      </c>
      <c r="D5" s="63" t="s">
        <v>97</v>
      </c>
      <c r="E5" s="64">
        <v>43831</v>
      </c>
      <c r="F5" s="64">
        <v>43921</v>
      </c>
      <c r="G5" s="65">
        <v>43995</v>
      </c>
      <c r="H5" s="66" t="s">
        <v>132</v>
      </c>
      <c r="I5" s="67">
        <v>3</v>
      </c>
      <c r="J5" s="68">
        <v>2020</v>
      </c>
      <c r="K5" s="69">
        <v>1</v>
      </c>
      <c r="L5" s="70">
        <v>3</v>
      </c>
      <c r="M5" s="71" t="s">
        <v>140</v>
      </c>
      <c r="N5" s="71" t="s">
        <v>18</v>
      </c>
      <c r="O5" s="71" t="s">
        <v>114</v>
      </c>
      <c r="P5" s="71" t="s">
        <v>102</v>
      </c>
      <c r="Q5" s="61" t="s">
        <v>72</v>
      </c>
      <c r="R5" s="63" t="s">
        <v>106</v>
      </c>
      <c r="S5" s="72" t="s">
        <v>451</v>
      </c>
      <c r="T5" s="61" t="s">
        <v>452</v>
      </c>
      <c r="U5" s="73" t="s">
        <v>453</v>
      </c>
      <c r="V5" s="62">
        <v>107407</v>
      </c>
      <c r="W5" s="62" t="s">
        <v>454</v>
      </c>
      <c r="X5" s="62" t="s">
        <v>402</v>
      </c>
      <c r="Y5" s="93">
        <v>1</v>
      </c>
      <c r="Z5" s="94">
        <v>1</v>
      </c>
      <c r="AA5" s="74">
        <v>790</v>
      </c>
      <c r="AB5" s="75">
        <v>1047</v>
      </c>
      <c r="AC5" s="75">
        <v>14006.92858654573</v>
      </c>
      <c r="AD5" s="76">
        <v>16808.314304320018</v>
      </c>
      <c r="AE5" s="77">
        <v>670.63820757999997</v>
      </c>
      <c r="AF5" s="75">
        <v>832.95958568000003</v>
      </c>
      <c r="AG5" s="78">
        <v>10092.487098901098</v>
      </c>
      <c r="AH5" s="79">
        <v>12110.984518867375</v>
      </c>
      <c r="AI5" s="74">
        <v>5046.2435493924067</v>
      </c>
      <c r="AJ5" s="75">
        <v>0</v>
      </c>
      <c r="AK5" s="75">
        <v>0</v>
      </c>
      <c r="AL5" s="80">
        <v>5046.2435493924067</v>
      </c>
      <c r="AM5" s="74">
        <v>2</v>
      </c>
      <c r="AN5" s="74">
        <v>0</v>
      </c>
      <c r="AO5" s="81">
        <v>0</v>
      </c>
      <c r="AP5" s="82">
        <v>3</v>
      </c>
      <c r="AQ5" s="75">
        <v>497.70335484621199</v>
      </c>
      <c r="AR5" s="75">
        <v>497.70335484621199</v>
      </c>
      <c r="AS5" s="80">
        <v>995.40670969242399</v>
      </c>
      <c r="AT5" s="74">
        <v>257.35842102447816</v>
      </c>
      <c r="AU5" s="75">
        <v>303.78386167800448</v>
      </c>
      <c r="AV5" s="75">
        <v>499.57811139019714</v>
      </c>
      <c r="AW5" s="75">
        <v>235.65957375428803</v>
      </c>
      <c r="AX5" s="80">
        <v>1296.3799678469677</v>
      </c>
      <c r="AY5" s="81">
        <v>3.6016153143263265E-3</v>
      </c>
      <c r="AZ5" s="83">
        <v>331.80223656414131</v>
      </c>
      <c r="BA5" s="80">
        <v>1.195024016537138</v>
      </c>
      <c r="BB5" s="84">
        <v>3254.0349833594964</v>
      </c>
      <c r="BC5" s="85">
        <v>6.5135659652989109</v>
      </c>
      <c r="BD5" s="86">
        <v>0.32242151527880636</v>
      </c>
      <c r="BE5" s="84">
        <v>3489.6945571137849</v>
      </c>
      <c r="BF5" s="87">
        <v>4.7463488714238142</v>
      </c>
      <c r="BG5" s="88">
        <v>0.3457715152783058</v>
      </c>
      <c r="BH5" s="89">
        <v>9.8628484727100327E-2</v>
      </c>
      <c r="BI5" s="90">
        <v>0.49999999999423905</v>
      </c>
      <c r="BJ5" s="90">
        <v>0.12844999999931847</v>
      </c>
      <c r="BK5" s="91">
        <v>0.72707848472065784</v>
      </c>
      <c r="BL5" s="92">
        <v>2754.4568719692998</v>
      </c>
      <c r="BM5" s="95">
        <v>0</v>
      </c>
      <c r="BN5" t="s">
        <v>402</v>
      </c>
      <c r="BO5">
        <v>0.85994999999999999</v>
      </c>
    </row>
    <row r="6" spans="1:67">
      <c r="A6" s="61" t="str">
        <f t="shared" ref="A6:A32" si="0">B6</f>
        <v>UK</v>
      </c>
      <c r="B6" s="62" t="s">
        <v>64</v>
      </c>
      <c r="C6" s="62" t="s">
        <v>176</v>
      </c>
      <c r="D6" s="63" t="s">
        <v>97</v>
      </c>
      <c r="E6" s="64">
        <v>43831</v>
      </c>
      <c r="F6" s="64">
        <v>43921</v>
      </c>
      <c r="G6" s="65">
        <v>43995</v>
      </c>
      <c r="H6" s="66" t="s">
        <v>132</v>
      </c>
      <c r="I6" s="67">
        <v>3</v>
      </c>
      <c r="J6" s="68">
        <v>2020</v>
      </c>
      <c r="K6" s="69">
        <v>1</v>
      </c>
      <c r="L6" s="70">
        <v>3</v>
      </c>
      <c r="M6" s="71" t="s">
        <v>140</v>
      </c>
      <c r="N6" s="71" t="s">
        <v>18</v>
      </c>
      <c r="O6" s="71" t="s">
        <v>114</v>
      </c>
      <c r="P6" s="71" t="s">
        <v>102</v>
      </c>
      <c r="Q6" s="61" t="s">
        <v>72</v>
      </c>
      <c r="R6" s="63" t="s">
        <v>106</v>
      </c>
      <c r="S6" s="72" t="s">
        <v>455</v>
      </c>
      <c r="T6" s="61" t="s">
        <v>456</v>
      </c>
      <c r="U6" s="73" t="s">
        <v>457</v>
      </c>
      <c r="V6" s="62">
        <v>106622</v>
      </c>
      <c r="W6" s="62" t="s">
        <v>454</v>
      </c>
      <c r="X6" s="62" t="s">
        <v>402</v>
      </c>
      <c r="Y6" s="93">
        <v>1</v>
      </c>
      <c r="Z6" s="94">
        <v>1</v>
      </c>
      <c r="AA6" s="74">
        <v>0</v>
      </c>
      <c r="AB6" s="75">
        <v>0</v>
      </c>
      <c r="AC6" s="75">
        <v>0</v>
      </c>
      <c r="AD6" s="76">
        <v>0</v>
      </c>
      <c r="AE6" s="77">
        <v>12.490211887999999</v>
      </c>
      <c r="AF6" s="75">
        <v>21.464827272000001</v>
      </c>
      <c r="AG6" s="78">
        <v>314.45308023722311</v>
      </c>
      <c r="AH6" s="79">
        <v>377.34369628466771</v>
      </c>
      <c r="AI6" s="74">
        <v>212.25582916448633</v>
      </c>
      <c r="AJ6" s="75">
        <v>0</v>
      </c>
      <c r="AK6" s="75">
        <v>0</v>
      </c>
      <c r="AL6" s="80">
        <v>212.25582916448633</v>
      </c>
      <c r="AM6" s="74">
        <v>0</v>
      </c>
      <c r="AN6" s="74">
        <v>0</v>
      </c>
      <c r="AO6" s="81" t="s">
        <v>403</v>
      </c>
      <c r="AP6" s="82">
        <v>0</v>
      </c>
      <c r="AQ6" s="75">
        <v>0</v>
      </c>
      <c r="AR6" s="75">
        <v>0</v>
      </c>
      <c r="AS6" s="80">
        <v>0</v>
      </c>
      <c r="AT6" s="74">
        <v>5.2120598049886624</v>
      </c>
      <c r="AU6" s="75">
        <v>9.4650377153322864</v>
      </c>
      <c r="AV6" s="75">
        <v>10.117527856735856</v>
      </c>
      <c r="AW6" s="75">
        <v>4.7726116253270536</v>
      </c>
      <c r="AX6" s="80">
        <v>29.567237002383855</v>
      </c>
      <c r="AY6" s="81">
        <v>0</v>
      </c>
      <c r="AZ6" s="83" t="s">
        <v>403</v>
      </c>
      <c r="BA6" s="80" t="s">
        <v>403</v>
      </c>
      <c r="BB6" s="84">
        <v>82.747541927088776</v>
      </c>
      <c r="BC6" s="85">
        <v>8.178632478090849</v>
      </c>
      <c r="BD6" s="86">
        <v>0.26314749998525727</v>
      </c>
      <c r="BE6" s="84">
        <v>87.52015355241582</v>
      </c>
      <c r="BF6" s="87">
        <v>5.8777255685109671</v>
      </c>
      <c r="BG6" s="88">
        <v>0.27832499998534183</v>
      </c>
      <c r="BH6" s="89">
        <v>0</v>
      </c>
      <c r="BI6" s="90">
        <v>0.67500000001386773</v>
      </c>
      <c r="BJ6" s="90">
        <v>9.4027500001203232E-2</v>
      </c>
      <c r="BK6" s="91">
        <v>0.76902750001507092</v>
      </c>
      <c r="BL6" s="92">
        <v>72.630014070352928</v>
      </c>
      <c r="BM6" s="95">
        <v>0</v>
      </c>
      <c r="BN6" t="s">
        <v>402</v>
      </c>
      <c r="BO6">
        <v>0.85994999999999999</v>
      </c>
    </row>
    <row r="7" spans="1:67">
      <c r="A7" s="61" t="str">
        <f t="shared" si="0"/>
        <v>UK</v>
      </c>
      <c r="B7" s="62" t="s">
        <v>64</v>
      </c>
      <c r="C7" s="62" t="s">
        <v>176</v>
      </c>
      <c r="D7" s="63" t="s">
        <v>97</v>
      </c>
      <c r="E7" s="64">
        <v>43831</v>
      </c>
      <c r="F7" s="64">
        <v>43921</v>
      </c>
      <c r="G7" s="65">
        <v>43995</v>
      </c>
      <c r="H7" s="66" t="s">
        <v>132</v>
      </c>
      <c r="I7" s="67">
        <v>3</v>
      </c>
      <c r="J7" s="68">
        <v>2020</v>
      </c>
      <c r="K7" s="69">
        <v>1</v>
      </c>
      <c r="L7" s="70">
        <v>3</v>
      </c>
      <c r="M7" s="71" t="s">
        <v>140</v>
      </c>
      <c r="N7" s="71" t="s">
        <v>18</v>
      </c>
      <c r="O7" s="71" t="s">
        <v>114</v>
      </c>
      <c r="P7" s="71" t="s">
        <v>102</v>
      </c>
      <c r="Q7" s="61" t="s">
        <v>72</v>
      </c>
      <c r="R7" s="63" t="s">
        <v>106</v>
      </c>
      <c r="S7" s="72" t="s">
        <v>455</v>
      </c>
      <c r="T7" s="61" t="s">
        <v>456</v>
      </c>
      <c r="U7" s="73" t="s">
        <v>458</v>
      </c>
      <c r="V7" s="62">
        <v>107856</v>
      </c>
      <c r="W7" s="62" t="s">
        <v>454</v>
      </c>
      <c r="X7" s="62" t="s">
        <v>402</v>
      </c>
      <c r="Y7" s="93">
        <v>1</v>
      </c>
      <c r="Z7" s="94">
        <v>1</v>
      </c>
      <c r="AA7" s="74">
        <v>1948</v>
      </c>
      <c r="AB7" s="75">
        <v>2792</v>
      </c>
      <c r="AC7" s="75">
        <v>33623.572914704346</v>
      </c>
      <c r="AD7" s="76">
        <v>40348.287496947494</v>
      </c>
      <c r="AE7" s="77">
        <v>1553.2562227000001</v>
      </c>
      <c r="AF7" s="75">
        <v>2052.1119549999999</v>
      </c>
      <c r="AG7" s="78">
        <v>24723.028769114484</v>
      </c>
      <c r="AH7" s="79">
        <v>29667.63452293738</v>
      </c>
      <c r="AI7" s="74">
        <v>16688.044418861562</v>
      </c>
      <c r="AJ7" s="75">
        <v>0</v>
      </c>
      <c r="AK7" s="75">
        <v>0</v>
      </c>
      <c r="AL7" s="80">
        <v>16688.044418861562</v>
      </c>
      <c r="AM7" s="74">
        <v>5</v>
      </c>
      <c r="AN7" s="74">
        <v>1</v>
      </c>
      <c r="AO7" s="81">
        <v>0.2</v>
      </c>
      <c r="AP7" s="82">
        <v>27</v>
      </c>
      <c r="AQ7" s="75">
        <v>1667.3876331182046</v>
      </c>
      <c r="AR7" s="75">
        <v>2169.5331151811151</v>
      </c>
      <c r="AS7" s="80">
        <v>3836.9207482993197</v>
      </c>
      <c r="AT7" s="74">
        <v>409.78420184894469</v>
      </c>
      <c r="AU7" s="75">
        <v>744.16316595150886</v>
      </c>
      <c r="AV7" s="75">
        <v>795.46345064247919</v>
      </c>
      <c r="AW7" s="75">
        <v>375.23376913774052</v>
      </c>
      <c r="AX7" s="80">
        <v>2324.6445875806735</v>
      </c>
      <c r="AY7" s="81">
        <v>1.3157176894863907E-2</v>
      </c>
      <c r="AZ7" s="83">
        <v>142.10817586293777</v>
      </c>
      <c r="BA7" s="80">
        <v>1.8697424080351015</v>
      </c>
      <c r="BB7" s="84">
        <v>2668.8824650154093</v>
      </c>
      <c r="BC7" s="85">
        <v>3.3551289664657862</v>
      </c>
      <c r="BD7" s="86">
        <v>0.10795127449552379</v>
      </c>
      <c r="BE7" s="84">
        <v>3044.116234153149</v>
      </c>
      <c r="BF7" s="87">
        <v>2.600259215379904</v>
      </c>
      <c r="BG7" s="88">
        <v>0.1231287744953015</v>
      </c>
      <c r="BH7" s="89">
        <v>0.15519622551637505</v>
      </c>
      <c r="BI7" s="90">
        <v>0.67499999998824112</v>
      </c>
      <c r="BJ7" s="90">
        <v>9.4027499999707206E-2</v>
      </c>
      <c r="BK7" s="91">
        <v>0.9242237255043233</v>
      </c>
      <c r="BL7" s="92">
        <v>1873.4190143729284</v>
      </c>
      <c r="BM7" s="95">
        <v>0</v>
      </c>
      <c r="BN7" t="s">
        <v>402</v>
      </c>
      <c r="BO7">
        <v>0.85994999999999999</v>
      </c>
    </row>
    <row r="8" spans="1:67">
      <c r="A8" s="61" t="str">
        <f t="shared" si="0"/>
        <v>UK</v>
      </c>
      <c r="B8" s="62" t="s">
        <v>64</v>
      </c>
      <c r="C8" s="62" t="s">
        <v>176</v>
      </c>
      <c r="D8" s="63" t="s">
        <v>97</v>
      </c>
      <c r="E8" s="64">
        <v>43831</v>
      </c>
      <c r="F8" s="64">
        <v>43921</v>
      </c>
      <c r="G8" s="65">
        <v>43995</v>
      </c>
      <c r="H8" s="66" t="s">
        <v>132</v>
      </c>
      <c r="I8" s="67">
        <v>3</v>
      </c>
      <c r="J8" s="68">
        <v>2020</v>
      </c>
      <c r="K8" s="69">
        <v>1</v>
      </c>
      <c r="L8" s="70">
        <v>3</v>
      </c>
      <c r="M8" s="71" t="s">
        <v>140</v>
      </c>
      <c r="N8" s="71" t="s">
        <v>18</v>
      </c>
      <c r="O8" s="71" t="s">
        <v>114</v>
      </c>
      <c r="P8" s="71" t="s">
        <v>102</v>
      </c>
      <c r="Q8" s="61" t="s">
        <v>170</v>
      </c>
      <c r="R8" s="63" t="s">
        <v>106</v>
      </c>
      <c r="S8" s="72" t="s">
        <v>459</v>
      </c>
      <c r="T8" s="61" t="s">
        <v>460</v>
      </c>
      <c r="U8" s="73" t="s">
        <v>461</v>
      </c>
      <c r="V8" s="62">
        <v>107859</v>
      </c>
      <c r="W8" s="62" t="s">
        <v>401</v>
      </c>
      <c r="X8" s="62" t="s">
        <v>402</v>
      </c>
      <c r="Y8" s="93">
        <v>1</v>
      </c>
      <c r="Z8" s="94">
        <v>1</v>
      </c>
      <c r="AA8" s="74">
        <v>3622</v>
      </c>
      <c r="AB8" s="75">
        <v>7438</v>
      </c>
      <c r="AC8" s="75">
        <v>41828.914888074891</v>
      </c>
      <c r="AD8" s="76">
        <v>50194.697864992151</v>
      </c>
      <c r="AE8" s="77">
        <v>2468.7948709000002</v>
      </c>
      <c r="AF8" s="75">
        <v>4701.0554534000003</v>
      </c>
      <c r="AG8" s="78">
        <v>23092.587893482178</v>
      </c>
      <c r="AH8" s="79">
        <v>27711.105472411189</v>
      </c>
      <c r="AI8" s="74">
        <v>9237.0351576254434</v>
      </c>
      <c r="AJ8" s="75">
        <v>0</v>
      </c>
      <c r="AK8" s="75">
        <v>0</v>
      </c>
      <c r="AL8" s="80">
        <v>9237.0351576254434</v>
      </c>
      <c r="AM8" s="74">
        <v>1</v>
      </c>
      <c r="AN8" s="74">
        <v>0</v>
      </c>
      <c r="AO8" s="81">
        <v>0</v>
      </c>
      <c r="AP8" s="82">
        <v>19</v>
      </c>
      <c r="AQ8" s="75">
        <v>279.08599337170767</v>
      </c>
      <c r="AR8" s="75">
        <v>279.08599337170767</v>
      </c>
      <c r="AS8" s="80">
        <v>558.17198674341535</v>
      </c>
      <c r="AT8" s="74">
        <v>706.63318955753243</v>
      </c>
      <c r="AU8" s="75">
        <v>695.08689561020992</v>
      </c>
      <c r="AV8" s="75">
        <v>1371.6997209140065</v>
      </c>
      <c r="AW8" s="75">
        <v>647.05431278562708</v>
      </c>
      <c r="AX8" s="80">
        <v>3420.4741188673761</v>
      </c>
      <c r="AY8" s="81">
        <v>4.0416455811552706E-3</v>
      </c>
      <c r="AZ8" s="83">
        <v>29.377472986495544</v>
      </c>
      <c r="BA8" s="80">
        <v>0.11873333388137805</v>
      </c>
      <c r="BB8" s="84">
        <v>11248.60635115995</v>
      </c>
      <c r="BC8" s="85">
        <v>8.2004874533798482</v>
      </c>
      <c r="BD8" s="86">
        <v>0.4871089547453813</v>
      </c>
      <c r="BE8" s="84">
        <v>11895.660663945577</v>
      </c>
      <c r="BF8" s="87">
        <v>5.892575551735348</v>
      </c>
      <c r="BG8" s="88">
        <v>0.51512895474582543</v>
      </c>
      <c r="BH8" s="89">
        <v>2.4171045242658052E-2</v>
      </c>
      <c r="BI8" s="90">
        <v>0.4000000000100713</v>
      </c>
      <c r="BJ8" s="90">
        <v>0.14812000000367201</v>
      </c>
      <c r="BK8" s="91">
        <v>0.5722910452564014</v>
      </c>
      <c r="BL8" s="92">
        <v>9876.9066302459432</v>
      </c>
      <c r="BM8" s="95">
        <v>0</v>
      </c>
      <c r="BN8" t="s">
        <v>402</v>
      </c>
      <c r="BO8">
        <v>0.85994999999999999</v>
      </c>
    </row>
    <row r="9" spans="1:67">
      <c r="A9" s="61" t="str">
        <f t="shared" si="0"/>
        <v>UK</v>
      </c>
      <c r="B9" s="62" t="s">
        <v>64</v>
      </c>
      <c r="C9" s="62" t="s">
        <v>176</v>
      </c>
      <c r="D9" s="63" t="s">
        <v>97</v>
      </c>
      <c r="E9" s="64">
        <v>43831</v>
      </c>
      <c r="F9" s="64">
        <v>43921</v>
      </c>
      <c r="G9" s="65">
        <v>43995</v>
      </c>
      <c r="H9" s="66" t="s">
        <v>132</v>
      </c>
      <c r="I9" s="67">
        <v>3</v>
      </c>
      <c r="J9" s="68">
        <v>2020</v>
      </c>
      <c r="K9" s="69">
        <v>1</v>
      </c>
      <c r="L9" s="70">
        <v>3</v>
      </c>
      <c r="M9" s="71" t="s">
        <v>140</v>
      </c>
      <c r="N9" s="71" t="s">
        <v>18</v>
      </c>
      <c r="O9" s="71" t="s">
        <v>114</v>
      </c>
      <c r="P9" s="71" t="s">
        <v>102</v>
      </c>
      <c r="Q9" s="61" t="s">
        <v>170</v>
      </c>
      <c r="R9" s="63" t="s">
        <v>106</v>
      </c>
      <c r="S9" s="72" t="s">
        <v>462</v>
      </c>
      <c r="T9" s="61" t="s">
        <v>460</v>
      </c>
      <c r="U9" s="73" t="s">
        <v>463</v>
      </c>
      <c r="V9" s="62">
        <v>107092</v>
      </c>
      <c r="W9" s="62" t="s">
        <v>464</v>
      </c>
      <c r="X9" s="62" t="s">
        <v>402</v>
      </c>
      <c r="Y9" s="93">
        <v>1</v>
      </c>
      <c r="Z9" s="94">
        <v>1</v>
      </c>
      <c r="AA9" s="74">
        <v>0</v>
      </c>
      <c r="AB9" s="75">
        <v>0</v>
      </c>
      <c r="AC9" s="75">
        <v>0</v>
      </c>
      <c r="AD9" s="76">
        <v>0</v>
      </c>
      <c r="AE9" s="77">
        <v>1.2142857143000001</v>
      </c>
      <c r="AF9" s="75">
        <v>2.4285714286000002</v>
      </c>
      <c r="AG9" s="78">
        <v>19.177472049537762</v>
      </c>
      <c r="AH9" s="79">
        <v>23.012966459677887</v>
      </c>
      <c r="AI9" s="74">
        <v>7.6709888198151051</v>
      </c>
      <c r="AJ9" s="75">
        <v>0</v>
      </c>
      <c r="AK9" s="75">
        <v>0</v>
      </c>
      <c r="AL9" s="80">
        <v>7.6709888198151051</v>
      </c>
      <c r="AM9" s="74">
        <v>0</v>
      </c>
      <c r="AN9" s="74">
        <v>0</v>
      </c>
      <c r="AO9" s="81" t="s">
        <v>403</v>
      </c>
      <c r="AP9" s="82">
        <v>0</v>
      </c>
      <c r="AQ9" s="75">
        <v>0</v>
      </c>
      <c r="AR9" s="75">
        <v>0</v>
      </c>
      <c r="AS9" s="80">
        <v>0</v>
      </c>
      <c r="AT9" s="74">
        <v>0.58683064468864465</v>
      </c>
      <c r="AU9" s="75">
        <v>0.57724190871562298</v>
      </c>
      <c r="AV9" s="75">
        <v>1.1391418397581254</v>
      </c>
      <c r="AW9" s="75">
        <v>0.53735276678876676</v>
      </c>
      <c r="AX9" s="80">
        <v>2.8405671599511599</v>
      </c>
      <c r="AY9" s="81">
        <v>0</v>
      </c>
      <c r="AZ9" s="83" t="s">
        <v>403</v>
      </c>
      <c r="BA9" s="80" t="s">
        <v>403</v>
      </c>
      <c r="BB9" s="84">
        <v>9.8050579095296229</v>
      </c>
      <c r="BC9" s="85">
        <v>8.6074074073264981</v>
      </c>
      <c r="BD9" s="86">
        <v>0.51128000000218776</v>
      </c>
      <c r="BE9" s="84">
        <v>10.342410676318389</v>
      </c>
      <c r="BF9" s="87">
        <v>6.1690688630492216</v>
      </c>
      <c r="BG9" s="88">
        <v>0.53930000000013945</v>
      </c>
      <c r="BH9" s="89">
        <v>0</v>
      </c>
      <c r="BI9" s="90">
        <v>0.4</v>
      </c>
      <c r="BJ9" s="90">
        <v>0.14811999999862477</v>
      </c>
      <c r="BK9" s="91">
        <v>0.54811999999862482</v>
      </c>
      <c r="BL9" s="92">
        <v>8.6659160697714981</v>
      </c>
      <c r="BM9" s="95">
        <v>0</v>
      </c>
      <c r="BN9" t="s">
        <v>402</v>
      </c>
      <c r="BO9">
        <v>0.85994999999999999</v>
      </c>
    </row>
    <row r="10" spans="1:67">
      <c r="A10" s="61" t="str">
        <f t="shared" si="0"/>
        <v>UK</v>
      </c>
      <c r="B10" s="62" t="s">
        <v>64</v>
      </c>
      <c r="C10" s="62" t="s">
        <v>176</v>
      </c>
      <c r="D10" s="63" t="s">
        <v>97</v>
      </c>
      <c r="E10" s="64">
        <v>43831</v>
      </c>
      <c r="F10" s="64">
        <v>43921</v>
      </c>
      <c r="G10" s="65">
        <v>43995</v>
      </c>
      <c r="H10" s="66" t="s">
        <v>132</v>
      </c>
      <c r="I10" s="67">
        <v>3</v>
      </c>
      <c r="J10" s="68">
        <v>2020</v>
      </c>
      <c r="K10" s="69">
        <v>1</v>
      </c>
      <c r="L10" s="70">
        <v>3</v>
      </c>
      <c r="M10" s="71" t="s">
        <v>140</v>
      </c>
      <c r="N10" s="71" t="s">
        <v>162</v>
      </c>
      <c r="O10" s="71" t="s">
        <v>114</v>
      </c>
      <c r="P10" s="71" t="s">
        <v>102</v>
      </c>
      <c r="Q10" s="61" t="s">
        <v>72</v>
      </c>
      <c r="R10" s="63" t="s">
        <v>106</v>
      </c>
      <c r="S10" s="72" t="s">
        <v>465</v>
      </c>
      <c r="T10" s="61" t="s">
        <v>466</v>
      </c>
      <c r="U10" s="73" t="s">
        <v>467</v>
      </c>
      <c r="V10" s="62">
        <v>107424</v>
      </c>
      <c r="W10" s="62" t="s">
        <v>454</v>
      </c>
      <c r="X10" s="62" t="s">
        <v>402</v>
      </c>
      <c r="Y10" s="93">
        <v>1</v>
      </c>
      <c r="Z10" s="94">
        <v>1</v>
      </c>
      <c r="AA10" s="74">
        <v>4208</v>
      </c>
      <c r="AB10" s="75">
        <v>6053</v>
      </c>
      <c r="AC10" s="75">
        <v>80299.863123437419</v>
      </c>
      <c r="AD10" s="76">
        <v>96359.835747427176</v>
      </c>
      <c r="AE10" s="77">
        <v>4408.9092342000004</v>
      </c>
      <c r="AF10" s="75">
        <v>6019.1849042000003</v>
      </c>
      <c r="AG10" s="78">
        <v>89123.495834641551</v>
      </c>
      <c r="AH10" s="79">
        <v>106948.19500203501</v>
      </c>
      <c r="AI10" s="74">
        <v>36540.633292633298</v>
      </c>
      <c r="AJ10" s="75">
        <v>0</v>
      </c>
      <c r="AK10" s="75">
        <v>0</v>
      </c>
      <c r="AL10" s="80">
        <v>36540.633292633298</v>
      </c>
      <c r="AM10" s="74">
        <v>17</v>
      </c>
      <c r="AN10" s="74">
        <v>1</v>
      </c>
      <c r="AO10" s="81">
        <v>5.8823529411764705E-2</v>
      </c>
      <c r="AP10" s="82">
        <v>69</v>
      </c>
      <c r="AQ10" s="75">
        <v>3802.1280765160768</v>
      </c>
      <c r="AR10" s="75">
        <v>6119.6232621664049</v>
      </c>
      <c r="AS10" s="80">
        <v>9921.7513386824812</v>
      </c>
      <c r="AT10" s="74">
        <v>2681.7259896505611</v>
      </c>
      <c r="AU10" s="75">
        <v>2682.6172246060819</v>
      </c>
      <c r="AV10" s="75">
        <v>5205.7033917088202</v>
      </c>
      <c r="AW10" s="75">
        <v>2455.6196806791095</v>
      </c>
      <c r="AX10" s="80">
        <v>13025.666286644573</v>
      </c>
      <c r="AY10" s="81">
        <v>1.14633461337687E-2</v>
      </c>
      <c r="AZ10" s="83">
        <v>143.79349766206494</v>
      </c>
      <c r="BA10" s="80">
        <v>1.6483546354855108</v>
      </c>
      <c r="BB10" s="84">
        <v>34841.148308390017</v>
      </c>
      <c r="BC10" s="85">
        <v>6.6928800368998909</v>
      </c>
      <c r="BD10" s="86">
        <v>0.3909311229558789</v>
      </c>
      <c r="BE10" s="84">
        <v>37296.767989069129</v>
      </c>
      <c r="BF10" s="87">
        <v>4.8681889063639545</v>
      </c>
      <c r="BG10" s="88">
        <v>0.41848412295528681</v>
      </c>
      <c r="BH10" s="89">
        <v>0.11132587704022692</v>
      </c>
      <c r="BI10" s="90">
        <v>0.41000000000482772</v>
      </c>
      <c r="BJ10" s="90">
        <v>0.14615299999914957</v>
      </c>
      <c r="BK10" s="91">
        <v>0.66747887704420417</v>
      </c>
      <c r="BL10" s="92">
        <v>29635.444916681197</v>
      </c>
      <c r="BM10" s="95">
        <v>0</v>
      </c>
      <c r="BN10" t="s">
        <v>402</v>
      </c>
      <c r="BO10">
        <v>0.85994999999999999</v>
      </c>
    </row>
    <row r="11" spans="1:67">
      <c r="A11" s="61" t="str">
        <f t="shared" si="0"/>
        <v>UK</v>
      </c>
      <c r="B11" s="62" t="s">
        <v>64</v>
      </c>
      <c r="C11" s="62" t="s">
        <v>176</v>
      </c>
      <c r="D11" s="63" t="s">
        <v>97</v>
      </c>
      <c r="E11" s="64">
        <v>43831</v>
      </c>
      <c r="F11" s="64">
        <v>43921</v>
      </c>
      <c r="G11" s="65">
        <v>43995</v>
      </c>
      <c r="H11" s="66" t="s">
        <v>132</v>
      </c>
      <c r="I11" s="67">
        <v>3</v>
      </c>
      <c r="J11" s="68">
        <v>2020</v>
      </c>
      <c r="K11" s="69">
        <v>1</v>
      </c>
      <c r="L11" s="70">
        <v>3</v>
      </c>
      <c r="M11" s="71" t="s">
        <v>140</v>
      </c>
      <c r="N11" s="71" t="s">
        <v>18</v>
      </c>
      <c r="O11" s="71" t="s">
        <v>114</v>
      </c>
      <c r="P11" s="71" t="s">
        <v>102</v>
      </c>
      <c r="Q11" s="61" t="s">
        <v>72</v>
      </c>
      <c r="R11" s="63" t="s">
        <v>103</v>
      </c>
      <c r="S11" s="72" t="s">
        <v>468</v>
      </c>
      <c r="T11" s="61" t="s">
        <v>469</v>
      </c>
      <c r="U11" s="73" t="s">
        <v>470</v>
      </c>
      <c r="V11" s="62">
        <v>107088</v>
      </c>
      <c r="W11" s="62" t="s">
        <v>454</v>
      </c>
      <c r="X11" s="62" t="s">
        <v>402</v>
      </c>
      <c r="Y11" s="93">
        <v>1</v>
      </c>
      <c r="Z11" s="94">
        <v>1</v>
      </c>
      <c r="AA11" s="74">
        <v>0</v>
      </c>
      <c r="AB11" s="75">
        <v>0</v>
      </c>
      <c r="AC11" s="75">
        <v>0</v>
      </c>
      <c r="AD11" s="76">
        <v>0</v>
      </c>
      <c r="AE11" s="77">
        <v>96.365013348000005</v>
      </c>
      <c r="AF11" s="75">
        <v>128.90091849000001</v>
      </c>
      <c r="AG11" s="78">
        <v>521.41059523228103</v>
      </c>
      <c r="AH11" s="79">
        <v>625.69271427408569</v>
      </c>
      <c r="AI11" s="74">
        <v>208.5642380952381</v>
      </c>
      <c r="AJ11" s="75">
        <v>0</v>
      </c>
      <c r="AK11" s="75">
        <v>0</v>
      </c>
      <c r="AL11" s="80">
        <v>208.5642380952381</v>
      </c>
      <c r="AM11" s="74">
        <v>0</v>
      </c>
      <c r="AN11" s="74">
        <v>0</v>
      </c>
      <c r="AO11" s="81" t="s">
        <v>403</v>
      </c>
      <c r="AP11" s="82">
        <v>0</v>
      </c>
      <c r="AQ11" s="75">
        <v>0</v>
      </c>
      <c r="AR11" s="75">
        <v>0</v>
      </c>
      <c r="AS11" s="80">
        <v>0</v>
      </c>
      <c r="AT11" s="74">
        <v>15.955164214198501</v>
      </c>
      <c r="AU11" s="75">
        <v>15.694458916216059</v>
      </c>
      <c r="AV11" s="75">
        <v>30.971789356357927</v>
      </c>
      <c r="AW11" s="75">
        <v>14.609924878190593</v>
      </c>
      <c r="AX11" s="80">
        <v>77.231337364963082</v>
      </c>
      <c r="AY11" s="81">
        <v>0</v>
      </c>
      <c r="AZ11" s="83" t="s">
        <v>403</v>
      </c>
      <c r="BA11" s="80" t="s">
        <v>403</v>
      </c>
      <c r="BB11" s="84">
        <v>266.58680912843778</v>
      </c>
      <c r="BC11" s="85">
        <v>8.607407407467484</v>
      </c>
      <c r="BD11" s="86">
        <v>0.51127999999631224</v>
      </c>
      <c r="BE11" s="84">
        <v>281.19673400662839</v>
      </c>
      <c r="BF11" s="87">
        <v>6.1690688630024404</v>
      </c>
      <c r="BG11" s="88">
        <v>0.53929999999589429</v>
      </c>
      <c r="BH11" s="89">
        <v>0</v>
      </c>
      <c r="BI11" s="90">
        <v>0.4000000000044604</v>
      </c>
      <c r="BJ11" s="90">
        <v>0.14811999999838441</v>
      </c>
      <c r="BK11" s="91">
        <v>0.54812000000284478</v>
      </c>
      <c r="BL11" s="92">
        <v>235.61501977207985</v>
      </c>
      <c r="BM11" s="95">
        <v>0</v>
      </c>
      <c r="BN11" t="s">
        <v>402</v>
      </c>
      <c r="BO11">
        <v>0.85994999999999999</v>
      </c>
    </row>
    <row r="12" spans="1:67">
      <c r="A12" s="61" t="str">
        <f t="shared" si="0"/>
        <v>UK</v>
      </c>
      <c r="B12" s="62" t="s">
        <v>64</v>
      </c>
      <c r="C12" s="62" t="s">
        <v>176</v>
      </c>
      <c r="D12" s="63" t="s">
        <v>97</v>
      </c>
      <c r="E12" s="64">
        <v>43831</v>
      </c>
      <c r="F12" s="64">
        <v>43921</v>
      </c>
      <c r="G12" s="65">
        <v>43995</v>
      </c>
      <c r="H12" s="66" t="s">
        <v>132</v>
      </c>
      <c r="I12" s="67">
        <v>3</v>
      </c>
      <c r="J12" s="68">
        <v>2020</v>
      </c>
      <c r="K12" s="69">
        <v>1</v>
      </c>
      <c r="L12" s="70">
        <v>3</v>
      </c>
      <c r="M12" s="71" t="s">
        <v>140</v>
      </c>
      <c r="N12" s="71" t="s">
        <v>18</v>
      </c>
      <c r="O12" s="71" t="s">
        <v>114</v>
      </c>
      <c r="P12" s="71" t="s">
        <v>102</v>
      </c>
      <c r="Q12" s="61" t="s">
        <v>72</v>
      </c>
      <c r="R12" s="63" t="s">
        <v>103</v>
      </c>
      <c r="S12" s="72" t="s">
        <v>468</v>
      </c>
      <c r="T12" s="61" t="s">
        <v>469</v>
      </c>
      <c r="U12" s="73" t="s">
        <v>471</v>
      </c>
      <c r="V12" s="62">
        <v>107973</v>
      </c>
      <c r="W12" s="62" t="s">
        <v>454</v>
      </c>
      <c r="X12" s="62" t="s">
        <v>402</v>
      </c>
      <c r="Y12" s="93">
        <v>1</v>
      </c>
      <c r="Z12" s="94">
        <v>1</v>
      </c>
      <c r="AA12" s="74">
        <v>641</v>
      </c>
      <c r="AB12" s="75">
        <v>896</v>
      </c>
      <c r="AC12" s="75">
        <v>4551.3595668352809</v>
      </c>
      <c r="AD12" s="76">
        <v>5461.6314802023371</v>
      </c>
      <c r="AE12" s="77">
        <v>292.72585788999999</v>
      </c>
      <c r="AF12" s="75">
        <v>342.57106073</v>
      </c>
      <c r="AG12" s="78">
        <v>1419.436233501948</v>
      </c>
      <c r="AH12" s="79">
        <v>1703.3234802023374</v>
      </c>
      <c r="AI12" s="74">
        <v>567.77449338915051</v>
      </c>
      <c r="AJ12" s="75">
        <v>0</v>
      </c>
      <c r="AK12" s="75">
        <v>0</v>
      </c>
      <c r="AL12" s="80">
        <v>567.77449338915051</v>
      </c>
      <c r="AM12" s="74">
        <v>0</v>
      </c>
      <c r="AN12" s="74">
        <v>0</v>
      </c>
      <c r="AO12" s="81" t="s">
        <v>403</v>
      </c>
      <c r="AP12" s="82">
        <v>14</v>
      </c>
      <c r="AQ12" s="75">
        <v>0</v>
      </c>
      <c r="AR12" s="75">
        <v>0</v>
      </c>
      <c r="AS12" s="80">
        <v>0</v>
      </c>
      <c r="AT12" s="74">
        <v>43.4347487435316</v>
      </c>
      <c r="AU12" s="75">
        <v>42.725030627362059</v>
      </c>
      <c r="AV12" s="75">
        <v>84.314512268155127</v>
      </c>
      <c r="AW12" s="75">
        <v>39.772603261817551</v>
      </c>
      <c r="AX12" s="80">
        <v>210.24689490086632</v>
      </c>
      <c r="AY12" s="81">
        <v>4.0867433373288374E-2</v>
      </c>
      <c r="AZ12" s="83">
        <v>0</v>
      </c>
      <c r="BA12" s="80">
        <v>0</v>
      </c>
      <c r="BB12" s="84">
        <v>725.72935748008626</v>
      </c>
      <c r="BC12" s="85">
        <v>8.6074074077777478</v>
      </c>
      <c r="BD12" s="86">
        <v>0.51128000001071572</v>
      </c>
      <c r="BE12" s="84">
        <v>765.50196074190376</v>
      </c>
      <c r="BF12" s="87">
        <v>6.1690688632132824</v>
      </c>
      <c r="BG12" s="88">
        <v>0.53930000001007672</v>
      </c>
      <c r="BH12" s="89">
        <v>0</v>
      </c>
      <c r="BI12" s="90">
        <v>0.39999999999180752</v>
      </c>
      <c r="BJ12" s="90">
        <v>0.14811999999616593</v>
      </c>
      <c r="BK12" s="91">
        <v>0.54811999998797345</v>
      </c>
      <c r="BL12" s="92">
        <v>641.41484521193115</v>
      </c>
      <c r="BM12" s="95">
        <v>0</v>
      </c>
      <c r="BN12" t="s">
        <v>402</v>
      </c>
      <c r="BO12">
        <v>0.85994999999999999</v>
      </c>
    </row>
    <row r="13" spans="1:67">
      <c r="A13" s="61" t="str">
        <f t="shared" si="0"/>
        <v>UK</v>
      </c>
      <c r="B13" s="62" t="s">
        <v>64</v>
      </c>
      <c r="C13" s="62" t="s">
        <v>176</v>
      </c>
      <c r="D13" s="63" t="s">
        <v>97</v>
      </c>
      <c r="E13" s="64">
        <v>43831</v>
      </c>
      <c r="F13" s="64">
        <v>43921</v>
      </c>
      <c r="G13" s="65">
        <v>43995</v>
      </c>
      <c r="H13" s="66" t="s">
        <v>132</v>
      </c>
      <c r="I13" s="67">
        <v>3</v>
      </c>
      <c r="J13" s="68">
        <v>2020</v>
      </c>
      <c r="K13" s="69">
        <v>1</v>
      </c>
      <c r="L13" s="70">
        <v>3</v>
      </c>
      <c r="M13" s="71" t="s">
        <v>140</v>
      </c>
      <c r="N13" s="71" t="s">
        <v>18</v>
      </c>
      <c r="O13" s="71" t="s">
        <v>114</v>
      </c>
      <c r="P13" s="71" t="s">
        <v>102</v>
      </c>
      <c r="Q13" s="61" t="s">
        <v>72</v>
      </c>
      <c r="R13" s="63" t="s">
        <v>106</v>
      </c>
      <c r="S13" s="72" t="s">
        <v>468</v>
      </c>
      <c r="T13" s="61" t="s">
        <v>469</v>
      </c>
      <c r="U13" s="73" t="s">
        <v>472</v>
      </c>
      <c r="V13" s="62">
        <v>107089</v>
      </c>
      <c r="W13" s="62" t="s">
        <v>454</v>
      </c>
      <c r="X13" s="62" t="s">
        <v>402</v>
      </c>
      <c r="Y13" s="93">
        <v>1</v>
      </c>
      <c r="Z13" s="94">
        <v>1</v>
      </c>
      <c r="AA13" s="74">
        <v>0</v>
      </c>
      <c r="AB13" s="75">
        <v>0</v>
      </c>
      <c r="AC13" s="75">
        <v>0</v>
      </c>
      <c r="AD13" s="76">
        <v>0</v>
      </c>
      <c r="AE13" s="77">
        <v>101.28976668</v>
      </c>
      <c r="AF13" s="75">
        <v>147.07787927000001</v>
      </c>
      <c r="AG13" s="78">
        <v>1783.121151113437</v>
      </c>
      <c r="AH13" s="79">
        <v>2139.7453812430954</v>
      </c>
      <c r="AI13" s="74">
        <v>713.24846042211755</v>
      </c>
      <c r="AJ13" s="75">
        <v>0</v>
      </c>
      <c r="AK13" s="75">
        <v>0</v>
      </c>
      <c r="AL13" s="80">
        <v>713.24846042211755</v>
      </c>
      <c r="AM13" s="74">
        <v>0</v>
      </c>
      <c r="AN13" s="74">
        <v>0</v>
      </c>
      <c r="AO13" s="81" t="s">
        <v>403</v>
      </c>
      <c r="AP13" s="82">
        <v>0</v>
      </c>
      <c r="AQ13" s="75">
        <v>0</v>
      </c>
      <c r="AR13" s="75">
        <v>0</v>
      </c>
      <c r="AS13" s="80">
        <v>0</v>
      </c>
      <c r="AT13" s="74">
        <v>54.563507222512939</v>
      </c>
      <c r="AU13" s="75">
        <v>53.671946646898078</v>
      </c>
      <c r="AV13" s="75">
        <v>105.91739637304494</v>
      </c>
      <c r="AW13" s="75">
        <v>49.963054653177515</v>
      </c>
      <c r="AX13" s="80">
        <v>264.11590489563343</v>
      </c>
      <c r="AY13" s="81">
        <v>0</v>
      </c>
      <c r="AZ13" s="83" t="s">
        <v>403</v>
      </c>
      <c r="BA13" s="80" t="s">
        <v>403</v>
      </c>
      <c r="BB13" s="84">
        <v>911.67418216873091</v>
      </c>
      <c r="BC13" s="85">
        <v>8.6074074079179699</v>
      </c>
      <c r="BD13" s="86">
        <v>0.51128000001539597</v>
      </c>
      <c r="BE13" s="84">
        <v>961.63723682190846</v>
      </c>
      <c r="BF13" s="87">
        <v>6.1690688632928081</v>
      </c>
      <c r="BG13" s="88">
        <v>0.53930000001482337</v>
      </c>
      <c r="BH13" s="89">
        <v>0</v>
      </c>
      <c r="BI13" s="90">
        <v>0.39999999998695701</v>
      </c>
      <c r="BJ13" s="90">
        <v>0.1481199999959123</v>
      </c>
      <c r="BK13" s="91">
        <v>0.54811999998286931</v>
      </c>
      <c r="BL13" s="92">
        <v>805.75678579568603</v>
      </c>
      <c r="BM13" s="95">
        <v>0</v>
      </c>
      <c r="BN13" t="s">
        <v>402</v>
      </c>
      <c r="BO13">
        <v>0.85994999999999999</v>
      </c>
    </row>
    <row r="14" spans="1:67">
      <c r="A14" s="61" t="str">
        <f t="shared" si="0"/>
        <v>UK</v>
      </c>
      <c r="B14" s="62" t="s">
        <v>64</v>
      </c>
      <c r="C14" s="62" t="s">
        <v>176</v>
      </c>
      <c r="D14" s="63" t="s">
        <v>97</v>
      </c>
      <c r="E14" s="64">
        <v>43831</v>
      </c>
      <c r="F14" s="64">
        <v>43921</v>
      </c>
      <c r="G14" s="65">
        <v>43995</v>
      </c>
      <c r="H14" s="66" t="s">
        <v>132</v>
      </c>
      <c r="I14" s="67">
        <v>3</v>
      </c>
      <c r="J14" s="68">
        <v>2020</v>
      </c>
      <c r="K14" s="69">
        <v>1</v>
      </c>
      <c r="L14" s="70">
        <v>3</v>
      </c>
      <c r="M14" s="71" t="s">
        <v>140</v>
      </c>
      <c r="N14" s="71" t="s">
        <v>18</v>
      </c>
      <c r="O14" s="71" t="s">
        <v>114</v>
      </c>
      <c r="P14" s="71" t="s">
        <v>102</v>
      </c>
      <c r="Q14" s="61" t="s">
        <v>72</v>
      </c>
      <c r="R14" s="63" t="s">
        <v>106</v>
      </c>
      <c r="S14" s="72" t="s">
        <v>468</v>
      </c>
      <c r="T14" s="61" t="s">
        <v>469</v>
      </c>
      <c r="U14" s="73" t="s">
        <v>473</v>
      </c>
      <c r="V14" s="62">
        <v>107974</v>
      </c>
      <c r="W14" s="62" t="s">
        <v>454</v>
      </c>
      <c r="X14" s="62" t="s">
        <v>402</v>
      </c>
      <c r="Y14" s="93">
        <v>1</v>
      </c>
      <c r="Z14" s="94">
        <v>1</v>
      </c>
      <c r="AA14" s="74">
        <v>742</v>
      </c>
      <c r="AB14" s="75">
        <v>1028</v>
      </c>
      <c r="AC14" s="75">
        <v>16574.25821617536</v>
      </c>
      <c r="AD14" s="76">
        <v>19889.109858712716</v>
      </c>
      <c r="AE14" s="77">
        <v>325.41896349000001</v>
      </c>
      <c r="AF14" s="75">
        <v>391.49165127999999</v>
      </c>
      <c r="AG14" s="78">
        <v>5347.6487479504622</v>
      </c>
      <c r="AH14" s="79">
        <v>6417.1784975870687</v>
      </c>
      <c r="AI14" s="74">
        <v>2139.0594991569278</v>
      </c>
      <c r="AJ14" s="75">
        <v>0</v>
      </c>
      <c r="AK14" s="75">
        <v>0</v>
      </c>
      <c r="AL14" s="80">
        <v>2139.0594991569278</v>
      </c>
      <c r="AM14" s="74">
        <v>0</v>
      </c>
      <c r="AN14" s="74">
        <v>0</v>
      </c>
      <c r="AO14" s="81" t="s">
        <v>403</v>
      </c>
      <c r="AP14" s="82">
        <v>12</v>
      </c>
      <c r="AQ14" s="75">
        <v>0</v>
      </c>
      <c r="AR14" s="75">
        <v>0</v>
      </c>
      <c r="AS14" s="80">
        <v>0</v>
      </c>
      <c r="AT14" s="74">
        <v>163.63805168905171</v>
      </c>
      <c r="AU14" s="75">
        <v>160.96422731554159</v>
      </c>
      <c r="AV14" s="75">
        <v>317.65033563579277</v>
      </c>
      <c r="AW14" s="75">
        <v>149.84111791383222</v>
      </c>
      <c r="AX14" s="80">
        <v>792.09373255421838</v>
      </c>
      <c r="AY14" s="81">
        <v>3.0651994648584324E-2</v>
      </c>
      <c r="AZ14" s="83">
        <v>0</v>
      </c>
      <c r="BA14" s="80">
        <v>0</v>
      </c>
      <c r="BB14" s="84">
        <v>2734.1458518751092</v>
      </c>
      <c r="BC14" s="85">
        <v>8.6074074072756197</v>
      </c>
      <c r="BD14" s="86">
        <v>0.51128000000430041</v>
      </c>
      <c r="BE14" s="84">
        <v>2883.9869697889412</v>
      </c>
      <c r="BF14" s="87">
        <v>6.1690688629515256</v>
      </c>
      <c r="BG14" s="88">
        <v>0.53930000000360101</v>
      </c>
      <c r="BH14" s="89">
        <v>0</v>
      </c>
      <c r="BI14" s="90">
        <v>0.399999999995651</v>
      </c>
      <c r="BJ14" s="90">
        <v>0.14812000000145784</v>
      </c>
      <c r="BK14" s="91">
        <v>0.54811999999710881</v>
      </c>
      <c r="BL14" s="92">
        <v>2416.4955162393162</v>
      </c>
      <c r="BM14" s="95">
        <v>0</v>
      </c>
      <c r="BN14" t="s">
        <v>402</v>
      </c>
      <c r="BO14">
        <v>0.85994999999999999</v>
      </c>
    </row>
    <row r="15" spans="1:67">
      <c r="A15" s="61" t="str">
        <f t="shared" si="0"/>
        <v>UK</v>
      </c>
      <c r="B15" s="62" t="s">
        <v>64</v>
      </c>
      <c r="C15" s="62" t="s">
        <v>176</v>
      </c>
      <c r="D15" s="63" t="s">
        <v>97</v>
      </c>
      <c r="E15" s="64">
        <v>43831</v>
      </c>
      <c r="F15" s="64">
        <v>43921</v>
      </c>
      <c r="G15" s="65">
        <v>43995</v>
      </c>
      <c r="H15" s="66" t="s">
        <v>132</v>
      </c>
      <c r="I15" s="67">
        <v>3</v>
      </c>
      <c r="J15" s="68">
        <v>2020</v>
      </c>
      <c r="K15" s="69">
        <v>1</v>
      </c>
      <c r="L15" s="70">
        <v>3</v>
      </c>
      <c r="M15" s="71" t="s">
        <v>140</v>
      </c>
      <c r="N15" s="71" t="s">
        <v>18</v>
      </c>
      <c r="O15" s="71" t="s">
        <v>114</v>
      </c>
      <c r="P15" s="71" t="s">
        <v>102</v>
      </c>
      <c r="Q15" s="61" t="s">
        <v>474</v>
      </c>
      <c r="R15" s="63" t="s">
        <v>112</v>
      </c>
      <c r="S15" s="72" t="s">
        <v>475</v>
      </c>
      <c r="T15" s="61" t="s">
        <v>476</v>
      </c>
      <c r="U15" s="73" t="s">
        <v>477</v>
      </c>
      <c r="V15" s="62">
        <v>106946</v>
      </c>
      <c r="W15" s="62" t="s">
        <v>478</v>
      </c>
      <c r="X15" s="62" t="s">
        <v>402</v>
      </c>
      <c r="Y15" s="93">
        <v>1</v>
      </c>
      <c r="Z15" s="94">
        <v>1</v>
      </c>
      <c r="AA15" s="74">
        <v>0</v>
      </c>
      <c r="AB15" s="75">
        <v>0</v>
      </c>
      <c r="AC15" s="75">
        <v>0</v>
      </c>
      <c r="AD15" s="76">
        <v>0</v>
      </c>
      <c r="AE15" s="77">
        <v>0</v>
      </c>
      <c r="AF15" s="75">
        <v>0</v>
      </c>
      <c r="AG15" s="78">
        <v>0</v>
      </c>
      <c r="AH15" s="79">
        <v>0</v>
      </c>
      <c r="AI15" s="74">
        <v>0</v>
      </c>
      <c r="AJ15" s="75">
        <v>0</v>
      </c>
      <c r="AK15" s="75">
        <v>0</v>
      </c>
      <c r="AL15" s="80">
        <v>0</v>
      </c>
      <c r="AM15" s="74">
        <v>0</v>
      </c>
      <c r="AN15" s="74">
        <v>0</v>
      </c>
      <c r="AO15" s="81" t="s">
        <v>403</v>
      </c>
      <c r="AP15" s="82">
        <v>0</v>
      </c>
      <c r="AQ15" s="75">
        <v>0</v>
      </c>
      <c r="AR15" s="75">
        <v>0</v>
      </c>
      <c r="AS15" s="80">
        <v>0</v>
      </c>
      <c r="AT15" s="74">
        <v>0</v>
      </c>
      <c r="AU15" s="75">
        <v>0</v>
      </c>
      <c r="AV15" s="75">
        <v>0</v>
      </c>
      <c r="AW15" s="75">
        <v>0</v>
      </c>
      <c r="AX15" s="80">
        <v>0</v>
      </c>
      <c r="AY15" s="81" t="s">
        <v>403</v>
      </c>
      <c r="AZ15" s="83" t="s">
        <v>403</v>
      </c>
      <c r="BA15" s="80" t="s">
        <v>403</v>
      </c>
      <c r="BB15" s="84">
        <v>0</v>
      </c>
      <c r="BC15" s="85" t="s">
        <v>403</v>
      </c>
      <c r="BD15" s="86" t="s">
        <v>403</v>
      </c>
      <c r="BE15" s="84">
        <v>0</v>
      </c>
      <c r="BF15" s="87" t="s">
        <v>403</v>
      </c>
      <c r="BG15" s="88" t="s">
        <v>403</v>
      </c>
      <c r="BH15" s="89" t="s">
        <v>403</v>
      </c>
      <c r="BI15" s="90" t="s">
        <v>403</v>
      </c>
      <c r="BJ15" s="90" t="s">
        <v>403</v>
      </c>
      <c r="BK15" s="91">
        <v>0</v>
      </c>
      <c r="BL15" s="92">
        <v>0</v>
      </c>
      <c r="BM15" s="95">
        <v>0</v>
      </c>
      <c r="BN15" t="s">
        <v>402</v>
      </c>
      <c r="BO15">
        <v>0.85994999999999999</v>
      </c>
    </row>
    <row r="16" spans="1:67">
      <c r="A16" s="61" t="str">
        <f t="shared" si="0"/>
        <v>UK</v>
      </c>
      <c r="B16" s="62" t="s">
        <v>64</v>
      </c>
      <c r="C16" s="62" t="s">
        <v>176</v>
      </c>
      <c r="D16" s="63" t="s">
        <v>97</v>
      </c>
      <c r="E16" s="64">
        <v>43831</v>
      </c>
      <c r="F16" s="64">
        <v>43921</v>
      </c>
      <c r="G16" s="65">
        <v>43995</v>
      </c>
      <c r="H16" s="66" t="s">
        <v>132</v>
      </c>
      <c r="I16" s="67">
        <v>3</v>
      </c>
      <c r="J16" s="68">
        <v>2020</v>
      </c>
      <c r="K16" s="69">
        <v>1</v>
      </c>
      <c r="L16" s="70">
        <v>3</v>
      </c>
      <c r="M16" s="71" t="s">
        <v>140</v>
      </c>
      <c r="N16" s="71" t="s">
        <v>18</v>
      </c>
      <c r="O16" s="71" t="s">
        <v>114</v>
      </c>
      <c r="P16" s="71" t="s">
        <v>102</v>
      </c>
      <c r="Q16" s="61" t="s">
        <v>474</v>
      </c>
      <c r="R16" s="63" t="s">
        <v>112</v>
      </c>
      <c r="S16" s="72" t="s">
        <v>475</v>
      </c>
      <c r="T16" s="61" t="s">
        <v>476</v>
      </c>
      <c r="U16" s="73" t="s">
        <v>479</v>
      </c>
      <c r="V16" s="62">
        <v>106947</v>
      </c>
      <c r="W16" s="62" t="s">
        <v>478</v>
      </c>
      <c r="X16" s="62" t="s">
        <v>402</v>
      </c>
      <c r="Y16" s="93">
        <v>1</v>
      </c>
      <c r="Z16" s="94">
        <v>1</v>
      </c>
      <c r="AA16" s="74">
        <v>0</v>
      </c>
      <c r="AB16" s="75">
        <v>0</v>
      </c>
      <c r="AC16" s="75">
        <v>0</v>
      </c>
      <c r="AD16" s="76">
        <v>0</v>
      </c>
      <c r="AE16" s="77">
        <v>0</v>
      </c>
      <c r="AF16" s="75">
        <v>0</v>
      </c>
      <c r="AG16" s="78">
        <v>0</v>
      </c>
      <c r="AH16" s="79">
        <v>0</v>
      </c>
      <c r="AI16" s="74">
        <v>0</v>
      </c>
      <c r="AJ16" s="75">
        <v>0</v>
      </c>
      <c r="AK16" s="75">
        <v>0</v>
      </c>
      <c r="AL16" s="80">
        <v>0</v>
      </c>
      <c r="AM16" s="74">
        <v>0</v>
      </c>
      <c r="AN16" s="74">
        <v>0</v>
      </c>
      <c r="AO16" s="81" t="s">
        <v>403</v>
      </c>
      <c r="AP16" s="82">
        <v>0</v>
      </c>
      <c r="AQ16" s="75">
        <v>0</v>
      </c>
      <c r="AR16" s="75">
        <v>0</v>
      </c>
      <c r="AS16" s="80">
        <v>0</v>
      </c>
      <c r="AT16" s="74">
        <v>0</v>
      </c>
      <c r="AU16" s="75">
        <v>0</v>
      </c>
      <c r="AV16" s="75">
        <v>0</v>
      </c>
      <c r="AW16" s="75">
        <v>0</v>
      </c>
      <c r="AX16" s="80">
        <v>0</v>
      </c>
      <c r="AY16" s="81" t="s">
        <v>403</v>
      </c>
      <c r="AZ16" s="83" t="s">
        <v>403</v>
      </c>
      <c r="BA16" s="80" t="s">
        <v>403</v>
      </c>
      <c r="BB16" s="84">
        <v>0</v>
      </c>
      <c r="BC16" s="85" t="s">
        <v>403</v>
      </c>
      <c r="BD16" s="86" t="s">
        <v>403</v>
      </c>
      <c r="BE16" s="84">
        <v>0</v>
      </c>
      <c r="BF16" s="87" t="s">
        <v>403</v>
      </c>
      <c r="BG16" s="88" t="s">
        <v>403</v>
      </c>
      <c r="BH16" s="89" t="s">
        <v>403</v>
      </c>
      <c r="BI16" s="90" t="s">
        <v>403</v>
      </c>
      <c r="BJ16" s="90" t="s">
        <v>403</v>
      </c>
      <c r="BK16" s="91">
        <v>0</v>
      </c>
      <c r="BL16" s="92">
        <v>0</v>
      </c>
      <c r="BM16" s="95">
        <v>0</v>
      </c>
      <c r="BN16" t="s">
        <v>402</v>
      </c>
      <c r="BO16">
        <v>0.85994999999999999</v>
      </c>
    </row>
    <row r="17" spans="1:67">
      <c r="A17" s="61" t="str">
        <f t="shared" si="0"/>
        <v>UK</v>
      </c>
      <c r="B17" s="62" t="s">
        <v>64</v>
      </c>
      <c r="C17" s="62" t="s">
        <v>176</v>
      </c>
      <c r="D17" s="63" t="s">
        <v>97</v>
      </c>
      <c r="E17" s="64">
        <v>43831</v>
      </c>
      <c r="F17" s="64">
        <v>43921</v>
      </c>
      <c r="G17" s="65">
        <v>43995</v>
      </c>
      <c r="H17" s="66" t="s">
        <v>132</v>
      </c>
      <c r="I17" s="67">
        <v>3</v>
      </c>
      <c r="J17" s="68">
        <v>2020</v>
      </c>
      <c r="K17" s="69">
        <v>1</v>
      </c>
      <c r="L17" s="70">
        <v>3</v>
      </c>
      <c r="M17" s="71" t="s">
        <v>140</v>
      </c>
      <c r="N17" s="71" t="s">
        <v>18</v>
      </c>
      <c r="O17" s="71" t="s">
        <v>114</v>
      </c>
      <c r="P17" s="71" t="s">
        <v>102</v>
      </c>
      <c r="Q17" s="61" t="s">
        <v>72</v>
      </c>
      <c r="R17" s="63" t="s">
        <v>112</v>
      </c>
      <c r="S17" s="72" t="s">
        <v>480</v>
      </c>
      <c r="T17" s="61" t="s">
        <v>481</v>
      </c>
      <c r="U17" s="73" t="s">
        <v>482</v>
      </c>
      <c r="V17" s="62">
        <v>107618</v>
      </c>
      <c r="W17" s="62" t="s">
        <v>478</v>
      </c>
      <c r="X17" s="62" t="s">
        <v>402</v>
      </c>
      <c r="Y17" s="93">
        <v>1</v>
      </c>
      <c r="Z17" s="94">
        <v>1</v>
      </c>
      <c r="AA17" s="74">
        <v>6</v>
      </c>
      <c r="AB17" s="75">
        <v>19</v>
      </c>
      <c r="AC17" s="75">
        <v>204.83748788883076</v>
      </c>
      <c r="AD17" s="76">
        <v>245.8049854642712</v>
      </c>
      <c r="AE17" s="77">
        <v>8.0430766676999994</v>
      </c>
      <c r="AF17" s="75">
        <v>23.347470439999999</v>
      </c>
      <c r="AG17" s="78">
        <v>274.58726992266992</v>
      </c>
      <c r="AH17" s="79">
        <v>329.50472390255248</v>
      </c>
      <c r="AI17" s="74">
        <v>99.450416207919062</v>
      </c>
      <c r="AJ17" s="75">
        <v>0</v>
      </c>
      <c r="AK17" s="75">
        <v>0</v>
      </c>
      <c r="AL17" s="80">
        <v>99.450416207919062</v>
      </c>
      <c r="AM17" s="74">
        <v>0</v>
      </c>
      <c r="AN17" s="74">
        <v>0</v>
      </c>
      <c r="AO17" s="81" t="s">
        <v>403</v>
      </c>
      <c r="AP17" s="82">
        <v>0</v>
      </c>
      <c r="AQ17" s="75">
        <v>0</v>
      </c>
      <c r="AR17" s="75">
        <v>0</v>
      </c>
      <c r="AS17" s="80">
        <v>0</v>
      </c>
      <c r="AT17" s="74">
        <v>8.9319795392755399</v>
      </c>
      <c r="AU17" s="75">
        <v>8.2650768245828239</v>
      </c>
      <c r="AV17" s="75">
        <v>17.338548516774232</v>
      </c>
      <c r="AW17" s="75">
        <v>8.1788910683179257</v>
      </c>
      <c r="AX17" s="80">
        <v>42.714495948950521</v>
      </c>
      <c r="AY17" s="81">
        <v>0</v>
      </c>
      <c r="AZ17" s="83" t="s">
        <v>403</v>
      </c>
      <c r="BA17" s="80" t="s">
        <v>403</v>
      </c>
      <c r="BB17" s="84">
        <v>149.76090628257458</v>
      </c>
      <c r="BC17" s="85">
        <v>8.6374534833574987</v>
      </c>
      <c r="BD17" s="86">
        <v>0.5454036755773517</v>
      </c>
      <c r="BE17" s="84">
        <v>157.93979735089249</v>
      </c>
      <c r="BF17" s="87">
        <v>6.1894845219174872</v>
      </c>
      <c r="BG17" s="88">
        <v>0.57518980175363543</v>
      </c>
      <c r="BH17" s="89">
        <v>0</v>
      </c>
      <c r="BI17" s="90">
        <v>0.36218145231542082</v>
      </c>
      <c r="BJ17" s="90">
        <v>0.15555890832440958</v>
      </c>
      <c r="BK17" s="91">
        <v>0.51774036063983042</v>
      </c>
      <c r="BL17" s="92">
        <v>132.42235776580034</v>
      </c>
      <c r="BM17" s="95">
        <v>0</v>
      </c>
      <c r="BN17" t="s">
        <v>402</v>
      </c>
      <c r="BO17">
        <v>0.85994999999999999</v>
      </c>
    </row>
    <row r="18" spans="1:67">
      <c r="A18" s="61" t="str">
        <f t="shared" si="0"/>
        <v>UK</v>
      </c>
      <c r="B18" s="62" t="s">
        <v>64</v>
      </c>
      <c r="C18" s="62" t="s">
        <v>176</v>
      </c>
      <c r="D18" s="63" t="s">
        <v>97</v>
      </c>
      <c r="E18" s="64">
        <v>43831</v>
      </c>
      <c r="F18" s="64">
        <v>43921</v>
      </c>
      <c r="G18" s="65">
        <v>43995</v>
      </c>
      <c r="H18" s="66" t="s">
        <v>132</v>
      </c>
      <c r="I18" s="67">
        <v>3</v>
      </c>
      <c r="J18" s="68">
        <v>2020</v>
      </c>
      <c r="K18" s="69">
        <v>1</v>
      </c>
      <c r="L18" s="70">
        <v>3</v>
      </c>
      <c r="M18" s="71" t="s">
        <v>140</v>
      </c>
      <c r="N18" s="71" t="s">
        <v>18</v>
      </c>
      <c r="O18" s="71" t="s">
        <v>78</v>
      </c>
      <c r="P18" s="71" t="s">
        <v>102</v>
      </c>
      <c r="Q18" s="61" t="s">
        <v>117</v>
      </c>
      <c r="R18" s="63" t="s">
        <v>165</v>
      </c>
      <c r="S18" s="72" t="s">
        <v>483</v>
      </c>
      <c r="T18" s="61" t="s">
        <v>435</v>
      </c>
      <c r="U18" s="73" t="s">
        <v>484</v>
      </c>
      <c r="V18" s="62">
        <v>107383</v>
      </c>
      <c r="W18" s="62" t="s">
        <v>464</v>
      </c>
      <c r="X18" s="62" t="s">
        <v>402</v>
      </c>
      <c r="Y18" s="93">
        <v>1</v>
      </c>
      <c r="Z18" s="94">
        <v>1</v>
      </c>
      <c r="AA18" s="74">
        <v>0</v>
      </c>
      <c r="AB18" s="75">
        <v>0</v>
      </c>
      <c r="AC18" s="75">
        <v>0</v>
      </c>
      <c r="AD18" s="76">
        <v>0</v>
      </c>
      <c r="AE18" s="77">
        <v>1.7676034676000001</v>
      </c>
      <c r="AF18" s="75">
        <v>1.7676034676000001</v>
      </c>
      <c r="AG18" s="78">
        <v>150.11180873306586</v>
      </c>
      <c r="AH18" s="79">
        <v>180.13417048665619</v>
      </c>
      <c r="AI18" s="74">
        <v>45.033542621082617</v>
      </c>
      <c r="AJ18" s="75">
        <v>0</v>
      </c>
      <c r="AK18" s="75">
        <v>0</v>
      </c>
      <c r="AL18" s="80">
        <v>45.033542621082617</v>
      </c>
      <c r="AM18" s="74">
        <v>0</v>
      </c>
      <c r="AN18" s="74">
        <v>0</v>
      </c>
      <c r="AO18" s="81" t="s">
        <v>403</v>
      </c>
      <c r="AP18" s="82">
        <v>0</v>
      </c>
      <c r="AQ18" s="75">
        <v>0</v>
      </c>
      <c r="AR18" s="75">
        <v>0</v>
      </c>
      <c r="AS18" s="80">
        <v>0</v>
      </c>
      <c r="AT18" s="74">
        <v>5.3589915719518579</v>
      </c>
      <c r="AU18" s="75">
        <v>4.5183654429908717</v>
      </c>
      <c r="AV18" s="75">
        <v>10.402748345485204</v>
      </c>
      <c r="AW18" s="75">
        <v>4.9071550276178852</v>
      </c>
      <c r="AX18" s="80">
        <v>25.187260388045818</v>
      </c>
      <c r="AY18" s="81">
        <v>0</v>
      </c>
      <c r="AZ18" s="83" t="s">
        <v>403</v>
      </c>
      <c r="BA18" s="80" t="s">
        <v>403</v>
      </c>
      <c r="BB18" s="84">
        <v>90.293754069422619</v>
      </c>
      <c r="BC18" s="85">
        <v>8.679797979407061</v>
      </c>
      <c r="BD18" s="86">
        <v>0.60150999998931576</v>
      </c>
      <c r="BE18" s="84">
        <v>95.200909097040508</v>
      </c>
      <c r="BF18" s="87">
        <v>6.2182566915668716</v>
      </c>
      <c r="BG18" s="88">
        <v>0.63419999999020826</v>
      </c>
      <c r="BH18" s="89">
        <v>0</v>
      </c>
      <c r="BI18" s="90">
        <v>0.30000000000774663</v>
      </c>
      <c r="BJ18" s="90">
        <v>0.16779000000482772</v>
      </c>
      <c r="BK18" s="91">
        <v>0.46779000001257431</v>
      </c>
      <c r="BL18" s="92">
        <v>79.891005723937425</v>
      </c>
      <c r="BM18" s="95">
        <v>0</v>
      </c>
      <c r="BN18" t="s">
        <v>402</v>
      </c>
      <c r="BO18">
        <v>0.85994999999999999</v>
      </c>
    </row>
    <row r="19" spans="1:67">
      <c r="A19" s="61" t="str">
        <f t="shared" si="0"/>
        <v>UK</v>
      </c>
      <c r="B19" s="62" t="s">
        <v>64</v>
      </c>
      <c r="C19" s="62" t="s">
        <v>176</v>
      </c>
      <c r="D19" s="63" t="s">
        <v>97</v>
      </c>
      <c r="E19" s="64">
        <v>43831</v>
      </c>
      <c r="F19" s="64">
        <v>43921</v>
      </c>
      <c r="G19" s="65">
        <v>43995</v>
      </c>
      <c r="H19" s="66" t="s">
        <v>132</v>
      </c>
      <c r="I19" s="67">
        <v>3</v>
      </c>
      <c r="J19" s="68">
        <v>2020</v>
      </c>
      <c r="K19" s="69">
        <v>1</v>
      </c>
      <c r="L19" s="70">
        <v>3</v>
      </c>
      <c r="M19" s="71" t="s">
        <v>140</v>
      </c>
      <c r="N19" s="71" t="s">
        <v>18</v>
      </c>
      <c r="O19" s="71" t="s">
        <v>78</v>
      </c>
      <c r="P19" s="71" t="s">
        <v>102</v>
      </c>
      <c r="Q19" s="61" t="s">
        <v>117</v>
      </c>
      <c r="R19" s="63" t="s">
        <v>165</v>
      </c>
      <c r="S19" s="72" t="s">
        <v>483</v>
      </c>
      <c r="T19" s="61" t="s">
        <v>435</v>
      </c>
      <c r="U19" s="73" t="s">
        <v>485</v>
      </c>
      <c r="V19" s="62">
        <v>107397</v>
      </c>
      <c r="W19" s="62" t="s">
        <v>464</v>
      </c>
      <c r="X19" s="62" t="s">
        <v>402</v>
      </c>
      <c r="Y19" s="93">
        <v>1</v>
      </c>
      <c r="Z19" s="94">
        <v>1</v>
      </c>
      <c r="AA19" s="74">
        <v>0</v>
      </c>
      <c r="AB19" s="75">
        <v>0</v>
      </c>
      <c r="AC19" s="75">
        <v>0</v>
      </c>
      <c r="AD19" s="76">
        <v>0</v>
      </c>
      <c r="AE19" s="77">
        <v>0.18442622950000001</v>
      </c>
      <c r="AF19" s="75">
        <v>0.18442622950000001</v>
      </c>
      <c r="AG19" s="78">
        <v>6.1943650663410663</v>
      </c>
      <c r="AH19" s="79">
        <v>7.4332380796557942</v>
      </c>
      <c r="AI19" s="74">
        <v>1.8583095199720914</v>
      </c>
      <c r="AJ19" s="75">
        <v>0</v>
      </c>
      <c r="AK19" s="75">
        <v>0</v>
      </c>
      <c r="AL19" s="80">
        <v>1.8583095199720914</v>
      </c>
      <c r="AM19" s="74">
        <v>0</v>
      </c>
      <c r="AN19" s="74">
        <v>0</v>
      </c>
      <c r="AO19" s="81" t="s">
        <v>403</v>
      </c>
      <c r="AP19" s="82">
        <v>0</v>
      </c>
      <c r="AQ19" s="75">
        <v>0</v>
      </c>
      <c r="AR19" s="75">
        <v>0</v>
      </c>
      <c r="AS19" s="80">
        <v>0</v>
      </c>
      <c r="AT19" s="74">
        <v>0.22113883283911853</v>
      </c>
      <c r="AU19" s="75">
        <v>0.18645038851095994</v>
      </c>
      <c r="AV19" s="75">
        <v>0.42926949915692775</v>
      </c>
      <c r="AW19" s="75">
        <v>0.20249379405779405</v>
      </c>
      <c r="AX19" s="80">
        <v>1.0393525145648002</v>
      </c>
      <c r="AY19" s="81">
        <v>0</v>
      </c>
      <c r="AZ19" s="83" t="s">
        <v>403</v>
      </c>
      <c r="BA19" s="80" t="s">
        <v>403</v>
      </c>
      <c r="BB19" s="84">
        <v>3.7259725309611023</v>
      </c>
      <c r="BC19" s="85">
        <v>8.6797979783767527</v>
      </c>
      <c r="BD19" s="86">
        <v>0.60150999998487131</v>
      </c>
      <c r="BE19" s="84">
        <v>3.9284663250188965</v>
      </c>
      <c r="BF19" s="87">
        <v>6.2182566907756405</v>
      </c>
      <c r="BG19" s="88">
        <v>0.63419999999118426</v>
      </c>
      <c r="BH19" s="89">
        <v>0</v>
      </c>
      <c r="BI19" s="90">
        <v>0.3000000000112637</v>
      </c>
      <c r="BJ19" s="90">
        <v>0.16779000001346911</v>
      </c>
      <c r="BK19" s="91">
        <v>0.46779000002473281</v>
      </c>
      <c r="BL19" s="92">
        <v>3.2967030318041748</v>
      </c>
      <c r="BM19" s="95">
        <v>0</v>
      </c>
      <c r="BN19" t="s">
        <v>402</v>
      </c>
      <c r="BO19">
        <v>0.85994999999999999</v>
      </c>
    </row>
    <row r="20" spans="1:67">
      <c r="A20" s="61" t="str">
        <f t="shared" si="0"/>
        <v>UK</v>
      </c>
      <c r="B20" s="62" t="s">
        <v>64</v>
      </c>
      <c r="C20" s="62" t="s">
        <v>176</v>
      </c>
      <c r="D20" s="63" t="s">
        <v>97</v>
      </c>
      <c r="E20" s="64">
        <v>43831</v>
      </c>
      <c r="F20" s="64">
        <v>43921</v>
      </c>
      <c r="G20" s="65">
        <v>43995</v>
      </c>
      <c r="H20" s="66" t="s">
        <v>132</v>
      </c>
      <c r="I20" s="67">
        <v>3</v>
      </c>
      <c r="J20" s="68">
        <v>2020</v>
      </c>
      <c r="K20" s="69">
        <v>1</v>
      </c>
      <c r="L20" s="70">
        <v>3</v>
      </c>
      <c r="M20" s="71" t="s">
        <v>140</v>
      </c>
      <c r="N20" s="71" t="s">
        <v>18</v>
      </c>
      <c r="O20" s="71" t="s">
        <v>78</v>
      </c>
      <c r="P20" s="71" t="s">
        <v>102</v>
      </c>
      <c r="Q20" s="61" t="s">
        <v>117</v>
      </c>
      <c r="R20" s="63" t="s">
        <v>165</v>
      </c>
      <c r="S20" s="72" t="s">
        <v>483</v>
      </c>
      <c r="T20" s="61" t="s">
        <v>435</v>
      </c>
      <c r="U20" s="73" t="s">
        <v>486</v>
      </c>
      <c r="V20" s="62">
        <v>107384</v>
      </c>
      <c r="W20" s="62" t="s">
        <v>464</v>
      </c>
      <c r="X20" s="62" t="s">
        <v>402</v>
      </c>
      <c r="Y20" s="93">
        <v>1</v>
      </c>
      <c r="Z20" s="94">
        <v>1</v>
      </c>
      <c r="AA20" s="74">
        <v>4</v>
      </c>
      <c r="AB20" s="75">
        <v>7</v>
      </c>
      <c r="AC20" s="75">
        <v>62.426110119192977</v>
      </c>
      <c r="AD20" s="76">
        <v>74.911332142566422</v>
      </c>
      <c r="AE20" s="77">
        <v>3</v>
      </c>
      <c r="AF20" s="75">
        <v>6</v>
      </c>
      <c r="AG20" s="78">
        <v>47.376785804988664</v>
      </c>
      <c r="AH20" s="79">
        <v>56.852142965288678</v>
      </c>
      <c r="AI20" s="74">
        <v>14.213035741612885</v>
      </c>
      <c r="AJ20" s="75">
        <v>0</v>
      </c>
      <c r="AK20" s="75">
        <v>0</v>
      </c>
      <c r="AL20" s="80">
        <v>14.213035741612885</v>
      </c>
      <c r="AM20" s="74">
        <v>0</v>
      </c>
      <c r="AN20" s="74">
        <v>0</v>
      </c>
      <c r="AO20" s="81" t="s">
        <v>403</v>
      </c>
      <c r="AP20" s="82">
        <v>0</v>
      </c>
      <c r="AQ20" s="75">
        <v>0</v>
      </c>
      <c r="AR20" s="75">
        <v>0</v>
      </c>
      <c r="AS20" s="80">
        <v>0</v>
      </c>
      <c r="AT20" s="74">
        <v>1.6913512532123962</v>
      </c>
      <c r="AU20" s="75">
        <v>1.4260412527472528</v>
      </c>
      <c r="AV20" s="75">
        <v>3.2832112562358273</v>
      </c>
      <c r="AW20" s="75">
        <v>1.5487471279725566</v>
      </c>
      <c r="AX20" s="80">
        <v>7.9493508901680334</v>
      </c>
      <c r="AY20" s="81">
        <v>0</v>
      </c>
      <c r="AZ20" s="83" t="s">
        <v>403</v>
      </c>
      <c r="BA20" s="80" t="s">
        <v>403</v>
      </c>
      <c r="BB20" s="84">
        <v>28.497610429443572</v>
      </c>
      <c r="BC20" s="85">
        <v>8.67979797989479</v>
      </c>
      <c r="BD20" s="86">
        <v>0.60150999999756927</v>
      </c>
      <c r="BE20" s="84">
        <v>30.04635755741613</v>
      </c>
      <c r="BF20" s="87">
        <v>6.2182566918648243</v>
      </c>
      <c r="BG20" s="88">
        <v>0.63419999999772714</v>
      </c>
      <c r="BH20" s="89">
        <v>0</v>
      </c>
      <c r="BI20" s="90">
        <v>0.30000000000245447</v>
      </c>
      <c r="BJ20" s="90">
        <v>0.16778999999892322</v>
      </c>
      <c r="BK20" s="91">
        <v>0.46779000000137771</v>
      </c>
      <c r="BL20" s="92">
        <v>25.214399173207745</v>
      </c>
      <c r="BM20" s="95">
        <v>0</v>
      </c>
      <c r="BN20" t="s">
        <v>402</v>
      </c>
      <c r="BO20">
        <v>0.85994999999999999</v>
      </c>
    </row>
    <row r="21" spans="1:67">
      <c r="A21" s="61" t="str">
        <f t="shared" si="0"/>
        <v>UK</v>
      </c>
      <c r="B21" s="62" t="s">
        <v>64</v>
      </c>
      <c r="C21" s="62" t="s">
        <v>176</v>
      </c>
      <c r="D21" s="63" t="s">
        <v>97</v>
      </c>
      <c r="E21" s="64">
        <v>43831</v>
      </c>
      <c r="F21" s="64">
        <v>43921</v>
      </c>
      <c r="G21" s="65">
        <v>43995</v>
      </c>
      <c r="H21" s="66" t="s">
        <v>132</v>
      </c>
      <c r="I21" s="67">
        <v>3</v>
      </c>
      <c r="J21" s="68">
        <v>2020</v>
      </c>
      <c r="K21" s="69">
        <v>1</v>
      </c>
      <c r="L21" s="70">
        <v>3</v>
      </c>
      <c r="M21" s="71" t="s">
        <v>140</v>
      </c>
      <c r="N21" s="71" t="s">
        <v>18</v>
      </c>
      <c r="O21" s="71" t="s">
        <v>78</v>
      </c>
      <c r="P21" s="71" t="s">
        <v>102</v>
      </c>
      <c r="Q21" s="61" t="s">
        <v>117</v>
      </c>
      <c r="R21" s="63" t="s">
        <v>165</v>
      </c>
      <c r="S21" s="72" t="s">
        <v>483</v>
      </c>
      <c r="T21" s="61" t="s">
        <v>435</v>
      </c>
      <c r="U21" s="73" t="s">
        <v>487</v>
      </c>
      <c r="V21" s="62">
        <v>107398</v>
      </c>
      <c r="W21" s="62" t="s">
        <v>464</v>
      </c>
      <c r="X21" s="62" t="s">
        <v>402</v>
      </c>
      <c r="Y21" s="93">
        <v>1</v>
      </c>
      <c r="Z21" s="94">
        <v>1</v>
      </c>
      <c r="AA21" s="74">
        <v>7</v>
      </c>
      <c r="AB21" s="75">
        <v>20</v>
      </c>
      <c r="AC21" s="75">
        <v>632.85656113727543</v>
      </c>
      <c r="AD21" s="76">
        <v>759.42787335310197</v>
      </c>
      <c r="AE21" s="77">
        <v>9.5608746912000004</v>
      </c>
      <c r="AF21" s="75">
        <v>21.814187064999999</v>
      </c>
      <c r="AG21" s="78">
        <v>698.15645671259961</v>
      </c>
      <c r="AH21" s="79">
        <v>837.78774806674812</v>
      </c>
      <c r="AI21" s="74">
        <v>209.44693701959417</v>
      </c>
      <c r="AJ21" s="75">
        <v>0</v>
      </c>
      <c r="AK21" s="75">
        <v>0</v>
      </c>
      <c r="AL21" s="80">
        <v>209.44693701959417</v>
      </c>
      <c r="AM21" s="74">
        <v>0</v>
      </c>
      <c r="AN21" s="74">
        <v>0</v>
      </c>
      <c r="AO21" s="81" t="s">
        <v>403</v>
      </c>
      <c r="AP21" s="82">
        <v>0</v>
      </c>
      <c r="AQ21" s="75">
        <v>0</v>
      </c>
      <c r="AR21" s="75">
        <v>0</v>
      </c>
      <c r="AS21" s="80">
        <v>0</v>
      </c>
      <c r="AT21" s="74">
        <v>24.924185504971216</v>
      </c>
      <c r="AU21" s="75">
        <v>21.014509347055064</v>
      </c>
      <c r="AV21" s="75">
        <v>48.382242450142449</v>
      </c>
      <c r="AW21" s="75">
        <v>22.822734570614571</v>
      </c>
      <c r="AX21" s="80">
        <v>117.1436718727833</v>
      </c>
      <c r="AY21" s="81">
        <v>0</v>
      </c>
      <c r="AZ21" s="83" t="s">
        <v>403</v>
      </c>
      <c r="BA21" s="80" t="s">
        <v>403</v>
      </c>
      <c r="BB21" s="84">
        <v>419.94809027036462</v>
      </c>
      <c r="BC21" s="85">
        <v>8.6797979796640909</v>
      </c>
      <c r="BD21" s="86">
        <v>0.60150999999021537</v>
      </c>
      <c r="BE21" s="84">
        <v>442.77082484097917</v>
      </c>
      <c r="BF21" s="87">
        <v>6.2182566916903399</v>
      </c>
      <c r="BG21" s="88">
        <v>0.63419999999118892</v>
      </c>
      <c r="BH21" s="89">
        <v>0</v>
      </c>
      <c r="BI21" s="90">
        <v>0.30000000000832805</v>
      </c>
      <c r="BJ21" s="90">
        <v>0.16779000000139827</v>
      </c>
      <c r="BK21" s="91">
        <v>0.46779000000972631</v>
      </c>
      <c r="BL21" s="92">
        <v>371.56584782022213</v>
      </c>
      <c r="BM21" s="95">
        <v>0</v>
      </c>
      <c r="BN21" t="s">
        <v>402</v>
      </c>
      <c r="BO21">
        <v>0.85994999999999999</v>
      </c>
    </row>
    <row r="22" spans="1:67">
      <c r="A22" s="61" t="str">
        <f t="shared" si="0"/>
        <v>UK</v>
      </c>
      <c r="B22" s="62" t="s">
        <v>64</v>
      </c>
      <c r="C22" s="62" t="s">
        <v>176</v>
      </c>
      <c r="D22" s="63" t="s">
        <v>97</v>
      </c>
      <c r="E22" s="64">
        <v>43831</v>
      </c>
      <c r="F22" s="64">
        <v>43921</v>
      </c>
      <c r="G22" s="65">
        <v>43995</v>
      </c>
      <c r="H22" s="66" t="s">
        <v>132</v>
      </c>
      <c r="I22" s="67">
        <v>3</v>
      </c>
      <c r="J22" s="68">
        <v>2020</v>
      </c>
      <c r="K22" s="69">
        <v>1</v>
      </c>
      <c r="L22" s="70">
        <v>3</v>
      </c>
      <c r="M22" s="71" t="s">
        <v>140</v>
      </c>
      <c r="N22" s="71" t="s">
        <v>18</v>
      </c>
      <c r="O22" s="71" t="s">
        <v>78</v>
      </c>
      <c r="P22" s="71" t="s">
        <v>102</v>
      </c>
      <c r="Q22" s="61" t="s">
        <v>117</v>
      </c>
      <c r="R22" s="63" t="s">
        <v>165</v>
      </c>
      <c r="S22" s="72" t="s">
        <v>483</v>
      </c>
      <c r="T22" s="61" t="s">
        <v>435</v>
      </c>
      <c r="U22" s="73" t="s">
        <v>488</v>
      </c>
      <c r="V22" s="62">
        <v>107405</v>
      </c>
      <c r="W22" s="62" t="s">
        <v>464</v>
      </c>
      <c r="X22" s="62" t="s">
        <v>402</v>
      </c>
      <c r="Y22" s="93">
        <v>1</v>
      </c>
      <c r="Z22" s="94">
        <v>1</v>
      </c>
      <c r="AA22" s="74">
        <v>5</v>
      </c>
      <c r="AB22" s="75">
        <v>18</v>
      </c>
      <c r="AC22" s="75">
        <v>581.07059482528052</v>
      </c>
      <c r="AD22" s="76">
        <v>697.2847137856852</v>
      </c>
      <c r="AE22" s="77">
        <v>2.4203851336</v>
      </c>
      <c r="AF22" s="75">
        <v>8.1112620705000005</v>
      </c>
      <c r="AG22" s="78">
        <v>322.07851136693995</v>
      </c>
      <c r="AH22" s="79">
        <v>386.49421364032793</v>
      </c>
      <c r="AI22" s="74">
        <v>96.623553408919122</v>
      </c>
      <c r="AJ22" s="75">
        <v>0</v>
      </c>
      <c r="AK22" s="75">
        <v>0</v>
      </c>
      <c r="AL22" s="80">
        <v>96.623553408919122</v>
      </c>
      <c r="AM22" s="74">
        <v>0</v>
      </c>
      <c r="AN22" s="74">
        <v>0</v>
      </c>
      <c r="AO22" s="81" t="s">
        <v>403</v>
      </c>
      <c r="AP22" s="82">
        <v>0</v>
      </c>
      <c r="AQ22" s="75">
        <v>0</v>
      </c>
      <c r="AR22" s="75">
        <v>0</v>
      </c>
      <c r="AS22" s="80">
        <v>0</v>
      </c>
      <c r="AT22" s="74">
        <v>11.498202855631142</v>
      </c>
      <c r="AU22" s="75">
        <v>9.6945631920460507</v>
      </c>
      <c r="AV22" s="75">
        <v>22.320040837257981</v>
      </c>
      <c r="AW22" s="75">
        <v>10.528746536426537</v>
      </c>
      <c r="AX22" s="80">
        <v>54.041553421361712</v>
      </c>
      <c r="AY22" s="81">
        <v>0</v>
      </c>
      <c r="AZ22" s="83" t="s">
        <v>403</v>
      </c>
      <c r="BA22" s="80" t="s">
        <v>403</v>
      </c>
      <c r="BB22" s="84">
        <v>193.73344537391711</v>
      </c>
      <c r="BC22" s="85">
        <v>8.6797979800523191</v>
      </c>
      <c r="BD22" s="86">
        <v>0.60151000000493371</v>
      </c>
      <c r="BE22" s="84">
        <v>204.26219191034363</v>
      </c>
      <c r="BF22" s="87">
        <v>6.2182566919952746</v>
      </c>
      <c r="BG22" s="88">
        <v>0.63420000000444088</v>
      </c>
      <c r="BH22" s="89">
        <v>0</v>
      </c>
      <c r="BI22" s="90">
        <v>0.29999999999638949</v>
      </c>
      <c r="BJ22" s="90">
        <v>0.16778999999721453</v>
      </c>
      <c r="BK22" s="91">
        <v>0.46778999999360404</v>
      </c>
      <c r="BL22" s="92">
        <v>171.41340453665913</v>
      </c>
      <c r="BM22" s="95">
        <v>0</v>
      </c>
      <c r="BN22" t="s">
        <v>402</v>
      </c>
      <c r="BO22">
        <v>0.85994999999999999</v>
      </c>
    </row>
    <row r="23" spans="1:67">
      <c r="A23" s="61" t="str">
        <f t="shared" si="0"/>
        <v>UK</v>
      </c>
      <c r="B23" s="62" t="s">
        <v>64</v>
      </c>
      <c r="C23" s="62" t="s">
        <v>176</v>
      </c>
      <c r="D23" s="63" t="s">
        <v>97</v>
      </c>
      <c r="E23" s="64">
        <v>43831</v>
      </c>
      <c r="F23" s="64">
        <v>43921</v>
      </c>
      <c r="G23" s="65">
        <v>43995</v>
      </c>
      <c r="H23" s="66" t="s">
        <v>132</v>
      </c>
      <c r="I23" s="67">
        <v>3</v>
      </c>
      <c r="J23" s="68">
        <v>2020</v>
      </c>
      <c r="K23" s="69">
        <v>1</v>
      </c>
      <c r="L23" s="70">
        <v>3</v>
      </c>
      <c r="M23" s="71" t="s">
        <v>140</v>
      </c>
      <c r="N23" s="71" t="s">
        <v>18</v>
      </c>
      <c r="O23" s="71" t="s">
        <v>78</v>
      </c>
      <c r="P23" s="71" t="s">
        <v>102</v>
      </c>
      <c r="Q23" s="61" t="s">
        <v>117</v>
      </c>
      <c r="R23" s="63" t="s">
        <v>165</v>
      </c>
      <c r="S23" s="72" t="s">
        <v>483</v>
      </c>
      <c r="T23" s="61" t="s">
        <v>435</v>
      </c>
      <c r="U23" s="73" t="s">
        <v>489</v>
      </c>
      <c r="V23" s="62">
        <v>107385</v>
      </c>
      <c r="W23" s="62" t="s">
        <v>464</v>
      </c>
      <c r="X23" s="62" t="s">
        <v>402</v>
      </c>
      <c r="Y23" s="93">
        <v>1</v>
      </c>
      <c r="Z23" s="94">
        <v>1</v>
      </c>
      <c r="AA23" s="74">
        <v>27</v>
      </c>
      <c r="AB23" s="75">
        <v>50</v>
      </c>
      <c r="AC23" s="75">
        <v>776.88625103785114</v>
      </c>
      <c r="AD23" s="76">
        <v>932.26350125007264</v>
      </c>
      <c r="AE23" s="77">
        <v>18.977886589000001</v>
      </c>
      <c r="AF23" s="75">
        <v>28.604248768000001</v>
      </c>
      <c r="AG23" s="78">
        <v>496.65828900517471</v>
      </c>
      <c r="AH23" s="79">
        <v>595.98994679923248</v>
      </c>
      <c r="AI23" s="74">
        <v>148.99748670271526</v>
      </c>
      <c r="AJ23" s="75">
        <v>0</v>
      </c>
      <c r="AK23" s="75">
        <v>0</v>
      </c>
      <c r="AL23" s="80">
        <v>148.99748670271526</v>
      </c>
      <c r="AM23" s="74">
        <v>0</v>
      </c>
      <c r="AN23" s="74">
        <v>0</v>
      </c>
      <c r="AO23" s="81" t="s">
        <v>403</v>
      </c>
      <c r="AP23" s="82">
        <v>0</v>
      </c>
      <c r="AQ23" s="75">
        <v>0</v>
      </c>
      <c r="AR23" s="75">
        <v>0</v>
      </c>
      <c r="AS23" s="80">
        <v>0</v>
      </c>
      <c r="AT23" s="74">
        <v>17.730700917495206</v>
      </c>
      <c r="AU23" s="75">
        <v>14.949414498517354</v>
      </c>
      <c r="AV23" s="75">
        <v>34.418419427873715</v>
      </c>
      <c r="AW23" s="75">
        <v>16.235759467410897</v>
      </c>
      <c r="AX23" s="80">
        <v>83.334294311297185</v>
      </c>
      <c r="AY23" s="81">
        <v>0</v>
      </c>
      <c r="AZ23" s="83" t="s">
        <v>403</v>
      </c>
      <c r="BA23" s="80" t="s">
        <v>403</v>
      </c>
      <c r="BB23" s="84">
        <v>298.744927419036</v>
      </c>
      <c r="BC23" s="85">
        <v>8.6797979798310489</v>
      </c>
      <c r="BD23" s="86">
        <v>0.60150999999906041</v>
      </c>
      <c r="BE23" s="84">
        <v>314.9806868864469</v>
      </c>
      <c r="BF23" s="87">
        <v>6.2182566918633517</v>
      </c>
      <c r="BG23" s="88">
        <v>0.63419999999872168</v>
      </c>
      <c r="BH23" s="89">
        <v>0</v>
      </c>
      <c r="BI23" s="90">
        <v>0.30000000000234134</v>
      </c>
      <c r="BJ23" s="90">
        <v>0.167789999998226</v>
      </c>
      <c r="BK23" s="91">
        <v>0.46779000000056736</v>
      </c>
      <c r="BL23" s="92">
        <v>264.32650799116226</v>
      </c>
      <c r="BM23" s="95">
        <v>0</v>
      </c>
      <c r="BN23" t="s">
        <v>402</v>
      </c>
      <c r="BO23">
        <v>0.85994999999999999</v>
      </c>
    </row>
    <row r="24" spans="1:67">
      <c r="A24" s="61" t="str">
        <f t="shared" si="0"/>
        <v>UK</v>
      </c>
      <c r="B24" s="62" t="s">
        <v>64</v>
      </c>
      <c r="C24" s="62" t="s">
        <v>176</v>
      </c>
      <c r="D24" s="63" t="s">
        <v>97</v>
      </c>
      <c r="E24" s="64">
        <v>43831</v>
      </c>
      <c r="F24" s="64">
        <v>43921</v>
      </c>
      <c r="G24" s="65">
        <v>43995</v>
      </c>
      <c r="H24" s="66" t="s">
        <v>132</v>
      </c>
      <c r="I24" s="67">
        <v>3</v>
      </c>
      <c r="J24" s="68">
        <v>2020</v>
      </c>
      <c r="K24" s="69">
        <v>1</v>
      </c>
      <c r="L24" s="70">
        <v>3</v>
      </c>
      <c r="M24" s="71" t="s">
        <v>140</v>
      </c>
      <c r="N24" s="71" t="s">
        <v>18</v>
      </c>
      <c r="O24" s="71" t="s">
        <v>78</v>
      </c>
      <c r="P24" s="71" t="s">
        <v>102</v>
      </c>
      <c r="Q24" s="61" t="s">
        <v>117</v>
      </c>
      <c r="R24" s="63" t="s">
        <v>165</v>
      </c>
      <c r="S24" s="72" t="s">
        <v>483</v>
      </c>
      <c r="T24" s="61" t="s">
        <v>435</v>
      </c>
      <c r="U24" s="73" t="s">
        <v>490</v>
      </c>
      <c r="V24" s="62">
        <v>107392</v>
      </c>
      <c r="W24" s="62" t="s">
        <v>464</v>
      </c>
      <c r="X24" s="62" t="s">
        <v>402</v>
      </c>
      <c r="Y24" s="93">
        <v>1</v>
      </c>
      <c r="Z24" s="94">
        <v>1</v>
      </c>
      <c r="AA24" s="74">
        <v>1</v>
      </c>
      <c r="AB24" s="75">
        <v>1</v>
      </c>
      <c r="AC24" s="75">
        <v>21.386902043142044</v>
      </c>
      <c r="AD24" s="76">
        <v>25.664282452468168</v>
      </c>
      <c r="AE24" s="77">
        <v>4.6011904762000002</v>
      </c>
      <c r="AF24" s="75">
        <v>9.5940476189999995</v>
      </c>
      <c r="AG24" s="78">
        <v>189.29646727135298</v>
      </c>
      <c r="AH24" s="79">
        <v>227.15576073027501</v>
      </c>
      <c r="AI24" s="74">
        <v>56.788940181405898</v>
      </c>
      <c r="AJ24" s="75">
        <v>0</v>
      </c>
      <c r="AK24" s="75">
        <v>0</v>
      </c>
      <c r="AL24" s="80">
        <v>56.788940181405898</v>
      </c>
      <c r="AM24" s="74">
        <v>0</v>
      </c>
      <c r="AN24" s="74">
        <v>0</v>
      </c>
      <c r="AO24" s="81" t="s">
        <v>403</v>
      </c>
      <c r="AP24" s="82">
        <v>0</v>
      </c>
      <c r="AQ24" s="75">
        <v>0</v>
      </c>
      <c r="AR24" s="75">
        <v>0</v>
      </c>
      <c r="AS24" s="80">
        <v>0</v>
      </c>
      <c r="AT24" s="74">
        <v>6.7578838816210247</v>
      </c>
      <c r="AU24" s="75">
        <v>5.6978236648642362</v>
      </c>
      <c r="AV24" s="75">
        <v>13.11824518169661</v>
      </c>
      <c r="AW24" s="75">
        <v>6.1881015150880865</v>
      </c>
      <c r="AX24" s="80">
        <v>31.762054243269958</v>
      </c>
      <c r="AY24" s="81">
        <v>0</v>
      </c>
      <c r="AZ24" s="83" t="s">
        <v>403</v>
      </c>
      <c r="BA24" s="80" t="s">
        <v>403</v>
      </c>
      <c r="BB24" s="84">
        <v>113.86371802837373</v>
      </c>
      <c r="BC24" s="85">
        <v>8.6797979799343477</v>
      </c>
      <c r="BD24" s="86">
        <v>0.60150999999990595</v>
      </c>
      <c r="BE24" s="84">
        <v>120.05181954346182</v>
      </c>
      <c r="BF24" s="87">
        <v>6.2182566919020159</v>
      </c>
      <c r="BG24" s="88">
        <v>0.63419999999984022</v>
      </c>
      <c r="BH24" s="89">
        <v>0</v>
      </c>
      <c r="BI24" s="90">
        <v>0.30000000000000004</v>
      </c>
      <c r="BJ24" s="90">
        <v>0.16778999999899438</v>
      </c>
      <c r="BK24" s="91">
        <v>0.4677899999989944</v>
      </c>
      <c r="BL24" s="92">
        <v>100.74547284667713</v>
      </c>
      <c r="BM24" s="95">
        <v>0</v>
      </c>
      <c r="BN24" t="s">
        <v>402</v>
      </c>
      <c r="BO24">
        <v>0.85994999999999999</v>
      </c>
    </row>
    <row r="25" spans="1:67">
      <c r="A25" s="61" t="str">
        <f t="shared" si="0"/>
        <v>UK</v>
      </c>
      <c r="B25" s="62" t="s">
        <v>64</v>
      </c>
      <c r="C25" s="62" t="s">
        <v>176</v>
      </c>
      <c r="D25" s="63" t="s">
        <v>97</v>
      </c>
      <c r="E25" s="64">
        <v>43831</v>
      </c>
      <c r="F25" s="64">
        <v>43921</v>
      </c>
      <c r="G25" s="65">
        <v>43995</v>
      </c>
      <c r="H25" s="66" t="s">
        <v>132</v>
      </c>
      <c r="I25" s="67">
        <v>3</v>
      </c>
      <c r="J25" s="68">
        <v>2020</v>
      </c>
      <c r="K25" s="69">
        <v>1</v>
      </c>
      <c r="L25" s="70">
        <v>3</v>
      </c>
      <c r="M25" s="71" t="s">
        <v>140</v>
      </c>
      <c r="N25" s="71" t="s">
        <v>18</v>
      </c>
      <c r="O25" s="71" t="s">
        <v>78</v>
      </c>
      <c r="P25" s="71" t="s">
        <v>102</v>
      </c>
      <c r="Q25" s="61" t="s">
        <v>117</v>
      </c>
      <c r="R25" s="63" t="s">
        <v>165</v>
      </c>
      <c r="S25" s="72" t="s">
        <v>483</v>
      </c>
      <c r="T25" s="61" t="s">
        <v>435</v>
      </c>
      <c r="U25" s="73" t="s">
        <v>491</v>
      </c>
      <c r="V25" s="62">
        <v>107399</v>
      </c>
      <c r="W25" s="62" t="s">
        <v>464</v>
      </c>
      <c r="X25" s="62" t="s">
        <v>402</v>
      </c>
      <c r="Y25" s="93">
        <v>1</v>
      </c>
      <c r="Z25" s="94">
        <v>1</v>
      </c>
      <c r="AA25" s="74">
        <v>2</v>
      </c>
      <c r="AB25" s="75">
        <v>3</v>
      </c>
      <c r="AC25" s="75">
        <v>125.11386380603524</v>
      </c>
      <c r="AD25" s="76">
        <v>150.13663656026512</v>
      </c>
      <c r="AE25" s="77">
        <v>4.8241455199000001</v>
      </c>
      <c r="AF25" s="75">
        <v>11.906604536</v>
      </c>
      <c r="AG25" s="78">
        <v>319.18011542531542</v>
      </c>
      <c r="AH25" s="79">
        <v>383.01613850805285</v>
      </c>
      <c r="AI25" s="74">
        <v>95.754034626431761</v>
      </c>
      <c r="AJ25" s="75">
        <v>0</v>
      </c>
      <c r="AK25" s="75">
        <v>0</v>
      </c>
      <c r="AL25" s="80">
        <v>95.754034626431761</v>
      </c>
      <c r="AM25" s="74">
        <v>0</v>
      </c>
      <c r="AN25" s="74">
        <v>0</v>
      </c>
      <c r="AO25" s="81" t="s">
        <v>403</v>
      </c>
      <c r="AP25" s="82">
        <v>0</v>
      </c>
      <c r="AQ25" s="75">
        <v>0</v>
      </c>
      <c r="AR25" s="75">
        <v>0</v>
      </c>
      <c r="AS25" s="80">
        <v>0</v>
      </c>
      <c r="AT25" s="74">
        <v>11.394730120472122</v>
      </c>
      <c r="AU25" s="75">
        <v>9.6073214741554729</v>
      </c>
      <c r="AV25" s="75">
        <v>22.11918199895343</v>
      </c>
      <c r="AW25" s="75">
        <v>10.433997973021688</v>
      </c>
      <c r="AX25" s="80">
        <v>53.555231566602714</v>
      </c>
      <c r="AY25" s="81">
        <v>0</v>
      </c>
      <c r="AZ25" s="83" t="s">
        <v>403</v>
      </c>
      <c r="BA25" s="80" t="s">
        <v>403</v>
      </c>
      <c r="BB25" s="84">
        <v>191.99003123123438</v>
      </c>
      <c r="BC25" s="85">
        <v>8.679797979885441</v>
      </c>
      <c r="BD25" s="86">
        <v>0.60151000000549193</v>
      </c>
      <c r="BE25" s="84">
        <v>202.42402920425607</v>
      </c>
      <c r="BF25" s="87">
        <v>6.2182566919275466</v>
      </c>
      <c r="BG25" s="88">
        <v>0.6342000000047654</v>
      </c>
      <c r="BH25" s="89">
        <v>0</v>
      </c>
      <c r="BI25" s="90">
        <v>0.29999999999635674</v>
      </c>
      <c r="BJ25" s="90">
        <v>0.16778999999808583</v>
      </c>
      <c r="BK25" s="91">
        <v>0.4677899999944426</v>
      </c>
      <c r="BL25" s="92">
        <v>169.87084923228093</v>
      </c>
      <c r="BM25" s="95">
        <v>0</v>
      </c>
      <c r="BN25" t="s">
        <v>402</v>
      </c>
      <c r="BO25">
        <v>0.85994999999999999</v>
      </c>
    </row>
    <row r="26" spans="1:67">
      <c r="A26" s="61" t="str">
        <f t="shared" si="0"/>
        <v>UK</v>
      </c>
      <c r="B26" s="62" t="s">
        <v>64</v>
      </c>
      <c r="C26" s="62" t="s">
        <v>176</v>
      </c>
      <c r="D26" s="63" t="s">
        <v>97</v>
      </c>
      <c r="E26" s="64">
        <v>43831</v>
      </c>
      <c r="F26" s="64">
        <v>43921</v>
      </c>
      <c r="G26" s="65">
        <v>43995</v>
      </c>
      <c r="H26" s="66" t="s">
        <v>132</v>
      </c>
      <c r="I26" s="67">
        <v>3</v>
      </c>
      <c r="J26" s="68">
        <v>2020</v>
      </c>
      <c r="K26" s="69">
        <v>1</v>
      </c>
      <c r="L26" s="70">
        <v>3</v>
      </c>
      <c r="M26" s="71" t="s">
        <v>140</v>
      </c>
      <c r="N26" s="71" t="s">
        <v>18</v>
      </c>
      <c r="O26" s="71" t="s">
        <v>78</v>
      </c>
      <c r="P26" s="71" t="s">
        <v>102</v>
      </c>
      <c r="Q26" s="61" t="s">
        <v>117</v>
      </c>
      <c r="R26" s="63" t="s">
        <v>165</v>
      </c>
      <c r="S26" s="72" t="s">
        <v>483</v>
      </c>
      <c r="T26" s="61" t="s">
        <v>435</v>
      </c>
      <c r="U26" s="73" t="s">
        <v>492</v>
      </c>
      <c r="V26" s="62">
        <v>107406</v>
      </c>
      <c r="W26" s="62" t="s">
        <v>464</v>
      </c>
      <c r="X26" s="62" t="s">
        <v>402</v>
      </c>
      <c r="Y26" s="93">
        <v>1</v>
      </c>
      <c r="Z26" s="94">
        <v>1</v>
      </c>
      <c r="AA26" s="74">
        <v>1</v>
      </c>
      <c r="AB26" s="75">
        <v>2</v>
      </c>
      <c r="AC26" s="75">
        <v>87.950851926274794</v>
      </c>
      <c r="AD26" s="76">
        <v>105.54102231059944</v>
      </c>
      <c r="AE26" s="77">
        <v>0.50819672130000004</v>
      </c>
      <c r="AF26" s="75">
        <v>0.83196721309999999</v>
      </c>
      <c r="AG26" s="78">
        <v>42.562440136054427</v>
      </c>
      <c r="AH26" s="79">
        <v>51.074928163265312</v>
      </c>
      <c r="AI26" s="74">
        <v>12.768732041397756</v>
      </c>
      <c r="AJ26" s="75">
        <v>0</v>
      </c>
      <c r="AK26" s="75">
        <v>0</v>
      </c>
      <c r="AL26" s="80">
        <v>12.768732041397756</v>
      </c>
      <c r="AM26" s="74">
        <v>0</v>
      </c>
      <c r="AN26" s="74">
        <v>0</v>
      </c>
      <c r="AO26" s="81" t="s">
        <v>403</v>
      </c>
      <c r="AP26" s="82">
        <v>0</v>
      </c>
      <c r="AQ26" s="75">
        <v>0</v>
      </c>
      <c r="AR26" s="75">
        <v>0</v>
      </c>
      <c r="AS26" s="80">
        <v>0</v>
      </c>
      <c r="AT26" s="74">
        <v>1.5194791128553986</v>
      </c>
      <c r="AU26" s="75">
        <v>1.2811294481074482</v>
      </c>
      <c r="AV26" s="75">
        <v>2.9495771014593872</v>
      </c>
      <c r="AW26" s="75">
        <v>1.3913661680330252</v>
      </c>
      <c r="AX26" s="80">
        <v>7.1415518304552599</v>
      </c>
      <c r="AY26" s="81">
        <v>0</v>
      </c>
      <c r="AZ26" s="83" t="s">
        <v>403</v>
      </c>
      <c r="BA26" s="80" t="s">
        <v>403</v>
      </c>
      <c r="BB26" s="84">
        <v>25.601733365660799</v>
      </c>
      <c r="BC26" s="85">
        <v>8.6797979795115747</v>
      </c>
      <c r="BD26" s="86">
        <v>0.60150999998643639</v>
      </c>
      <c r="BE26" s="84">
        <v>26.993099533693822</v>
      </c>
      <c r="BF26" s="87">
        <v>6.218256691672944</v>
      </c>
      <c r="BG26" s="88">
        <v>0.63419999998609344</v>
      </c>
      <c r="BH26" s="89">
        <v>0</v>
      </c>
      <c r="BI26" s="90">
        <v>0.30000000001366062</v>
      </c>
      <c r="BJ26" s="90">
        <v>0.16779000000062702</v>
      </c>
      <c r="BK26" s="91">
        <v>0.46779000001428761</v>
      </c>
      <c r="BL26" s="92">
        <v>22.652156264201409</v>
      </c>
      <c r="BM26" s="95">
        <v>0</v>
      </c>
      <c r="BN26" t="s">
        <v>402</v>
      </c>
      <c r="BO26">
        <v>0.85994999999999999</v>
      </c>
    </row>
    <row r="27" spans="1:67">
      <c r="A27" s="61" t="str">
        <f t="shared" si="0"/>
        <v>UK</v>
      </c>
      <c r="B27" s="62" t="s">
        <v>64</v>
      </c>
      <c r="C27" s="62" t="s">
        <v>176</v>
      </c>
      <c r="D27" s="63" t="s">
        <v>97</v>
      </c>
      <c r="E27" s="64">
        <v>43831</v>
      </c>
      <c r="F27" s="64">
        <v>43921</v>
      </c>
      <c r="G27" s="65">
        <v>43995</v>
      </c>
      <c r="H27" s="66" t="s">
        <v>132</v>
      </c>
      <c r="I27" s="67">
        <v>3</v>
      </c>
      <c r="J27" s="68">
        <v>2020</v>
      </c>
      <c r="K27" s="69">
        <v>1</v>
      </c>
      <c r="L27" s="70">
        <v>3</v>
      </c>
      <c r="M27" s="71" t="s">
        <v>140</v>
      </c>
      <c r="N27" s="71" t="s">
        <v>18</v>
      </c>
      <c r="O27" s="71" t="s">
        <v>78</v>
      </c>
      <c r="P27" s="71" t="s">
        <v>102</v>
      </c>
      <c r="Q27" s="61" t="s">
        <v>117</v>
      </c>
      <c r="R27" s="63" t="s">
        <v>165</v>
      </c>
      <c r="S27" s="72" t="s">
        <v>483</v>
      </c>
      <c r="T27" s="61" t="s">
        <v>435</v>
      </c>
      <c r="U27" s="73" t="s">
        <v>493</v>
      </c>
      <c r="V27" s="62">
        <v>107386</v>
      </c>
      <c r="W27" s="62" t="s">
        <v>464</v>
      </c>
      <c r="X27" s="62" t="s">
        <v>402</v>
      </c>
      <c r="Y27" s="93">
        <v>1</v>
      </c>
      <c r="Z27" s="94">
        <v>1</v>
      </c>
      <c r="AA27" s="74">
        <v>1</v>
      </c>
      <c r="AB27" s="75">
        <v>4</v>
      </c>
      <c r="AC27" s="75">
        <v>20.456616285830574</v>
      </c>
      <c r="AD27" s="76">
        <v>24.547939542996687</v>
      </c>
      <c r="AE27" s="77">
        <v>2.7107142856999999</v>
      </c>
      <c r="AF27" s="75">
        <v>5.5946428571000002</v>
      </c>
      <c r="AG27" s="78">
        <v>73.577245645677067</v>
      </c>
      <c r="AH27" s="79">
        <v>88.292694774114764</v>
      </c>
      <c r="AI27" s="74">
        <v>22.07317369381941</v>
      </c>
      <c r="AJ27" s="75">
        <v>0</v>
      </c>
      <c r="AK27" s="75">
        <v>0</v>
      </c>
      <c r="AL27" s="80">
        <v>22.07317369381941</v>
      </c>
      <c r="AM27" s="74">
        <v>0</v>
      </c>
      <c r="AN27" s="74">
        <v>0</v>
      </c>
      <c r="AO27" s="81" t="s">
        <v>403</v>
      </c>
      <c r="AP27" s="82">
        <v>0</v>
      </c>
      <c r="AQ27" s="75">
        <v>0</v>
      </c>
      <c r="AR27" s="75">
        <v>0</v>
      </c>
      <c r="AS27" s="80">
        <v>0</v>
      </c>
      <c r="AT27" s="74">
        <v>2.6267076695156697</v>
      </c>
      <c r="AU27" s="75">
        <v>2.2146750939008082</v>
      </c>
      <c r="AV27" s="75">
        <v>5.0989031232048383</v>
      </c>
      <c r="AW27" s="75">
        <v>2.4052401601255888</v>
      </c>
      <c r="AX27" s="80">
        <v>12.345526046746905</v>
      </c>
      <c r="AY27" s="81">
        <v>0</v>
      </c>
      <c r="AZ27" s="83" t="s">
        <v>403</v>
      </c>
      <c r="BA27" s="80" t="s">
        <v>403</v>
      </c>
      <c r="BB27" s="84">
        <v>44.257449028315591</v>
      </c>
      <c r="BC27" s="85">
        <v>8.6797979798639986</v>
      </c>
      <c r="BD27" s="86">
        <v>0.60150999999978771</v>
      </c>
      <c r="BE27" s="84">
        <v>46.662689188441178</v>
      </c>
      <c r="BF27" s="87">
        <v>6.21825669188605</v>
      </c>
      <c r="BG27" s="88">
        <v>0.63419999999935828</v>
      </c>
      <c r="BH27" s="89">
        <v>0</v>
      </c>
      <c r="BI27" s="90">
        <v>0.3000000000015805</v>
      </c>
      <c r="BJ27" s="90">
        <v>0.16778999999808025</v>
      </c>
      <c r="BK27" s="91">
        <v>0.46778999999966075</v>
      </c>
      <c r="BL27" s="92">
        <v>39.158545905110756</v>
      </c>
      <c r="BM27" s="95">
        <v>0</v>
      </c>
      <c r="BN27" t="s">
        <v>402</v>
      </c>
      <c r="BO27">
        <v>0.85994999999999999</v>
      </c>
    </row>
    <row r="28" spans="1:67">
      <c r="A28" s="61" t="str">
        <f t="shared" si="0"/>
        <v>UK</v>
      </c>
      <c r="B28" s="62" t="s">
        <v>64</v>
      </c>
      <c r="C28" s="62" t="s">
        <v>176</v>
      </c>
      <c r="D28" s="63" t="s">
        <v>97</v>
      </c>
      <c r="E28" s="64">
        <v>43831</v>
      </c>
      <c r="F28" s="64">
        <v>43921</v>
      </c>
      <c r="G28" s="65">
        <v>43995</v>
      </c>
      <c r="H28" s="66" t="s">
        <v>132</v>
      </c>
      <c r="I28" s="67">
        <v>3</v>
      </c>
      <c r="J28" s="68">
        <v>2020</v>
      </c>
      <c r="K28" s="69">
        <v>1</v>
      </c>
      <c r="L28" s="70">
        <v>3</v>
      </c>
      <c r="M28" s="71" t="s">
        <v>140</v>
      </c>
      <c r="N28" s="71" t="s">
        <v>18</v>
      </c>
      <c r="O28" s="71" t="s">
        <v>78</v>
      </c>
      <c r="P28" s="71" t="s">
        <v>102</v>
      </c>
      <c r="Q28" s="61" t="s">
        <v>117</v>
      </c>
      <c r="R28" s="63" t="s">
        <v>165</v>
      </c>
      <c r="S28" s="72" t="s">
        <v>434</v>
      </c>
      <c r="T28" s="61" t="s">
        <v>435</v>
      </c>
      <c r="U28" s="73" t="s">
        <v>494</v>
      </c>
      <c r="V28" s="62">
        <v>106393</v>
      </c>
      <c r="W28" s="62" t="s">
        <v>495</v>
      </c>
      <c r="X28" s="62" t="s">
        <v>402</v>
      </c>
      <c r="Y28" s="93">
        <v>1</v>
      </c>
      <c r="Z28" s="94">
        <v>1</v>
      </c>
      <c r="AA28" s="74">
        <v>0</v>
      </c>
      <c r="AB28" s="75">
        <v>0</v>
      </c>
      <c r="AC28" s="75">
        <v>0</v>
      </c>
      <c r="AD28" s="76">
        <v>0</v>
      </c>
      <c r="AE28" s="77">
        <v>14.269990524000001</v>
      </c>
      <c r="AF28" s="75">
        <v>15.275826027000001</v>
      </c>
      <c r="AG28" s="78">
        <v>2962.0752996104425</v>
      </c>
      <c r="AH28" s="79">
        <v>3554.4903595557885</v>
      </c>
      <c r="AI28" s="74">
        <v>888.62258987150415</v>
      </c>
      <c r="AJ28" s="75">
        <v>0</v>
      </c>
      <c r="AK28" s="75">
        <v>0</v>
      </c>
      <c r="AL28" s="80">
        <v>888.62258987150415</v>
      </c>
      <c r="AM28" s="74">
        <v>0</v>
      </c>
      <c r="AN28" s="74">
        <v>0</v>
      </c>
      <c r="AO28" s="81" t="s">
        <v>403</v>
      </c>
      <c r="AP28" s="82">
        <v>0</v>
      </c>
      <c r="AQ28" s="75">
        <v>0</v>
      </c>
      <c r="AR28" s="75">
        <v>0</v>
      </c>
      <c r="AS28" s="80">
        <v>0</v>
      </c>
      <c r="AT28" s="74">
        <v>105.74608819466248</v>
      </c>
      <c r="AU28" s="75">
        <v>89.158466517820813</v>
      </c>
      <c r="AV28" s="75">
        <v>205.27181825687538</v>
      </c>
      <c r="AW28" s="75">
        <v>96.830241543112976</v>
      </c>
      <c r="AX28" s="80">
        <v>497.00661451247163</v>
      </c>
      <c r="AY28" s="81">
        <v>0</v>
      </c>
      <c r="AZ28" s="83" t="s">
        <v>403</v>
      </c>
      <c r="BA28" s="80" t="s">
        <v>403</v>
      </c>
      <c r="BB28" s="84">
        <v>1781.717913483342</v>
      </c>
      <c r="BC28" s="85">
        <v>8.6797979801285514</v>
      </c>
      <c r="BD28" s="86">
        <v>0.60151000000495081</v>
      </c>
      <c r="BE28" s="84">
        <v>1878.5481550264551</v>
      </c>
      <c r="BF28" s="87">
        <v>6.2182566920271212</v>
      </c>
      <c r="BG28" s="88">
        <v>0.63420000000456178</v>
      </c>
      <c r="BH28" s="89">
        <v>0</v>
      </c>
      <c r="BI28" s="90">
        <v>0.29999999999607418</v>
      </c>
      <c r="BJ28" s="90">
        <v>0.16778999999690605</v>
      </c>
      <c r="BK28" s="91">
        <v>0.46778999999298021</v>
      </c>
      <c r="BL28" s="92">
        <v>1576.4460952264667</v>
      </c>
      <c r="BM28" s="95">
        <v>0</v>
      </c>
      <c r="BN28" t="s">
        <v>402</v>
      </c>
      <c r="BO28">
        <v>0.85994999999999999</v>
      </c>
    </row>
    <row r="29" spans="1:67">
      <c r="A29" s="61" t="str">
        <f t="shared" si="0"/>
        <v>UK</v>
      </c>
      <c r="B29" s="62" t="s">
        <v>64</v>
      </c>
      <c r="C29" s="62" t="s">
        <v>176</v>
      </c>
      <c r="D29" s="63" t="s">
        <v>97</v>
      </c>
      <c r="E29" s="64">
        <v>43831</v>
      </c>
      <c r="F29" s="64">
        <v>43921</v>
      </c>
      <c r="G29" s="65">
        <v>43995</v>
      </c>
      <c r="H29" s="66" t="s">
        <v>132</v>
      </c>
      <c r="I29" s="67">
        <v>3</v>
      </c>
      <c r="J29" s="68">
        <v>2020</v>
      </c>
      <c r="K29" s="69">
        <v>1</v>
      </c>
      <c r="L29" s="70">
        <v>3</v>
      </c>
      <c r="M29" s="71" t="s">
        <v>140</v>
      </c>
      <c r="N29" s="71" t="s">
        <v>18</v>
      </c>
      <c r="O29" s="71" t="s">
        <v>78</v>
      </c>
      <c r="P29" s="71" t="s">
        <v>102</v>
      </c>
      <c r="Q29" s="61" t="s">
        <v>117</v>
      </c>
      <c r="R29" s="63" t="s">
        <v>107</v>
      </c>
      <c r="S29" s="72" t="s">
        <v>434</v>
      </c>
      <c r="T29" s="61" t="s">
        <v>435</v>
      </c>
      <c r="U29" s="73" t="s">
        <v>496</v>
      </c>
      <c r="V29" s="62">
        <v>107635</v>
      </c>
      <c r="W29" s="62" t="s">
        <v>464</v>
      </c>
      <c r="X29" s="62" t="s">
        <v>402</v>
      </c>
      <c r="Y29" s="93">
        <v>1</v>
      </c>
      <c r="Z29" s="94">
        <v>1</v>
      </c>
      <c r="AA29" s="74">
        <v>468</v>
      </c>
      <c r="AB29" s="75">
        <v>504</v>
      </c>
      <c r="AC29" s="75">
        <v>56529.536471887906</v>
      </c>
      <c r="AD29" s="76">
        <v>67835.443766498051</v>
      </c>
      <c r="AE29" s="77">
        <v>449.10323647000001</v>
      </c>
      <c r="AF29" s="75">
        <v>482.44912217000001</v>
      </c>
      <c r="AG29" s="78">
        <v>55836.727563230423</v>
      </c>
      <c r="AH29" s="79">
        <v>67004.07307634165</v>
      </c>
      <c r="AI29" s="74">
        <v>16751.018269666842</v>
      </c>
      <c r="AJ29" s="75">
        <v>0</v>
      </c>
      <c r="AK29" s="75">
        <v>0</v>
      </c>
      <c r="AL29" s="80">
        <v>16751.018269666842</v>
      </c>
      <c r="AM29" s="74">
        <v>23</v>
      </c>
      <c r="AN29" s="74">
        <v>8</v>
      </c>
      <c r="AO29" s="81">
        <v>0.34782608695652173</v>
      </c>
      <c r="AP29" s="82">
        <v>278</v>
      </c>
      <c r="AQ29" s="75">
        <v>23351.566578289436</v>
      </c>
      <c r="AR29" s="75">
        <v>25236.525007267865</v>
      </c>
      <c r="AS29" s="80">
        <v>48588.091585557297</v>
      </c>
      <c r="AT29" s="74">
        <v>1993.3711740217454</v>
      </c>
      <c r="AU29" s="75">
        <v>1680.6854996220709</v>
      </c>
      <c r="AV29" s="75">
        <v>3869.48522018722</v>
      </c>
      <c r="AW29" s="75">
        <v>1825.3026241060527</v>
      </c>
      <c r="AX29" s="80">
        <v>9368.8445179370883</v>
      </c>
      <c r="AY29" s="81">
        <v>0.57622656405630579</v>
      </c>
      <c r="AZ29" s="83">
        <v>174.77730786171691</v>
      </c>
      <c r="BA29" s="80">
        <v>100.71132758416829</v>
      </c>
      <c r="BB29" s="84">
        <v>-15001.741589743586</v>
      </c>
      <c r="BC29" s="85">
        <v>-3.8769347176929512</v>
      </c>
      <c r="BD29" s="86">
        <v>-0.26867157593996477</v>
      </c>
      <c r="BE29" s="84">
        <v>-13176.438965637528</v>
      </c>
      <c r="BF29" s="87">
        <v>-2.3137717024597486</v>
      </c>
      <c r="BG29" s="88">
        <v>-0.23598157593881758</v>
      </c>
      <c r="BH29" s="89">
        <v>0.87018157592662193</v>
      </c>
      <c r="BI29" s="90">
        <v>0.3000000000124956</v>
      </c>
      <c r="BJ29" s="90">
        <v>0.1677900000018385</v>
      </c>
      <c r="BK29" s="91">
        <v>1.3379715759409561</v>
      </c>
      <c r="BL29" s="92">
        <v>-18871.226809930798</v>
      </c>
      <c r="BM29" s="95">
        <v>0</v>
      </c>
      <c r="BN29" t="s">
        <v>402</v>
      </c>
      <c r="BO29">
        <v>0.85994999999999999</v>
      </c>
    </row>
    <row r="30" spans="1:67">
      <c r="A30" s="61" t="str">
        <f t="shared" si="0"/>
        <v>UK</v>
      </c>
      <c r="B30" s="62" t="s">
        <v>64</v>
      </c>
      <c r="C30" s="62" t="s">
        <v>176</v>
      </c>
      <c r="D30" s="63" t="s">
        <v>97</v>
      </c>
      <c r="E30" s="64">
        <v>43831</v>
      </c>
      <c r="F30" s="64">
        <v>43921</v>
      </c>
      <c r="G30" s="65">
        <v>43995</v>
      </c>
      <c r="H30" s="66" t="s">
        <v>132</v>
      </c>
      <c r="I30" s="67">
        <v>3</v>
      </c>
      <c r="J30" s="68">
        <v>2020</v>
      </c>
      <c r="K30" s="69">
        <v>1</v>
      </c>
      <c r="L30" s="70">
        <v>3</v>
      </c>
      <c r="M30" s="71" t="s">
        <v>140</v>
      </c>
      <c r="N30" s="71" t="s">
        <v>18</v>
      </c>
      <c r="O30" s="71" t="s">
        <v>78</v>
      </c>
      <c r="P30" s="71" t="s">
        <v>102</v>
      </c>
      <c r="Q30" s="61" t="s">
        <v>117</v>
      </c>
      <c r="R30" s="63" t="s">
        <v>165</v>
      </c>
      <c r="S30" s="72" t="s">
        <v>434</v>
      </c>
      <c r="T30" s="61" t="s">
        <v>435</v>
      </c>
      <c r="U30" s="73" t="s">
        <v>497</v>
      </c>
      <c r="V30" s="62">
        <v>106397</v>
      </c>
      <c r="W30" s="62" t="s">
        <v>495</v>
      </c>
      <c r="X30" s="62" t="s">
        <v>402</v>
      </c>
      <c r="Y30" s="93">
        <v>1</v>
      </c>
      <c r="Z30" s="94">
        <v>1</v>
      </c>
      <c r="AA30" s="74">
        <v>0</v>
      </c>
      <c r="AB30" s="75">
        <v>0</v>
      </c>
      <c r="AC30" s="75">
        <v>0</v>
      </c>
      <c r="AD30" s="76">
        <v>0</v>
      </c>
      <c r="AE30" s="77">
        <v>0.19598073160000001</v>
      </c>
      <c r="AF30" s="75">
        <v>0.19598073160000001</v>
      </c>
      <c r="AG30" s="78">
        <v>83.329966138728992</v>
      </c>
      <c r="AH30" s="79">
        <v>99.995959366242232</v>
      </c>
      <c r="AI30" s="74">
        <v>24.998989841269843</v>
      </c>
      <c r="AJ30" s="75">
        <v>0</v>
      </c>
      <c r="AK30" s="75">
        <v>0</v>
      </c>
      <c r="AL30" s="80">
        <v>24.998989841269843</v>
      </c>
      <c r="AM30" s="74">
        <v>0</v>
      </c>
      <c r="AN30" s="74">
        <v>0</v>
      </c>
      <c r="AO30" s="81" t="s">
        <v>403</v>
      </c>
      <c r="AP30" s="82">
        <v>0</v>
      </c>
      <c r="AQ30" s="75">
        <v>0</v>
      </c>
      <c r="AR30" s="75">
        <v>0</v>
      </c>
      <c r="AS30" s="80">
        <v>0</v>
      </c>
      <c r="AT30" s="74">
        <v>2.9748797911506482</v>
      </c>
      <c r="AU30" s="75">
        <v>2.5082319808128379</v>
      </c>
      <c r="AV30" s="75">
        <v>5.7747666534100821</v>
      </c>
      <c r="AW30" s="75">
        <v>2.7240565930577358</v>
      </c>
      <c r="AX30" s="80">
        <v>13.981935018431304</v>
      </c>
      <c r="AY30" s="81">
        <v>0</v>
      </c>
      <c r="AZ30" s="83" t="s">
        <v>403</v>
      </c>
      <c r="BA30" s="80" t="s">
        <v>403</v>
      </c>
      <c r="BB30" s="84">
        <v>50.123807932437927</v>
      </c>
      <c r="BC30" s="85">
        <v>8.6797979798610747</v>
      </c>
      <c r="BD30" s="86">
        <v>0.60151000000397281</v>
      </c>
      <c r="BE30" s="84">
        <v>52.847864525495666</v>
      </c>
      <c r="BF30" s="87">
        <v>6.2182566918849238</v>
      </c>
      <c r="BG30" s="88">
        <v>0.63420000000376497</v>
      </c>
      <c r="BH30" s="89">
        <v>0</v>
      </c>
      <c r="BI30" s="90">
        <v>0.29999999999581356</v>
      </c>
      <c r="BJ30" s="90">
        <v>0.16779000000016761</v>
      </c>
      <c r="BK30" s="91">
        <v>0.46778999999598114</v>
      </c>
      <c r="BL30" s="92">
        <v>44.349041279027844</v>
      </c>
      <c r="BM30" s="95">
        <v>0</v>
      </c>
      <c r="BN30" t="s">
        <v>402</v>
      </c>
      <c r="BO30">
        <v>0.85994999999999999</v>
      </c>
    </row>
    <row r="31" spans="1:67">
      <c r="A31" s="61" t="str">
        <f t="shared" si="0"/>
        <v>UK</v>
      </c>
      <c r="B31" s="62" t="s">
        <v>64</v>
      </c>
      <c r="C31" s="62" t="s">
        <v>176</v>
      </c>
      <c r="D31" s="63" t="s">
        <v>97</v>
      </c>
      <c r="E31" s="64">
        <v>43831</v>
      </c>
      <c r="F31" s="64">
        <v>43921</v>
      </c>
      <c r="G31" s="65">
        <v>43995</v>
      </c>
      <c r="H31" s="66" t="s">
        <v>132</v>
      </c>
      <c r="I31" s="67">
        <v>3</v>
      </c>
      <c r="J31" s="68">
        <v>2020</v>
      </c>
      <c r="K31" s="69">
        <v>1</v>
      </c>
      <c r="L31" s="70">
        <v>3</v>
      </c>
      <c r="M31" s="71" t="s">
        <v>140</v>
      </c>
      <c r="N31" s="71" t="s">
        <v>18</v>
      </c>
      <c r="O31" s="71" t="s">
        <v>78</v>
      </c>
      <c r="P31" s="71" t="s">
        <v>102</v>
      </c>
      <c r="Q31" s="61" t="s">
        <v>117</v>
      </c>
      <c r="R31" s="63" t="s">
        <v>107</v>
      </c>
      <c r="S31" s="72" t="s">
        <v>434</v>
      </c>
      <c r="T31" s="61" t="s">
        <v>435</v>
      </c>
      <c r="U31" s="73" t="s">
        <v>498</v>
      </c>
      <c r="V31" s="62">
        <v>107636</v>
      </c>
      <c r="W31" s="62" t="s">
        <v>464</v>
      </c>
      <c r="X31" s="62" t="s">
        <v>402</v>
      </c>
      <c r="Y31" s="93">
        <v>1</v>
      </c>
      <c r="Z31" s="94">
        <v>1</v>
      </c>
      <c r="AA31" s="74">
        <v>11</v>
      </c>
      <c r="AB31" s="75">
        <v>12</v>
      </c>
      <c r="AC31" s="75">
        <v>2672.4712842607128</v>
      </c>
      <c r="AD31" s="76">
        <v>3206.9655411361127</v>
      </c>
      <c r="AE31" s="77">
        <v>16.596190665000002</v>
      </c>
      <c r="AF31" s="75">
        <v>17.221190665000002</v>
      </c>
      <c r="AG31" s="78">
        <v>4158.4957801034943</v>
      </c>
      <c r="AH31" s="79">
        <v>4990.1949361009365</v>
      </c>
      <c r="AI31" s="74">
        <v>1247.5487339961626</v>
      </c>
      <c r="AJ31" s="75">
        <v>0</v>
      </c>
      <c r="AK31" s="75">
        <v>0</v>
      </c>
      <c r="AL31" s="80">
        <v>1247.5487339961626</v>
      </c>
      <c r="AM31" s="74">
        <v>2</v>
      </c>
      <c r="AN31" s="74">
        <v>1</v>
      </c>
      <c r="AO31" s="81">
        <v>0.5</v>
      </c>
      <c r="AP31" s="82">
        <v>8</v>
      </c>
      <c r="AQ31" s="75">
        <v>4930.1935463689742</v>
      </c>
      <c r="AR31" s="75">
        <v>13946.475181115182</v>
      </c>
      <c r="AS31" s="80">
        <v>18876.668727484157</v>
      </c>
      <c r="AT31" s="74">
        <v>148.45829934298507</v>
      </c>
      <c r="AU31" s="75">
        <v>125.17072298389441</v>
      </c>
      <c r="AV31" s="75">
        <v>288.18375755567183</v>
      </c>
      <c r="AW31" s="75">
        <v>135.94122704808419</v>
      </c>
      <c r="AX31" s="80">
        <v>697.75400693063546</v>
      </c>
      <c r="AY31" s="81">
        <v>0.4645439537615153</v>
      </c>
      <c r="AZ31" s="83">
        <v>2359.5835909355196</v>
      </c>
      <c r="BA31" s="80">
        <v>1096.1302905639802</v>
      </c>
      <c r="BB31" s="84">
        <v>-16375.291930751788</v>
      </c>
      <c r="BC31" s="85">
        <v>-56.822397173402045</v>
      </c>
      <c r="BD31" s="86">
        <v>-3.9377921240416045</v>
      </c>
      <c r="BE31" s="84">
        <v>-16239.350703703705</v>
      </c>
      <c r="BF31" s="87">
        <v>-38.289068772676799</v>
      </c>
      <c r="BG31" s="88">
        <v>-3.9051021240424464</v>
      </c>
      <c r="BH31" s="89">
        <v>4.5393021240517806</v>
      </c>
      <c r="BI31" s="90">
        <v>0.29999999999161098</v>
      </c>
      <c r="BJ31" s="90">
        <v>0.16778999999689073</v>
      </c>
      <c r="BK31" s="91">
        <v>5.0070921240402821</v>
      </c>
      <c r="BL31" s="92">
        <v>-16663.475688307459</v>
      </c>
      <c r="BM31" s="95">
        <v>0</v>
      </c>
      <c r="BN31" t="s">
        <v>402</v>
      </c>
      <c r="BO31">
        <v>0.85994999999999999</v>
      </c>
    </row>
    <row r="32" spans="1:67">
      <c r="A32" s="61" t="str">
        <f t="shared" si="0"/>
        <v>UK</v>
      </c>
      <c r="B32" s="62" t="s">
        <v>64</v>
      </c>
      <c r="C32" s="62" t="s">
        <v>176</v>
      </c>
      <c r="D32" s="63" t="s">
        <v>97</v>
      </c>
      <c r="E32" s="64">
        <v>43831</v>
      </c>
      <c r="F32" s="64">
        <v>43921</v>
      </c>
      <c r="G32" s="65">
        <v>43995</v>
      </c>
      <c r="H32" s="66" t="s">
        <v>132</v>
      </c>
      <c r="I32" s="67">
        <v>3</v>
      </c>
      <c r="J32" s="68">
        <v>2020</v>
      </c>
      <c r="K32" s="69">
        <v>1</v>
      </c>
      <c r="L32" s="70">
        <v>3</v>
      </c>
      <c r="M32" s="71" t="s">
        <v>140</v>
      </c>
      <c r="N32" s="71" t="s">
        <v>18</v>
      </c>
      <c r="O32" s="71" t="s">
        <v>78</v>
      </c>
      <c r="P32" s="71" t="s">
        <v>102</v>
      </c>
      <c r="Q32" s="61" t="s">
        <v>117</v>
      </c>
      <c r="R32" s="63" t="s">
        <v>165</v>
      </c>
      <c r="S32" s="72" t="s">
        <v>434</v>
      </c>
      <c r="T32" s="61" t="s">
        <v>435</v>
      </c>
      <c r="U32" s="73" t="s">
        <v>499</v>
      </c>
      <c r="V32" s="62">
        <v>106401</v>
      </c>
      <c r="W32" s="62" t="s">
        <v>464</v>
      </c>
      <c r="X32" s="62" t="s">
        <v>402</v>
      </c>
      <c r="Y32" s="93">
        <v>1</v>
      </c>
      <c r="Z32" s="94">
        <v>1</v>
      </c>
      <c r="AA32" s="74">
        <v>0</v>
      </c>
      <c r="AB32" s="75">
        <v>0</v>
      </c>
      <c r="AC32" s="75">
        <v>0</v>
      </c>
      <c r="AD32" s="76">
        <v>0</v>
      </c>
      <c r="AE32" s="77">
        <v>8.5356164384</v>
      </c>
      <c r="AF32" s="75">
        <v>9.7993150685000003</v>
      </c>
      <c r="AG32" s="78">
        <v>462.74111568114421</v>
      </c>
      <c r="AH32" s="79">
        <v>555.28933882202455</v>
      </c>
      <c r="AI32" s="74">
        <v>138.82233470550614</v>
      </c>
      <c r="AJ32" s="75">
        <v>0</v>
      </c>
      <c r="AK32" s="75">
        <v>0</v>
      </c>
      <c r="AL32" s="80">
        <v>138.82233470550614</v>
      </c>
      <c r="AM32" s="74">
        <v>0</v>
      </c>
      <c r="AN32" s="74">
        <v>0</v>
      </c>
      <c r="AO32" s="81" t="s">
        <v>403</v>
      </c>
      <c r="AP32" s="82">
        <v>0</v>
      </c>
      <c r="AQ32" s="75">
        <v>0</v>
      </c>
      <c r="AR32" s="75">
        <v>0</v>
      </c>
      <c r="AS32" s="80">
        <v>0</v>
      </c>
      <c r="AT32" s="74">
        <v>16.519857830106403</v>
      </c>
      <c r="AU32" s="75">
        <v>13.928507581836154</v>
      </c>
      <c r="AV32" s="75">
        <v>32.067959316239318</v>
      </c>
      <c r="AW32" s="75">
        <v>15.127007071341357</v>
      </c>
      <c r="AX32" s="80">
        <v>77.643331799523224</v>
      </c>
      <c r="AY32" s="81">
        <v>0</v>
      </c>
      <c r="AZ32" s="83" t="s">
        <v>403</v>
      </c>
      <c r="BA32" s="80" t="s">
        <v>403</v>
      </c>
      <c r="BB32" s="84">
        <v>278.34340849235417</v>
      </c>
      <c r="BC32" s="85">
        <v>8.6797979798920402</v>
      </c>
      <c r="BD32" s="86">
        <v>0.6015099999978154</v>
      </c>
      <c r="BE32" s="84">
        <v>293.4704155636955</v>
      </c>
      <c r="BF32" s="87">
        <v>6.2182566919026776</v>
      </c>
      <c r="BG32" s="88">
        <v>0.63419999999722054</v>
      </c>
      <c r="BH32" s="89">
        <v>0</v>
      </c>
      <c r="BI32" s="90">
        <v>0.30000000000251303</v>
      </c>
      <c r="BJ32" s="90">
        <v>0.16778999999866889</v>
      </c>
      <c r="BK32" s="91">
        <v>0.46779000000118193</v>
      </c>
      <c r="BL32" s="92">
        <v>246.27544917611485</v>
      </c>
      <c r="BM32" s="95">
        <v>0</v>
      </c>
      <c r="BN32" t="s">
        <v>402</v>
      </c>
      <c r="BO32">
        <v>0.85994999999999999</v>
      </c>
    </row>
    <row r="33" spans="1:67">
      <c r="A33" s="61" t="str">
        <f>B33</f>
        <v>UK</v>
      </c>
      <c r="B33" s="62" t="s">
        <v>64</v>
      </c>
      <c r="C33" s="62" t="s">
        <v>176</v>
      </c>
      <c r="D33" s="63" t="s">
        <v>97</v>
      </c>
      <c r="E33" s="64">
        <v>43831</v>
      </c>
      <c r="F33" s="64">
        <v>43921</v>
      </c>
      <c r="G33" s="65">
        <v>43995</v>
      </c>
      <c r="H33" s="66" t="s">
        <v>132</v>
      </c>
      <c r="I33" s="67">
        <v>3</v>
      </c>
      <c r="J33" s="68">
        <v>2020</v>
      </c>
      <c r="K33" s="69">
        <v>1</v>
      </c>
      <c r="L33" s="70">
        <v>3</v>
      </c>
      <c r="M33" s="71" t="s">
        <v>140</v>
      </c>
      <c r="N33" s="71" t="s">
        <v>18</v>
      </c>
      <c r="O33" s="71" t="s">
        <v>78</v>
      </c>
      <c r="P33" s="71" t="s">
        <v>102</v>
      </c>
      <c r="Q33" s="61" t="s">
        <v>117</v>
      </c>
      <c r="R33" s="63" t="s">
        <v>112</v>
      </c>
      <c r="S33" s="72" t="s">
        <v>434</v>
      </c>
      <c r="T33" s="61" t="s">
        <v>435</v>
      </c>
      <c r="U33" s="73" t="s">
        <v>500</v>
      </c>
      <c r="V33" s="62">
        <v>107630</v>
      </c>
      <c r="W33" s="62" t="s">
        <v>464</v>
      </c>
      <c r="X33" s="62" t="s">
        <v>402</v>
      </c>
      <c r="Y33" s="93">
        <v>1</v>
      </c>
      <c r="Z33" s="94">
        <v>1</v>
      </c>
      <c r="AA33" s="74">
        <v>102</v>
      </c>
      <c r="AB33" s="75">
        <v>119</v>
      </c>
      <c r="AC33" s="75">
        <v>6425.4511330891337</v>
      </c>
      <c r="AD33" s="76">
        <v>7710.5413597302177</v>
      </c>
      <c r="AE33" s="77">
        <v>66.293242497999998</v>
      </c>
      <c r="AF33" s="75">
        <v>82.616016470999995</v>
      </c>
      <c r="AG33" s="78">
        <v>4039.6710119192976</v>
      </c>
      <c r="AH33" s="79">
        <v>4847.6052142566432</v>
      </c>
      <c r="AI33" s="74">
        <v>1211.9013035641608</v>
      </c>
      <c r="AJ33" s="75">
        <v>0</v>
      </c>
      <c r="AK33" s="75">
        <v>0</v>
      </c>
      <c r="AL33" s="80">
        <v>1211.9013035641608</v>
      </c>
      <c r="AM33" s="74">
        <v>0</v>
      </c>
      <c r="AN33" s="74">
        <v>0</v>
      </c>
      <c r="AO33" s="81" t="s">
        <v>403</v>
      </c>
      <c r="AP33" s="82">
        <v>2</v>
      </c>
      <c r="AQ33" s="75">
        <v>0</v>
      </c>
      <c r="AR33" s="75">
        <v>0</v>
      </c>
      <c r="AS33" s="80">
        <v>0</v>
      </c>
      <c r="AT33" s="74">
        <v>144.21625511948369</v>
      </c>
      <c r="AU33" s="75">
        <v>121.5940974591546</v>
      </c>
      <c r="AV33" s="75">
        <v>279.94920112797257</v>
      </c>
      <c r="AW33" s="75">
        <v>132.0568453747311</v>
      </c>
      <c r="AX33" s="80">
        <v>677.81639908134196</v>
      </c>
      <c r="AY33" s="81">
        <v>2.4208380958455473E-2</v>
      </c>
      <c r="AZ33" s="83">
        <v>0</v>
      </c>
      <c r="BA33" s="80">
        <v>0</v>
      </c>
      <c r="BB33" s="84">
        <v>2429.9025104017674</v>
      </c>
      <c r="BC33" s="85">
        <v>8.6797979798163141</v>
      </c>
      <c r="BD33" s="86">
        <v>0.60151000000549315</v>
      </c>
      <c r="BE33" s="84">
        <v>2561.9593557764983</v>
      </c>
      <c r="BF33" s="87">
        <v>6.2182566919189286</v>
      </c>
      <c r="BG33" s="88">
        <v>0.63420000000427756</v>
      </c>
      <c r="BH33" s="89">
        <v>0</v>
      </c>
      <c r="BI33" s="90">
        <v>0.2999999999971214</v>
      </c>
      <c r="BJ33" s="90">
        <v>0.16778999999787186</v>
      </c>
      <c r="BK33" s="91">
        <v>0.46778999999499327</v>
      </c>
      <c r="BL33" s="92">
        <v>2149.9533092737947</v>
      </c>
      <c r="BM33" s="95">
        <v>0</v>
      </c>
      <c r="BN33" t="s">
        <v>402</v>
      </c>
      <c r="BO33">
        <v>0.85994999999999999</v>
      </c>
    </row>
    <row r="34" spans="1:67">
      <c r="A34" s="61" t="str">
        <f t="shared" ref="A34:A97" si="1">B34</f>
        <v>UK</v>
      </c>
      <c r="B34" s="62" t="s">
        <v>64</v>
      </c>
      <c r="C34" s="62" t="s">
        <v>176</v>
      </c>
      <c r="D34" s="63" t="s">
        <v>97</v>
      </c>
      <c r="E34" s="64">
        <v>43831</v>
      </c>
      <c r="F34" s="64">
        <v>43921</v>
      </c>
      <c r="G34" s="65">
        <v>43995</v>
      </c>
      <c r="H34" s="66" t="s">
        <v>132</v>
      </c>
      <c r="I34" s="67">
        <v>3</v>
      </c>
      <c r="J34" s="68">
        <v>2020</v>
      </c>
      <c r="K34" s="69">
        <v>1</v>
      </c>
      <c r="L34" s="70">
        <v>3</v>
      </c>
      <c r="M34" s="71" t="s">
        <v>140</v>
      </c>
      <c r="N34" s="71" t="s">
        <v>18</v>
      </c>
      <c r="O34" s="71" t="s">
        <v>78</v>
      </c>
      <c r="P34" s="71" t="s">
        <v>102</v>
      </c>
      <c r="Q34" s="61" t="s">
        <v>117</v>
      </c>
      <c r="R34" s="63" t="s">
        <v>165</v>
      </c>
      <c r="S34" s="72" t="s">
        <v>434</v>
      </c>
      <c r="T34" s="61" t="s">
        <v>435</v>
      </c>
      <c r="U34" s="73" t="s">
        <v>501</v>
      </c>
      <c r="V34" s="62">
        <v>106404</v>
      </c>
      <c r="W34" s="62" t="s">
        <v>464</v>
      </c>
      <c r="X34" s="62" t="s">
        <v>402</v>
      </c>
      <c r="Y34" s="93">
        <v>1</v>
      </c>
      <c r="Z34" s="94">
        <v>1</v>
      </c>
      <c r="AA34" s="74">
        <v>0</v>
      </c>
      <c r="AB34" s="75">
        <v>0</v>
      </c>
      <c r="AC34" s="75">
        <v>0</v>
      </c>
      <c r="AD34" s="76">
        <v>0</v>
      </c>
      <c r="AE34" s="77">
        <v>1.8719178082000001</v>
      </c>
      <c r="AF34" s="75">
        <v>2.6794520548</v>
      </c>
      <c r="AG34" s="78">
        <v>128.13563871155301</v>
      </c>
      <c r="AH34" s="79">
        <v>153.76276645153789</v>
      </c>
      <c r="AI34" s="74">
        <v>38.440691612303048</v>
      </c>
      <c r="AJ34" s="75">
        <v>0</v>
      </c>
      <c r="AK34" s="75">
        <v>0</v>
      </c>
      <c r="AL34" s="80">
        <v>38.440691612303048</v>
      </c>
      <c r="AM34" s="74">
        <v>0</v>
      </c>
      <c r="AN34" s="74">
        <v>0</v>
      </c>
      <c r="AO34" s="81" t="s">
        <v>403</v>
      </c>
      <c r="AP34" s="82">
        <v>0</v>
      </c>
      <c r="AQ34" s="75">
        <v>0</v>
      </c>
      <c r="AR34" s="75">
        <v>0</v>
      </c>
      <c r="AS34" s="80">
        <v>0</v>
      </c>
      <c r="AT34" s="74">
        <v>4.5744423018780163</v>
      </c>
      <c r="AU34" s="75">
        <v>3.8568827250421536</v>
      </c>
      <c r="AV34" s="75">
        <v>8.879799762428048</v>
      </c>
      <c r="AW34" s="75">
        <v>4.1887540293040297</v>
      </c>
      <c r="AX34" s="80">
        <v>21.499878818652249</v>
      </c>
      <c r="AY34" s="81">
        <v>0</v>
      </c>
      <c r="AZ34" s="83" t="s">
        <v>403</v>
      </c>
      <c r="BA34" s="80" t="s">
        <v>403</v>
      </c>
      <c r="BB34" s="84">
        <v>77.074868043025759</v>
      </c>
      <c r="BC34" s="85">
        <v>8.6797979802588241</v>
      </c>
      <c r="BD34" s="86">
        <v>0.60151000001279509</v>
      </c>
      <c r="BE34" s="84">
        <v>81.263622072329795</v>
      </c>
      <c r="BF34" s="87">
        <v>6.2182566921629734</v>
      </c>
      <c r="BG34" s="88">
        <v>0.63420000001141663</v>
      </c>
      <c r="BH34" s="89">
        <v>0</v>
      </c>
      <c r="BI34" s="90">
        <v>0.2999999999909248</v>
      </c>
      <c r="BJ34" s="90">
        <v>0.16778999999407479</v>
      </c>
      <c r="BK34" s="91">
        <v>0.46778999998499959</v>
      </c>
      <c r="BL34" s="92">
        <v>68.195068280597724</v>
      </c>
      <c r="BM34" s="95">
        <v>0</v>
      </c>
      <c r="BN34" t="s">
        <v>402</v>
      </c>
      <c r="BO34">
        <v>0.85994999999999999</v>
      </c>
    </row>
    <row r="35" spans="1:67">
      <c r="A35" s="61" t="str">
        <f t="shared" si="1"/>
        <v>UK</v>
      </c>
      <c r="B35" s="62" t="s">
        <v>64</v>
      </c>
      <c r="C35" s="62" t="s">
        <v>176</v>
      </c>
      <c r="D35" s="63" t="s">
        <v>97</v>
      </c>
      <c r="E35" s="64">
        <v>43831</v>
      </c>
      <c r="F35" s="64">
        <v>43921</v>
      </c>
      <c r="G35" s="65">
        <v>43995</v>
      </c>
      <c r="H35" s="66" t="s">
        <v>132</v>
      </c>
      <c r="I35" s="67">
        <v>3</v>
      </c>
      <c r="J35" s="68">
        <v>2020</v>
      </c>
      <c r="K35" s="69">
        <v>1</v>
      </c>
      <c r="L35" s="70">
        <v>3</v>
      </c>
      <c r="M35" s="71" t="s">
        <v>140</v>
      </c>
      <c r="N35" s="71" t="s">
        <v>18</v>
      </c>
      <c r="O35" s="71" t="s">
        <v>78</v>
      </c>
      <c r="P35" s="71" t="s">
        <v>102</v>
      </c>
      <c r="Q35" s="61" t="s">
        <v>117</v>
      </c>
      <c r="R35" s="63" t="s">
        <v>106</v>
      </c>
      <c r="S35" s="72" t="s">
        <v>434</v>
      </c>
      <c r="T35" s="61" t="s">
        <v>435</v>
      </c>
      <c r="U35" s="73" t="s">
        <v>502</v>
      </c>
      <c r="V35" s="62">
        <v>107625</v>
      </c>
      <c r="W35" s="62" t="s">
        <v>464</v>
      </c>
      <c r="X35" s="62" t="s">
        <v>402</v>
      </c>
      <c r="Y35" s="93">
        <v>1</v>
      </c>
      <c r="Z35" s="94">
        <v>1</v>
      </c>
      <c r="AA35" s="74">
        <v>558</v>
      </c>
      <c r="AB35" s="75">
        <v>719</v>
      </c>
      <c r="AC35" s="75">
        <v>15216.136673062389</v>
      </c>
      <c r="AD35" s="76">
        <v>18259.36400837258</v>
      </c>
      <c r="AE35" s="77">
        <v>500.05559812000001</v>
      </c>
      <c r="AF35" s="75">
        <v>631.39510843000005</v>
      </c>
      <c r="AG35" s="78">
        <v>14947.120934938077</v>
      </c>
      <c r="AH35" s="79">
        <v>17936.54512122798</v>
      </c>
      <c r="AI35" s="74">
        <v>4484.1362803651373</v>
      </c>
      <c r="AJ35" s="75">
        <v>0</v>
      </c>
      <c r="AK35" s="75">
        <v>0</v>
      </c>
      <c r="AL35" s="80">
        <v>4484.1362803651373</v>
      </c>
      <c r="AM35" s="74">
        <v>5</v>
      </c>
      <c r="AN35" s="74">
        <v>1</v>
      </c>
      <c r="AO35" s="81">
        <v>0.2</v>
      </c>
      <c r="AP35" s="82">
        <v>21</v>
      </c>
      <c r="AQ35" s="75">
        <v>3533.5891787894643</v>
      </c>
      <c r="AR35" s="75">
        <v>3571.2604931682076</v>
      </c>
      <c r="AS35" s="80">
        <v>7104.8496719576724</v>
      </c>
      <c r="AT35" s="74">
        <v>533.61221736147456</v>
      </c>
      <c r="AU35" s="75">
        <v>449.90834012442582</v>
      </c>
      <c r="AV35" s="75">
        <v>1035.8354807605094</v>
      </c>
      <c r="AW35" s="75">
        <v>488.62138334786908</v>
      </c>
      <c r="AX35" s="80">
        <v>2507.9774215942789</v>
      </c>
      <c r="AY35" s="81">
        <v>3.325968117209159E-2</v>
      </c>
      <c r="AZ35" s="83">
        <v>338.32617485512725</v>
      </c>
      <c r="BA35" s="80">
        <v>11.252620707854843</v>
      </c>
      <c r="BB35" s="84">
        <v>1885.9930417814976</v>
      </c>
      <c r="BC35" s="85">
        <v>1.8207457427474905</v>
      </c>
      <c r="BD35" s="86">
        <v>0.12617767996866153</v>
      </c>
      <c r="BE35" s="84">
        <v>2374.6144251293663</v>
      </c>
      <c r="BF35" s="87">
        <v>1.5576789878657709</v>
      </c>
      <c r="BG35" s="88">
        <v>0.15886767996764078</v>
      </c>
      <c r="BH35" s="89">
        <v>0.47533232004234843</v>
      </c>
      <c r="BI35" s="90">
        <v>0.29999999999222021</v>
      </c>
      <c r="BJ35" s="90">
        <v>0.16778999999471597</v>
      </c>
      <c r="BK35" s="91">
        <v>0.94312232002928464</v>
      </c>
      <c r="BL35" s="92">
        <v>850.15756102098749</v>
      </c>
      <c r="BM35" s="95">
        <v>0</v>
      </c>
      <c r="BN35" t="s">
        <v>402</v>
      </c>
      <c r="BO35">
        <v>0.85994999999999999</v>
      </c>
    </row>
    <row r="36" spans="1:67">
      <c r="A36" s="61" t="str">
        <f t="shared" si="1"/>
        <v>UK</v>
      </c>
      <c r="B36" s="62" t="s">
        <v>64</v>
      </c>
      <c r="C36" s="62" t="s">
        <v>176</v>
      </c>
      <c r="D36" s="63" t="s">
        <v>97</v>
      </c>
      <c r="E36" s="64">
        <v>43831</v>
      </c>
      <c r="F36" s="64">
        <v>43921</v>
      </c>
      <c r="G36" s="65">
        <v>43995</v>
      </c>
      <c r="H36" s="66" t="s">
        <v>132</v>
      </c>
      <c r="I36" s="67">
        <v>3</v>
      </c>
      <c r="J36" s="68">
        <v>2020</v>
      </c>
      <c r="K36" s="69">
        <v>1</v>
      </c>
      <c r="L36" s="70">
        <v>3</v>
      </c>
      <c r="M36" s="71" t="s">
        <v>140</v>
      </c>
      <c r="N36" s="71" t="s">
        <v>18</v>
      </c>
      <c r="O36" s="71" t="s">
        <v>78</v>
      </c>
      <c r="P36" s="71" t="s">
        <v>102</v>
      </c>
      <c r="Q36" s="61" t="s">
        <v>117</v>
      </c>
      <c r="R36" s="63" t="s">
        <v>165</v>
      </c>
      <c r="S36" s="72" t="s">
        <v>434</v>
      </c>
      <c r="T36" s="61" t="s">
        <v>435</v>
      </c>
      <c r="U36" s="73" t="s">
        <v>503</v>
      </c>
      <c r="V36" s="62">
        <v>106402</v>
      </c>
      <c r="W36" s="62" t="s">
        <v>464</v>
      </c>
      <c r="X36" s="62" t="s">
        <v>402</v>
      </c>
      <c r="Y36" s="93">
        <v>1</v>
      </c>
      <c r="Z36" s="94">
        <v>1</v>
      </c>
      <c r="AA36" s="74">
        <v>0</v>
      </c>
      <c r="AB36" s="75">
        <v>0</v>
      </c>
      <c r="AC36" s="75">
        <v>0</v>
      </c>
      <c r="AD36" s="76">
        <v>0</v>
      </c>
      <c r="AE36" s="77">
        <v>52.732191780999997</v>
      </c>
      <c r="AF36" s="75">
        <v>86.669178082000002</v>
      </c>
      <c r="AG36" s="78">
        <v>5316.7182557125416</v>
      </c>
      <c r="AH36" s="79">
        <v>6380.0619068550495</v>
      </c>
      <c r="AI36" s="74">
        <v>1595.0154767137624</v>
      </c>
      <c r="AJ36" s="75">
        <v>0</v>
      </c>
      <c r="AK36" s="75">
        <v>0</v>
      </c>
      <c r="AL36" s="80">
        <v>1595.0154767137624</v>
      </c>
      <c r="AM36" s="74">
        <v>0</v>
      </c>
      <c r="AN36" s="74">
        <v>0</v>
      </c>
      <c r="AO36" s="81" t="s">
        <v>403</v>
      </c>
      <c r="AP36" s="82">
        <v>0</v>
      </c>
      <c r="AQ36" s="75">
        <v>0</v>
      </c>
      <c r="AR36" s="75">
        <v>0</v>
      </c>
      <c r="AS36" s="80">
        <v>0</v>
      </c>
      <c r="AT36" s="74">
        <v>189.806841723356</v>
      </c>
      <c r="AU36" s="75">
        <v>160.03321950113377</v>
      </c>
      <c r="AV36" s="75">
        <v>368.44857512646081</v>
      </c>
      <c r="AW36" s="75">
        <v>173.80351977440549</v>
      </c>
      <c r="AX36" s="80">
        <v>892.09215612535604</v>
      </c>
      <c r="AY36" s="81">
        <v>0</v>
      </c>
      <c r="AZ36" s="83" t="s">
        <v>403</v>
      </c>
      <c r="BA36" s="80" t="s">
        <v>403</v>
      </c>
      <c r="BB36" s="84">
        <v>3198.059197999884</v>
      </c>
      <c r="BC36" s="85">
        <v>8.6797979796834053</v>
      </c>
      <c r="BD36" s="86">
        <v>0.60151000000117238</v>
      </c>
      <c r="BE36" s="84">
        <v>3371.8627177742892</v>
      </c>
      <c r="BF36" s="87">
        <v>6.2182566918265723</v>
      </c>
      <c r="BG36" s="88">
        <v>0.63420000000026244</v>
      </c>
      <c r="BH36" s="89">
        <v>0</v>
      </c>
      <c r="BI36" s="90">
        <v>0.3</v>
      </c>
      <c r="BJ36" s="90">
        <v>0.16778999999987751</v>
      </c>
      <c r="BK36" s="91">
        <v>0.46778999999987747</v>
      </c>
      <c r="BL36" s="92">
        <v>2829.6106228734234</v>
      </c>
      <c r="BM36" s="95">
        <v>0</v>
      </c>
      <c r="BN36" t="s">
        <v>402</v>
      </c>
      <c r="BO36">
        <v>0.85994999999999999</v>
      </c>
    </row>
    <row r="37" spans="1:67">
      <c r="A37" s="61" t="str">
        <f t="shared" si="1"/>
        <v>UK</v>
      </c>
      <c r="B37" s="62" t="s">
        <v>64</v>
      </c>
      <c r="C37" s="62" t="s">
        <v>176</v>
      </c>
      <c r="D37" s="63" t="s">
        <v>97</v>
      </c>
      <c r="E37" s="64">
        <v>43831</v>
      </c>
      <c r="F37" s="64">
        <v>43921</v>
      </c>
      <c r="G37" s="65">
        <v>43995</v>
      </c>
      <c r="H37" s="66" t="s">
        <v>132</v>
      </c>
      <c r="I37" s="67">
        <v>3</v>
      </c>
      <c r="J37" s="68">
        <v>2020</v>
      </c>
      <c r="K37" s="69">
        <v>1</v>
      </c>
      <c r="L37" s="70">
        <v>3</v>
      </c>
      <c r="M37" s="71" t="s">
        <v>140</v>
      </c>
      <c r="N37" s="71" t="s">
        <v>18</v>
      </c>
      <c r="O37" s="71" t="s">
        <v>78</v>
      </c>
      <c r="P37" s="71" t="s">
        <v>102</v>
      </c>
      <c r="Q37" s="61" t="s">
        <v>117</v>
      </c>
      <c r="R37" s="63" t="s">
        <v>112</v>
      </c>
      <c r="S37" s="72" t="s">
        <v>434</v>
      </c>
      <c r="T37" s="61" t="s">
        <v>435</v>
      </c>
      <c r="U37" s="73" t="s">
        <v>504</v>
      </c>
      <c r="V37" s="62">
        <v>107631</v>
      </c>
      <c r="W37" s="62" t="s">
        <v>464</v>
      </c>
      <c r="X37" s="62" t="s">
        <v>402</v>
      </c>
      <c r="Y37" s="93">
        <v>1</v>
      </c>
      <c r="Z37" s="94">
        <v>1</v>
      </c>
      <c r="AA37" s="74">
        <v>752</v>
      </c>
      <c r="AB37" s="75">
        <v>1101</v>
      </c>
      <c r="AC37" s="75">
        <v>78444.842023373451</v>
      </c>
      <c r="AD37" s="76">
        <v>94133.810427350429</v>
      </c>
      <c r="AE37" s="77">
        <v>422.81125395999999</v>
      </c>
      <c r="AF37" s="75">
        <v>611.04852320999998</v>
      </c>
      <c r="AG37" s="78">
        <v>43997.031585557299</v>
      </c>
      <c r="AH37" s="79">
        <v>52796.437902203623</v>
      </c>
      <c r="AI37" s="74">
        <v>13199.109476132335</v>
      </c>
      <c r="AJ37" s="75">
        <v>0</v>
      </c>
      <c r="AK37" s="75">
        <v>0</v>
      </c>
      <c r="AL37" s="80">
        <v>13199.109476132335</v>
      </c>
      <c r="AM37" s="74">
        <v>17</v>
      </c>
      <c r="AN37" s="74">
        <v>6</v>
      </c>
      <c r="AO37" s="81">
        <v>0.35294117647058826</v>
      </c>
      <c r="AP37" s="82">
        <v>59</v>
      </c>
      <c r="AQ37" s="75">
        <v>4245.7352203035061</v>
      </c>
      <c r="AR37" s="75">
        <v>5945.6712639106927</v>
      </c>
      <c r="AS37" s="80">
        <v>10191.4064842142</v>
      </c>
      <c r="AT37" s="74">
        <v>1570.6940275597419</v>
      </c>
      <c r="AU37" s="75">
        <v>1324.3106507355078</v>
      </c>
      <c r="AV37" s="75">
        <v>3048.9942888540031</v>
      </c>
      <c r="AW37" s="75">
        <v>1438.2629624978197</v>
      </c>
      <c r="AX37" s="80">
        <v>7382.261929647073</v>
      </c>
      <c r="AY37" s="81">
        <v>9.6555343412103103E-2</v>
      </c>
      <c r="AZ37" s="83">
        <v>172.73570312227457</v>
      </c>
      <c r="BA37" s="80">
        <v>16.678555134502311</v>
      </c>
      <c r="BB37" s="84">
        <v>16273.247984417696</v>
      </c>
      <c r="BC37" s="85">
        <v>5.3372510548500136</v>
      </c>
      <c r="BD37" s="86">
        <v>0.36987149809805897</v>
      </c>
      <c r="BE37" s="84">
        <v>17711.510946915514</v>
      </c>
      <c r="BF37" s="87">
        <v>3.9470683214294828</v>
      </c>
      <c r="BG37" s="88">
        <v>0.40256149809728503</v>
      </c>
      <c r="BH37" s="89">
        <v>0.23163850189292509</v>
      </c>
      <c r="BI37" s="90">
        <v>0.3000000000105722</v>
      </c>
      <c r="BJ37" s="90">
        <v>0.16778999999787289</v>
      </c>
      <c r="BK37" s="91">
        <v>0.69942850190137018</v>
      </c>
      <c r="BL37" s="92">
        <v>13224.25369556369</v>
      </c>
      <c r="BM37" s="95">
        <v>0</v>
      </c>
      <c r="BN37" t="s">
        <v>402</v>
      </c>
      <c r="BO37">
        <v>0.85994999999999999</v>
      </c>
    </row>
    <row r="38" spans="1:67">
      <c r="A38" s="61" t="str">
        <f t="shared" si="1"/>
        <v>UK</v>
      </c>
      <c r="B38" s="62" t="s">
        <v>64</v>
      </c>
      <c r="C38" s="62" t="s">
        <v>176</v>
      </c>
      <c r="D38" s="63" t="s">
        <v>97</v>
      </c>
      <c r="E38" s="64">
        <v>43831</v>
      </c>
      <c r="F38" s="64">
        <v>43921</v>
      </c>
      <c r="G38" s="65">
        <v>43995</v>
      </c>
      <c r="H38" s="66" t="s">
        <v>132</v>
      </c>
      <c r="I38" s="67">
        <v>3</v>
      </c>
      <c r="J38" s="68">
        <v>2020</v>
      </c>
      <c r="K38" s="69">
        <v>1</v>
      </c>
      <c r="L38" s="70">
        <v>3</v>
      </c>
      <c r="M38" s="71" t="s">
        <v>140</v>
      </c>
      <c r="N38" s="71" t="s">
        <v>18</v>
      </c>
      <c r="O38" s="71" t="s">
        <v>78</v>
      </c>
      <c r="P38" s="71" t="s">
        <v>102</v>
      </c>
      <c r="Q38" s="61" t="s">
        <v>117</v>
      </c>
      <c r="R38" s="63" t="s">
        <v>165</v>
      </c>
      <c r="S38" s="72" t="s">
        <v>434</v>
      </c>
      <c r="T38" s="61" t="s">
        <v>435</v>
      </c>
      <c r="U38" s="73" t="s">
        <v>505</v>
      </c>
      <c r="V38" s="62">
        <v>106405</v>
      </c>
      <c r="W38" s="62" t="s">
        <v>464</v>
      </c>
      <c r="X38" s="62" t="s">
        <v>402</v>
      </c>
      <c r="Y38" s="93">
        <v>1</v>
      </c>
      <c r="Z38" s="94">
        <v>1</v>
      </c>
      <c r="AA38" s="74">
        <v>0</v>
      </c>
      <c r="AB38" s="75">
        <v>0</v>
      </c>
      <c r="AC38" s="75">
        <v>0</v>
      </c>
      <c r="AD38" s="76">
        <v>0</v>
      </c>
      <c r="AE38" s="77">
        <v>19.481046486</v>
      </c>
      <c r="AF38" s="75">
        <v>41.187435436999998</v>
      </c>
      <c r="AG38" s="78">
        <v>2154.5715119483689</v>
      </c>
      <c r="AH38" s="79">
        <v>2585.4858142915286</v>
      </c>
      <c r="AI38" s="74">
        <v>646.37145358451085</v>
      </c>
      <c r="AJ38" s="75">
        <v>0</v>
      </c>
      <c r="AK38" s="75">
        <v>0</v>
      </c>
      <c r="AL38" s="80">
        <v>646.37145358451085</v>
      </c>
      <c r="AM38" s="74">
        <v>0</v>
      </c>
      <c r="AN38" s="74">
        <v>0</v>
      </c>
      <c r="AO38" s="81" t="s">
        <v>403</v>
      </c>
      <c r="AP38" s="82">
        <v>0</v>
      </c>
      <c r="AQ38" s="75">
        <v>0</v>
      </c>
      <c r="AR38" s="75">
        <v>0</v>
      </c>
      <c r="AS38" s="80">
        <v>0</v>
      </c>
      <c r="AT38" s="74">
        <v>76.918202976917271</v>
      </c>
      <c r="AU38" s="75">
        <v>64.852602509448232</v>
      </c>
      <c r="AV38" s="75">
        <v>149.31180577940577</v>
      </c>
      <c r="AW38" s="75">
        <v>70.432942725739863</v>
      </c>
      <c r="AX38" s="80">
        <v>361.51555399151113</v>
      </c>
      <c r="AY38" s="81">
        <v>0</v>
      </c>
      <c r="AZ38" s="83" t="s">
        <v>403</v>
      </c>
      <c r="BA38" s="80" t="s">
        <v>403</v>
      </c>
      <c r="BB38" s="84">
        <v>1295.9963101517526</v>
      </c>
      <c r="BC38" s="85">
        <v>8.6797979797154543</v>
      </c>
      <c r="BD38" s="86">
        <v>0.60150999999985577</v>
      </c>
      <c r="BE38" s="84">
        <v>1366.4292528774924</v>
      </c>
      <c r="BF38" s="87">
        <v>6.2182566917884525</v>
      </c>
      <c r="BG38" s="88">
        <v>0.63419999999992427</v>
      </c>
      <c r="BH38" s="89">
        <v>0</v>
      </c>
      <c r="BI38" s="90">
        <v>0.3000000000000001</v>
      </c>
      <c r="BJ38" s="90">
        <v>0.16779000000078639</v>
      </c>
      <c r="BK38" s="91">
        <v>0.46779000000078652</v>
      </c>
      <c r="BL38" s="92">
        <v>1146.684504372347</v>
      </c>
      <c r="BM38" s="95">
        <v>0</v>
      </c>
      <c r="BN38" t="s">
        <v>402</v>
      </c>
      <c r="BO38">
        <v>0.85994999999999999</v>
      </c>
    </row>
    <row r="39" spans="1:67">
      <c r="A39" s="61" t="str">
        <f t="shared" si="1"/>
        <v>UK</v>
      </c>
      <c r="B39" s="62" t="s">
        <v>64</v>
      </c>
      <c r="C39" s="62" t="s">
        <v>176</v>
      </c>
      <c r="D39" s="63" t="s">
        <v>97</v>
      </c>
      <c r="E39" s="64">
        <v>43831</v>
      </c>
      <c r="F39" s="64">
        <v>43921</v>
      </c>
      <c r="G39" s="65">
        <v>43995</v>
      </c>
      <c r="H39" s="66" t="s">
        <v>132</v>
      </c>
      <c r="I39" s="67">
        <v>3</v>
      </c>
      <c r="J39" s="68">
        <v>2020</v>
      </c>
      <c r="K39" s="69">
        <v>1</v>
      </c>
      <c r="L39" s="70">
        <v>3</v>
      </c>
      <c r="M39" s="71" t="s">
        <v>140</v>
      </c>
      <c r="N39" s="71" t="s">
        <v>18</v>
      </c>
      <c r="O39" s="71" t="s">
        <v>78</v>
      </c>
      <c r="P39" s="71" t="s">
        <v>102</v>
      </c>
      <c r="Q39" s="61" t="s">
        <v>117</v>
      </c>
      <c r="R39" s="63" t="s">
        <v>112</v>
      </c>
      <c r="S39" s="72" t="s">
        <v>434</v>
      </c>
      <c r="T39" s="61" t="s">
        <v>435</v>
      </c>
      <c r="U39" s="73" t="s">
        <v>506</v>
      </c>
      <c r="V39" s="62">
        <v>107633</v>
      </c>
      <c r="W39" s="62" t="s">
        <v>464</v>
      </c>
      <c r="X39" s="62" t="s">
        <v>402</v>
      </c>
      <c r="Y39" s="93">
        <v>1</v>
      </c>
      <c r="Z39" s="94">
        <v>1</v>
      </c>
      <c r="AA39" s="74">
        <v>189</v>
      </c>
      <c r="AB39" s="75">
        <v>355</v>
      </c>
      <c r="AC39" s="75">
        <v>29805.628170242457</v>
      </c>
      <c r="AD39" s="76">
        <v>35766.753804290944</v>
      </c>
      <c r="AE39" s="77">
        <v>89.552983144999999</v>
      </c>
      <c r="AF39" s="75">
        <v>159.63684696000001</v>
      </c>
      <c r="AG39" s="78">
        <v>13918.413436827723</v>
      </c>
      <c r="AH39" s="79">
        <v>16702.096124193267</v>
      </c>
      <c r="AI39" s="74">
        <v>4175.5240309320307</v>
      </c>
      <c r="AJ39" s="75">
        <v>0</v>
      </c>
      <c r="AK39" s="75">
        <v>0</v>
      </c>
      <c r="AL39" s="80">
        <v>4175.5240309320307</v>
      </c>
      <c r="AM39" s="74">
        <v>5</v>
      </c>
      <c r="AN39" s="74">
        <v>0</v>
      </c>
      <c r="AO39" s="81">
        <v>0</v>
      </c>
      <c r="AP39" s="82">
        <v>17</v>
      </c>
      <c r="AQ39" s="75">
        <v>1596.86024850282</v>
      </c>
      <c r="AR39" s="75">
        <v>1596.86024850282</v>
      </c>
      <c r="AS39" s="80">
        <v>3193.72049700564</v>
      </c>
      <c r="AT39" s="74">
        <v>496.88735967207396</v>
      </c>
      <c r="AU39" s="75">
        <v>418.94424443281582</v>
      </c>
      <c r="AV39" s="75">
        <v>964.54605114250819</v>
      </c>
      <c r="AW39" s="75">
        <v>454.99293522879236</v>
      </c>
      <c r="AX39" s="80">
        <v>2335.37059047619</v>
      </c>
      <c r="AY39" s="81">
        <v>0.10649170491484129</v>
      </c>
      <c r="AZ39" s="83">
        <v>187.86591158856706</v>
      </c>
      <c r="BA39" s="80">
        <v>20.006161220447346</v>
      </c>
      <c r="BB39" s="84">
        <v>5178.3443695563692</v>
      </c>
      <c r="BC39" s="85">
        <v>5.3686854696285389</v>
      </c>
      <c r="BD39" s="86">
        <v>0.37204990303381985</v>
      </c>
      <c r="BE39" s="84">
        <v>5633.3373047851619</v>
      </c>
      <c r="BF39" s="87">
        <v>3.9684273266670838</v>
      </c>
      <c r="BG39" s="88">
        <v>0.40473990303230345</v>
      </c>
      <c r="BH39" s="89">
        <v>0.22946009697880845</v>
      </c>
      <c r="BI39" s="90">
        <v>0.29999999999164517</v>
      </c>
      <c r="BJ39" s="90">
        <v>0.16778999999359601</v>
      </c>
      <c r="BK39" s="91">
        <v>0.6972500969640496</v>
      </c>
      <c r="BL39" s="92">
        <v>4213.7983184138611</v>
      </c>
      <c r="BM39" s="95">
        <v>0</v>
      </c>
      <c r="BN39" t="s">
        <v>402</v>
      </c>
      <c r="BO39">
        <v>0.85994999999999999</v>
      </c>
    </row>
    <row r="40" spans="1:67">
      <c r="A40" s="61" t="str">
        <f t="shared" si="1"/>
        <v>UK</v>
      </c>
      <c r="B40" s="62" t="s">
        <v>64</v>
      </c>
      <c r="C40" s="62" t="s">
        <v>176</v>
      </c>
      <c r="D40" s="63" t="s">
        <v>97</v>
      </c>
      <c r="E40" s="64">
        <v>43831</v>
      </c>
      <c r="F40" s="64">
        <v>43921</v>
      </c>
      <c r="G40" s="65">
        <v>43995</v>
      </c>
      <c r="H40" s="66" t="s">
        <v>132</v>
      </c>
      <c r="I40" s="67">
        <v>3</v>
      </c>
      <c r="J40" s="68">
        <v>2020</v>
      </c>
      <c r="K40" s="69">
        <v>1</v>
      </c>
      <c r="L40" s="70">
        <v>3</v>
      </c>
      <c r="M40" s="71" t="s">
        <v>140</v>
      </c>
      <c r="N40" s="71" t="s">
        <v>18</v>
      </c>
      <c r="O40" s="71" t="s">
        <v>78</v>
      </c>
      <c r="P40" s="71" t="s">
        <v>102</v>
      </c>
      <c r="Q40" s="61" t="s">
        <v>117</v>
      </c>
      <c r="R40" s="63" t="s">
        <v>165</v>
      </c>
      <c r="S40" s="72" t="s">
        <v>434</v>
      </c>
      <c r="T40" s="61" t="s">
        <v>435</v>
      </c>
      <c r="U40" s="73" t="s">
        <v>507</v>
      </c>
      <c r="V40" s="62">
        <v>106395</v>
      </c>
      <c r="W40" s="62" t="s">
        <v>464</v>
      </c>
      <c r="X40" s="62" t="s">
        <v>402</v>
      </c>
      <c r="Y40" s="93">
        <v>1</v>
      </c>
      <c r="Z40" s="94">
        <v>1</v>
      </c>
      <c r="AA40" s="74">
        <v>0</v>
      </c>
      <c r="AB40" s="75">
        <v>0</v>
      </c>
      <c r="AC40" s="75">
        <v>0</v>
      </c>
      <c r="AD40" s="76">
        <v>0</v>
      </c>
      <c r="AE40" s="77">
        <v>2.1973684211000002</v>
      </c>
      <c r="AF40" s="75">
        <v>3.5921052632000001</v>
      </c>
      <c r="AG40" s="78">
        <v>173.61269958718529</v>
      </c>
      <c r="AH40" s="79">
        <v>208.33523951392522</v>
      </c>
      <c r="AI40" s="74">
        <v>52.083809877318451</v>
      </c>
      <c r="AJ40" s="75">
        <v>0</v>
      </c>
      <c r="AK40" s="75">
        <v>0</v>
      </c>
      <c r="AL40" s="80">
        <v>52.083809877318451</v>
      </c>
      <c r="AM40" s="74">
        <v>0</v>
      </c>
      <c r="AN40" s="74">
        <v>0</v>
      </c>
      <c r="AO40" s="81" t="s">
        <v>403</v>
      </c>
      <c r="AP40" s="82">
        <v>0</v>
      </c>
      <c r="AQ40" s="75">
        <v>0</v>
      </c>
      <c r="AR40" s="75">
        <v>0</v>
      </c>
      <c r="AS40" s="80">
        <v>0</v>
      </c>
      <c r="AT40" s="74">
        <v>6.1979733754288038</v>
      </c>
      <c r="AU40" s="75">
        <v>5.2257422576894008</v>
      </c>
      <c r="AV40" s="75">
        <v>12.031360081400081</v>
      </c>
      <c r="AW40" s="75">
        <v>5.6753991496017218</v>
      </c>
      <c r="AX40" s="80">
        <v>29.130474864120011</v>
      </c>
      <c r="AY40" s="81">
        <v>0</v>
      </c>
      <c r="AZ40" s="83" t="s">
        <v>403</v>
      </c>
      <c r="BA40" s="80" t="s">
        <v>403</v>
      </c>
      <c r="BB40" s="84">
        <v>104.42977492714692</v>
      </c>
      <c r="BC40" s="85">
        <v>8.6797979796640341</v>
      </c>
      <c r="BD40" s="86">
        <v>0.60150999999112453</v>
      </c>
      <c r="BE40" s="84">
        <v>110.10517407674864</v>
      </c>
      <c r="BF40" s="87">
        <v>6.2182566917141715</v>
      </c>
      <c r="BG40" s="88">
        <v>0.63419999999168108</v>
      </c>
      <c r="BH40" s="89">
        <v>0</v>
      </c>
      <c r="BI40" s="90">
        <v>0.30000000000669802</v>
      </c>
      <c r="BJ40" s="90">
        <v>0.16779000000222444</v>
      </c>
      <c r="BK40" s="91">
        <v>0.46779000000892246</v>
      </c>
      <c r="BL40" s="92">
        <v>92.398414845746828</v>
      </c>
      <c r="BM40" s="95">
        <v>0</v>
      </c>
      <c r="BN40" t="s">
        <v>402</v>
      </c>
      <c r="BO40">
        <v>0.85994999999999999</v>
      </c>
    </row>
    <row r="41" spans="1:67">
      <c r="A41" s="61" t="str">
        <f t="shared" si="1"/>
        <v>UK</v>
      </c>
      <c r="B41" s="62" t="s">
        <v>64</v>
      </c>
      <c r="C41" s="62" t="s">
        <v>176</v>
      </c>
      <c r="D41" s="63" t="s">
        <v>97</v>
      </c>
      <c r="E41" s="64">
        <v>43831</v>
      </c>
      <c r="F41" s="64">
        <v>43921</v>
      </c>
      <c r="G41" s="65">
        <v>43995</v>
      </c>
      <c r="H41" s="66" t="s">
        <v>132</v>
      </c>
      <c r="I41" s="67">
        <v>3</v>
      </c>
      <c r="J41" s="68">
        <v>2020</v>
      </c>
      <c r="K41" s="69">
        <v>1</v>
      </c>
      <c r="L41" s="70">
        <v>3</v>
      </c>
      <c r="M41" s="71" t="s">
        <v>140</v>
      </c>
      <c r="N41" s="71" t="s">
        <v>18</v>
      </c>
      <c r="O41" s="71" t="s">
        <v>78</v>
      </c>
      <c r="P41" s="71" t="s">
        <v>102</v>
      </c>
      <c r="Q41" s="61" t="s">
        <v>117</v>
      </c>
      <c r="R41" s="63" t="s">
        <v>106</v>
      </c>
      <c r="S41" s="72" t="s">
        <v>434</v>
      </c>
      <c r="T41" s="61" t="s">
        <v>435</v>
      </c>
      <c r="U41" s="73" t="s">
        <v>508</v>
      </c>
      <c r="V41" s="62">
        <v>107626</v>
      </c>
      <c r="W41" s="62" t="s">
        <v>464</v>
      </c>
      <c r="X41" s="62" t="s">
        <v>402</v>
      </c>
      <c r="Y41" s="93">
        <v>1</v>
      </c>
      <c r="Z41" s="94">
        <v>1</v>
      </c>
      <c r="AA41" s="74">
        <v>1901</v>
      </c>
      <c r="AB41" s="75">
        <v>2941</v>
      </c>
      <c r="AC41" s="75">
        <v>85440.209648235366</v>
      </c>
      <c r="AD41" s="76">
        <v>102528.25157741728</v>
      </c>
      <c r="AE41" s="77">
        <v>1400.6306830000001</v>
      </c>
      <c r="AF41" s="75">
        <v>1934.2097976</v>
      </c>
      <c r="AG41" s="78">
        <v>60496.58223850224</v>
      </c>
      <c r="AH41" s="79">
        <v>72595.898685970111</v>
      </c>
      <c r="AI41" s="74">
        <v>18148.974671783242</v>
      </c>
      <c r="AJ41" s="75">
        <v>0</v>
      </c>
      <c r="AK41" s="75">
        <v>0</v>
      </c>
      <c r="AL41" s="80">
        <v>18148.974671783242</v>
      </c>
      <c r="AM41" s="74">
        <v>17</v>
      </c>
      <c r="AN41" s="74">
        <v>4</v>
      </c>
      <c r="AO41" s="81">
        <v>0.23529411764705882</v>
      </c>
      <c r="AP41" s="82">
        <v>76</v>
      </c>
      <c r="AQ41" s="75">
        <v>19894.21500901215</v>
      </c>
      <c r="AR41" s="75">
        <v>74835.261425664285</v>
      </c>
      <c r="AS41" s="80">
        <v>94729.476434676442</v>
      </c>
      <c r="AT41" s="74">
        <v>2159.7279859294144</v>
      </c>
      <c r="AU41" s="75">
        <v>1820.9471254142684</v>
      </c>
      <c r="AV41" s="75">
        <v>4192.4131491365779</v>
      </c>
      <c r="AW41" s="75">
        <v>1977.6332733298448</v>
      </c>
      <c r="AX41" s="80">
        <v>10150.721533810105</v>
      </c>
      <c r="AY41" s="81">
        <v>3.9292531810304177E-2</v>
      </c>
      <c r="AZ41" s="83">
        <v>1246.4404794036375</v>
      </c>
      <c r="BA41" s="80">
        <v>48.97580218661821</v>
      </c>
      <c r="BB41" s="84">
        <v>-58340.177252630987</v>
      </c>
      <c r="BC41" s="85">
        <v>-13.915655537108996</v>
      </c>
      <c r="BD41" s="86">
        <v>-0.96435492872357942</v>
      </c>
      <c r="BE41" s="84">
        <v>-56362.543979301139</v>
      </c>
      <c r="BF41" s="87">
        <v>-9.1348654645568619</v>
      </c>
      <c r="BG41" s="88">
        <v>-0.9316649287243528</v>
      </c>
      <c r="BH41" s="89">
        <v>1.565864928719678</v>
      </c>
      <c r="BI41" s="90">
        <v>0.30000000000384436</v>
      </c>
      <c r="BJ41" s="90">
        <v>0.16779000000019528</v>
      </c>
      <c r="BK41" s="91">
        <v>2.0336549287237178</v>
      </c>
      <c r="BL41" s="92">
        <v>-62532.590401767557</v>
      </c>
      <c r="BM41" s="95">
        <v>0</v>
      </c>
      <c r="BN41" t="s">
        <v>402</v>
      </c>
      <c r="BO41">
        <v>0.85994999999999999</v>
      </c>
    </row>
    <row r="42" spans="1:67">
      <c r="A42" s="61" t="str">
        <f t="shared" si="1"/>
        <v>UK</v>
      </c>
      <c r="B42" s="62" t="s">
        <v>64</v>
      </c>
      <c r="C42" s="62" t="s">
        <v>176</v>
      </c>
      <c r="D42" s="63" t="s">
        <v>97</v>
      </c>
      <c r="E42" s="64">
        <v>43831</v>
      </c>
      <c r="F42" s="64">
        <v>43921</v>
      </c>
      <c r="G42" s="65">
        <v>43995</v>
      </c>
      <c r="H42" s="66" t="s">
        <v>132</v>
      </c>
      <c r="I42" s="67">
        <v>3</v>
      </c>
      <c r="J42" s="68">
        <v>2020</v>
      </c>
      <c r="K42" s="69">
        <v>1</v>
      </c>
      <c r="L42" s="70">
        <v>3</v>
      </c>
      <c r="M42" s="71" t="s">
        <v>140</v>
      </c>
      <c r="N42" s="71" t="s">
        <v>18</v>
      </c>
      <c r="O42" s="71" t="s">
        <v>78</v>
      </c>
      <c r="P42" s="71" t="s">
        <v>102</v>
      </c>
      <c r="Q42" s="61" t="s">
        <v>117</v>
      </c>
      <c r="R42" s="63" t="s">
        <v>106</v>
      </c>
      <c r="S42" s="72" t="s">
        <v>434</v>
      </c>
      <c r="T42" s="61" t="s">
        <v>435</v>
      </c>
      <c r="U42" s="73" t="s">
        <v>509</v>
      </c>
      <c r="V42" s="62">
        <v>107628</v>
      </c>
      <c r="W42" s="62" t="s">
        <v>464</v>
      </c>
      <c r="X42" s="62" t="s">
        <v>402</v>
      </c>
      <c r="Y42" s="93">
        <v>1</v>
      </c>
      <c r="Z42" s="94">
        <v>1</v>
      </c>
      <c r="AA42" s="74">
        <v>229</v>
      </c>
      <c r="AB42" s="75">
        <v>323</v>
      </c>
      <c r="AC42" s="75">
        <v>10852.704520495377</v>
      </c>
      <c r="AD42" s="76">
        <v>13023.245424733996</v>
      </c>
      <c r="AE42" s="77">
        <v>236.16534924000001</v>
      </c>
      <c r="AF42" s="75">
        <v>335.97427168000002</v>
      </c>
      <c r="AG42" s="78">
        <v>11393.236891214607</v>
      </c>
      <c r="AH42" s="79">
        <v>13671.884270015698</v>
      </c>
      <c r="AI42" s="74">
        <v>3417.9710673876389</v>
      </c>
      <c r="AJ42" s="75">
        <v>0</v>
      </c>
      <c r="AK42" s="75">
        <v>0</v>
      </c>
      <c r="AL42" s="80">
        <v>3417.9710673876389</v>
      </c>
      <c r="AM42" s="74">
        <v>6</v>
      </c>
      <c r="AN42" s="74">
        <v>1</v>
      </c>
      <c r="AO42" s="81">
        <v>0.16666666666666666</v>
      </c>
      <c r="AP42" s="82">
        <v>19</v>
      </c>
      <c r="AQ42" s="75">
        <v>1530.8797106808536</v>
      </c>
      <c r="AR42" s="75">
        <v>1647.1655412523985</v>
      </c>
      <c r="AS42" s="80">
        <v>3178.0452519332521</v>
      </c>
      <c r="AT42" s="74">
        <v>406.73855702075701</v>
      </c>
      <c r="AU42" s="75">
        <v>342.93643043200188</v>
      </c>
      <c r="AV42" s="75">
        <v>789.55131656491653</v>
      </c>
      <c r="AW42" s="75">
        <v>372.44491397174255</v>
      </c>
      <c r="AX42" s="80">
        <v>1911.671217989418</v>
      </c>
      <c r="AY42" s="81">
        <v>5.6551949365029421E-2</v>
      </c>
      <c r="AZ42" s="83">
        <v>167.26553957543433</v>
      </c>
      <c r="BA42" s="80">
        <v>9.4591923245842864</v>
      </c>
      <c r="BB42" s="84">
        <v>3675.1006704692145</v>
      </c>
      <c r="BC42" s="85">
        <v>4.654669802158514</v>
      </c>
      <c r="BD42" s="86">
        <v>0.32256861729111475</v>
      </c>
      <c r="BE42" s="84">
        <v>4047.5455844409571</v>
      </c>
      <c r="BF42" s="87">
        <v>3.4832691174666106</v>
      </c>
      <c r="BG42" s="88">
        <v>0.35525861729093372</v>
      </c>
      <c r="BH42" s="89">
        <v>0.27894138270607377</v>
      </c>
      <c r="BI42" s="90">
        <v>0.3000000000020413</v>
      </c>
      <c r="BJ42" s="90">
        <v>0.16779000000109881</v>
      </c>
      <c r="BK42" s="91">
        <v>0.74673138270921391</v>
      </c>
      <c r="BL42" s="92">
        <v>2885.5493539042982</v>
      </c>
      <c r="BM42" s="95">
        <v>0</v>
      </c>
      <c r="BN42" t="s">
        <v>402</v>
      </c>
      <c r="BO42">
        <v>0.85994999999999999</v>
      </c>
    </row>
    <row r="43" spans="1:67">
      <c r="A43" s="61" t="str">
        <f t="shared" si="1"/>
        <v>UK</v>
      </c>
      <c r="B43" s="62" t="s">
        <v>64</v>
      </c>
      <c r="C43" s="62" t="s">
        <v>176</v>
      </c>
      <c r="D43" s="63" t="s">
        <v>97</v>
      </c>
      <c r="E43" s="64">
        <v>43831</v>
      </c>
      <c r="F43" s="64">
        <v>43921</v>
      </c>
      <c r="G43" s="65">
        <v>43995</v>
      </c>
      <c r="H43" s="66" t="s">
        <v>132</v>
      </c>
      <c r="I43" s="67">
        <v>3</v>
      </c>
      <c r="J43" s="68">
        <v>2020</v>
      </c>
      <c r="K43" s="69">
        <v>1</v>
      </c>
      <c r="L43" s="70">
        <v>3</v>
      </c>
      <c r="M43" s="71" t="s">
        <v>140</v>
      </c>
      <c r="N43" s="71" t="s">
        <v>18</v>
      </c>
      <c r="O43" s="71" t="s">
        <v>78</v>
      </c>
      <c r="P43" s="71" t="s">
        <v>102</v>
      </c>
      <c r="Q43" s="61" t="s">
        <v>117</v>
      </c>
      <c r="R43" s="63" t="s">
        <v>165</v>
      </c>
      <c r="S43" s="72" t="s">
        <v>434</v>
      </c>
      <c r="T43" s="61" t="s">
        <v>435</v>
      </c>
      <c r="U43" s="73" t="s">
        <v>510</v>
      </c>
      <c r="V43" s="62">
        <v>106403</v>
      </c>
      <c r="W43" s="62" t="s">
        <v>464</v>
      </c>
      <c r="X43" s="62" t="s">
        <v>402</v>
      </c>
      <c r="Y43" s="93">
        <v>1</v>
      </c>
      <c r="Z43" s="94">
        <v>1</v>
      </c>
      <c r="AA43" s="74">
        <v>0</v>
      </c>
      <c r="AB43" s="75">
        <v>0</v>
      </c>
      <c r="AC43" s="75">
        <v>0</v>
      </c>
      <c r="AD43" s="76">
        <v>0</v>
      </c>
      <c r="AE43" s="77">
        <v>27.447945205</v>
      </c>
      <c r="AF43" s="75">
        <v>42.491095889999997</v>
      </c>
      <c r="AG43" s="78">
        <v>2290.5087020175592</v>
      </c>
      <c r="AH43" s="79">
        <v>2748.6104423512993</v>
      </c>
      <c r="AI43" s="74">
        <v>687.1526106052678</v>
      </c>
      <c r="AJ43" s="75">
        <v>0</v>
      </c>
      <c r="AK43" s="75">
        <v>0</v>
      </c>
      <c r="AL43" s="80">
        <v>687.1526106052678</v>
      </c>
      <c r="AM43" s="74">
        <v>0</v>
      </c>
      <c r="AN43" s="74">
        <v>0</v>
      </c>
      <c r="AO43" s="81" t="s">
        <v>403</v>
      </c>
      <c r="AP43" s="82">
        <v>0</v>
      </c>
      <c r="AQ43" s="75">
        <v>0</v>
      </c>
      <c r="AR43" s="75">
        <v>0</v>
      </c>
      <c r="AS43" s="80">
        <v>0</v>
      </c>
      <c r="AT43" s="74">
        <v>81.771160661666386</v>
      </c>
      <c r="AU43" s="75">
        <v>68.944311930926219</v>
      </c>
      <c r="AV43" s="75">
        <v>158.73225304959593</v>
      </c>
      <c r="AW43" s="75">
        <v>74.87672946915518</v>
      </c>
      <c r="AX43" s="80">
        <v>384.3244551113437</v>
      </c>
      <c r="AY43" s="81">
        <v>0</v>
      </c>
      <c r="AZ43" s="83" t="s">
        <v>403</v>
      </c>
      <c r="BA43" s="80" t="s">
        <v>403</v>
      </c>
      <c r="BB43" s="84">
        <v>1377.7638893505436</v>
      </c>
      <c r="BC43" s="85">
        <v>8.6797979798098179</v>
      </c>
      <c r="BD43" s="86">
        <v>0.60150999999998322</v>
      </c>
      <c r="BE43" s="84">
        <v>1452.6406188196988</v>
      </c>
      <c r="BF43" s="87">
        <v>6.218256691833755</v>
      </c>
      <c r="BG43" s="88">
        <v>0.63420000000007104</v>
      </c>
      <c r="BH43" s="89">
        <v>0</v>
      </c>
      <c r="BI43" s="90">
        <v>0.3</v>
      </c>
      <c r="BJ43" s="90">
        <v>0.16778999999992028</v>
      </c>
      <c r="BK43" s="91">
        <v>0.46778999999992027</v>
      </c>
      <c r="BL43" s="92">
        <v>1219.0316363009479</v>
      </c>
      <c r="BM43" s="95">
        <v>0</v>
      </c>
      <c r="BN43" t="s">
        <v>402</v>
      </c>
      <c r="BO43">
        <v>0.85994999999999999</v>
      </c>
    </row>
    <row r="44" spans="1:67">
      <c r="A44" s="61" t="str">
        <f t="shared" si="1"/>
        <v>UK</v>
      </c>
      <c r="B44" s="62" t="s">
        <v>64</v>
      </c>
      <c r="C44" s="62" t="s">
        <v>176</v>
      </c>
      <c r="D44" s="63" t="s">
        <v>97</v>
      </c>
      <c r="E44" s="64">
        <v>43831</v>
      </c>
      <c r="F44" s="64">
        <v>43921</v>
      </c>
      <c r="G44" s="65">
        <v>43995</v>
      </c>
      <c r="H44" s="66" t="s">
        <v>132</v>
      </c>
      <c r="I44" s="67">
        <v>3</v>
      </c>
      <c r="J44" s="68">
        <v>2020</v>
      </c>
      <c r="K44" s="69">
        <v>1</v>
      </c>
      <c r="L44" s="70">
        <v>3</v>
      </c>
      <c r="M44" s="71" t="s">
        <v>140</v>
      </c>
      <c r="N44" s="71" t="s">
        <v>18</v>
      </c>
      <c r="O44" s="71" t="s">
        <v>78</v>
      </c>
      <c r="P44" s="71" t="s">
        <v>102</v>
      </c>
      <c r="Q44" s="61" t="s">
        <v>117</v>
      </c>
      <c r="R44" s="63" t="s">
        <v>112</v>
      </c>
      <c r="S44" s="72" t="s">
        <v>434</v>
      </c>
      <c r="T44" s="61" t="s">
        <v>435</v>
      </c>
      <c r="U44" s="73" t="s">
        <v>511</v>
      </c>
      <c r="V44" s="62">
        <v>107632</v>
      </c>
      <c r="W44" s="62" t="s">
        <v>464</v>
      </c>
      <c r="X44" s="62" t="s">
        <v>402</v>
      </c>
      <c r="Y44" s="93">
        <v>1</v>
      </c>
      <c r="Z44" s="94">
        <v>1</v>
      </c>
      <c r="AA44" s="74">
        <v>158</v>
      </c>
      <c r="AB44" s="75">
        <v>228</v>
      </c>
      <c r="AC44" s="75">
        <v>13021.464499098785</v>
      </c>
      <c r="AD44" s="76">
        <v>15625.757398685972</v>
      </c>
      <c r="AE44" s="77">
        <v>103.54443326000001</v>
      </c>
      <c r="AF44" s="75">
        <v>151.37696750999999</v>
      </c>
      <c r="AG44" s="78">
        <v>8813.7438352229783</v>
      </c>
      <c r="AH44" s="79">
        <v>10576.492602244316</v>
      </c>
      <c r="AI44" s="74">
        <v>2644.1231505320075</v>
      </c>
      <c r="AJ44" s="75">
        <v>0</v>
      </c>
      <c r="AK44" s="75">
        <v>0</v>
      </c>
      <c r="AL44" s="80">
        <v>2644.1231505320075</v>
      </c>
      <c r="AM44" s="74">
        <v>3</v>
      </c>
      <c r="AN44" s="74">
        <v>0</v>
      </c>
      <c r="AO44" s="81">
        <v>0</v>
      </c>
      <c r="AP44" s="82">
        <v>12</v>
      </c>
      <c r="AQ44" s="75">
        <v>853.65428931914641</v>
      </c>
      <c r="AR44" s="75">
        <v>853.66591790220355</v>
      </c>
      <c r="AS44" s="80">
        <v>1707.3202072213498</v>
      </c>
      <c r="AT44" s="74">
        <v>314.65065492179781</v>
      </c>
      <c r="AU44" s="75">
        <v>265.29368943543233</v>
      </c>
      <c r="AV44" s="75">
        <v>610.79244778184773</v>
      </c>
      <c r="AW44" s="75">
        <v>288.12128597011451</v>
      </c>
      <c r="AX44" s="80">
        <v>1478.8580781091923</v>
      </c>
      <c r="AY44" s="81">
        <v>7.9272297479517667E-2</v>
      </c>
      <c r="AZ44" s="83">
        <v>142.27668393511249</v>
      </c>
      <c r="BA44" s="80">
        <v>11.27859961330355</v>
      </c>
      <c r="BB44" s="84">
        <v>3594.2348471422765</v>
      </c>
      <c r="BC44" s="85">
        <v>5.88454369433527</v>
      </c>
      <c r="BD44" s="86">
        <v>0.40779887801803194</v>
      </c>
      <c r="BE44" s="84">
        <v>3882.356133112391</v>
      </c>
      <c r="BF44" s="87">
        <v>4.3189418376198176</v>
      </c>
      <c r="BG44" s="88">
        <v>0.44048887801765474</v>
      </c>
      <c r="BH44" s="89">
        <v>0.19371112198635354</v>
      </c>
      <c r="BI44" s="90">
        <v>0.29999999999604188</v>
      </c>
      <c r="BJ44" s="90">
        <v>0.16778999999967423</v>
      </c>
      <c r="BK44" s="91">
        <v>0.66150112198206967</v>
      </c>
      <c r="BL44" s="92">
        <v>2983.4423993604287</v>
      </c>
      <c r="BM44" s="95">
        <v>0</v>
      </c>
      <c r="BN44" t="s">
        <v>402</v>
      </c>
      <c r="BO44">
        <v>0.85994999999999999</v>
      </c>
    </row>
    <row r="45" spans="1:67">
      <c r="A45" s="61" t="str">
        <f t="shared" si="1"/>
        <v>UK</v>
      </c>
      <c r="B45" s="62" t="s">
        <v>64</v>
      </c>
      <c r="C45" s="62" t="s">
        <v>176</v>
      </c>
      <c r="D45" s="63" t="s">
        <v>97</v>
      </c>
      <c r="E45" s="64">
        <v>43831</v>
      </c>
      <c r="F45" s="64">
        <v>43921</v>
      </c>
      <c r="G45" s="65">
        <v>43995</v>
      </c>
      <c r="H45" s="66" t="s">
        <v>132</v>
      </c>
      <c r="I45" s="67">
        <v>3</v>
      </c>
      <c r="J45" s="68">
        <v>2020</v>
      </c>
      <c r="K45" s="69">
        <v>1</v>
      </c>
      <c r="L45" s="70">
        <v>3</v>
      </c>
      <c r="M45" s="71" t="s">
        <v>140</v>
      </c>
      <c r="N45" s="71" t="s">
        <v>18</v>
      </c>
      <c r="O45" s="71" t="s">
        <v>78</v>
      </c>
      <c r="P45" s="71" t="s">
        <v>102</v>
      </c>
      <c r="Q45" s="61" t="s">
        <v>117</v>
      </c>
      <c r="R45" s="63" t="s">
        <v>165</v>
      </c>
      <c r="S45" s="72" t="s">
        <v>434</v>
      </c>
      <c r="T45" s="61" t="s">
        <v>435</v>
      </c>
      <c r="U45" s="73" t="s">
        <v>512</v>
      </c>
      <c r="V45" s="62">
        <v>106406</v>
      </c>
      <c r="W45" s="62" t="s">
        <v>464</v>
      </c>
      <c r="X45" s="62" t="s">
        <v>402</v>
      </c>
      <c r="Y45" s="93">
        <v>1</v>
      </c>
      <c r="Z45" s="94">
        <v>1</v>
      </c>
      <c r="AA45" s="74">
        <v>0</v>
      </c>
      <c r="AB45" s="75">
        <v>0</v>
      </c>
      <c r="AC45" s="75">
        <v>0</v>
      </c>
      <c r="AD45" s="76">
        <v>0</v>
      </c>
      <c r="AE45" s="77">
        <v>7.9130136986000004</v>
      </c>
      <c r="AF45" s="75">
        <v>15.647260274000001</v>
      </c>
      <c r="AG45" s="78">
        <v>662.0837143438572</v>
      </c>
      <c r="AH45" s="79">
        <v>794.50045722425716</v>
      </c>
      <c r="AI45" s="74">
        <v>198.62511430897143</v>
      </c>
      <c r="AJ45" s="75">
        <v>0</v>
      </c>
      <c r="AK45" s="75">
        <v>0</v>
      </c>
      <c r="AL45" s="80">
        <v>198.62511430897143</v>
      </c>
      <c r="AM45" s="74">
        <v>0</v>
      </c>
      <c r="AN45" s="74">
        <v>0</v>
      </c>
      <c r="AO45" s="81" t="s">
        <v>403</v>
      </c>
      <c r="AP45" s="82">
        <v>0</v>
      </c>
      <c r="AQ45" s="75">
        <v>0</v>
      </c>
      <c r="AR45" s="75">
        <v>0</v>
      </c>
      <c r="AS45" s="80">
        <v>0</v>
      </c>
      <c r="AT45" s="74">
        <v>23.636388602825747</v>
      </c>
      <c r="AU45" s="75">
        <v>19.928719802314088</v>
      </c>
      <c r="AV45" s="75">
        <v>45.882401404732832</v>
      </c>
      <c r="AW45" s="75">
        <v>21.643516621896623</v>
      </c>
      <c r="AX45" s="80">
        <v>111.09102643176929</v>
      </c>
      <c r="AY45" s="81">
        <v>0</v>
      </c>
      <c r="AZ45" s="83" t="s">
        <v>403</v>
      </c>
      <c r="BA45" s="80" t="s">
        <v>403</v>
      </c>
      <c r="BB45" s="84">
        <v>398.24997500784934</v>
      </c>
      <c r="BC45" s="85">
        <v>8.679797979509619</v>
      </c>
      <c r="BD45" s="86">
        <v>0.60150999998923971</v>
      </c>
      <c r="BE45" s="84">
        <v>419.89349162974594</v>
      </c>
      <c r="BF45" s="87">
        <v>6.2182566916625577</v>
      </c>
      <c r="BG45" s="88">
        <v>0.6341999999892336</v>
      </c>
      <c r="BH45" s="89">
        <v>0</v>
      </c>
      <c r="BI45" s="90">
        <v>0.3000000000087818</v>
      </c>
      <c r="BJ45" s="90">
        <v>0.16779000000304115</v>
      </c>
      <c r="BK45" s="91">
        <v>0.46779000001182292</v>
      </c>
      <c r="BL45" s="92">
        <v>352.36757360311645</v>
      </c>
      <c r="BM45" s="95">
        <v>0</v>
      </c>
      <c r="BN45" t="s">
        <v>402</v>
      </c>
      <c r="BO45">
        <v>0.85994999999999999</v>
      </c>
    </row>
    <row r="46" spans="1:67">
      <c r="A46" s="61" t="str">
        <f t="shared" si="1"/>
        <v>UK</v>
      </c>
      <c r="B46" s="62" t="s">
        <v>64</v>
      </c>
      <c r="C46" s="62" t="s">
        <v>176</v>
      </c>
      <c r="D46" s="63" t="s">
        <v>97</v>
      </c>
      <c r="E46" s="64">
        <v>43831</v>
      </c>
      <c r="F46" s="64">
        <v>43921</v>
      </c>
      <c r="G46" s="65">
        <v>43995</v>
      </c>
      <c r="H46" s="66" t="s">
        <v>132</v>
      </c>
      <c r="I46" s="67">
        <v>3</v>
      </c>
      <c r="J46" s="68">
        <v>2020</v>
      </c>
      <c r="K46" s="69">
        <v>1</v>
      </c>
      <c r="L46" s="70">
        <v>3</v>
      </c>
      <c r="M46" s="71" t="s">
        <v>140</v>
      </c>
      <c r="N46" s="71" t="s">
        <v>18</v>
      </c>
      <c r="O46" s="71" t="s">
        <v>78</v>
      </c>
      <c r="P46" s="71" t="s">
        <v>102</v>
      </c>
      <c r="Q46" s="61" t="s">
        <v>117</v>
      </c>
      <c r="R46" s="63" t="s">
        <v>112</v>
      </c>
      <c r="S46" s="72" t="s">
        <v>434</v>
      </c>
      <c r="T46" s="61" t="s">
        <v>435</v>
      </c>
      <c r="U46" s="73" t="s">
        <v>513</v>
      </c>
      <c r="V46" s="62">
        <v>107634</v>
      </c>
      <c r="W46" s="62" t="s">
        <v>464</v>
      </c>
      <c r="X46" s="62" t="s">
        <v>402</v>
      </c>
      <c r="Y46" s="93">
        <v>1</v>
      </c>
      <c r="Z46" s="94">
        <v>1</v>
      </c>
      <c r="AA46" s="74">
        <v>60</v>
      </c>
      <c r="AB46" s="75">
        <v>88</v>
      </c>
      <c r="AC46" s="75">
        <v>7130.5987063201346</v>
      </c>
      <c r="AD46" s="76">
        <v>8556.7184475841623</v>
      </c>
      <c r="AE46" s="77">
        <v>27.831465069</v>
      </c>
      <c r="AF46" s="75">
        <v>45.360648394999998</v>
      </c>
      <c r="AG46" s="78">
        <v>3547.4749092389093</v>
      </c>
      <c r="AH46" s="79">
        <v>4256.9698911564628</v>
      </c>
      <c r="AI46" s="74">
        <v>1064.2424727833013</v>
      </c>
      <c r="AJ46" s="75">
        <v>0</v>
      </c>
      <c r="AK46" s="75">
        <v>0</v>
      </c>
      <c r="AL46" s="80">
        <v>1064.2424727833013</v>
      </c>
      <c r="AM46" s="74">
        <v>1</v>
      </c>
      <c r="AN46" s="74">
        <v>1</v>
      </c>
      <c r="AO46" s="81">
        <v>1</v>
      </c>
      <c r="AP46" s="82">
        <v>8</v>
      </c>
      <c r="AQ46" s="75">
        <v>4865.8409009826155</v>
      </c>
      <c r="AR46" s="75">
        <v>5202.8574517123088</v>
      </c>
      <c r="AS46" s="80">
        <v>10068.698352694924</v>
      </c>
      <c r="AT46" s="74">
        <v>126.64485425896854</v>
      </c>
      <c r="AU46" s="75">
        <v>106.77899476946334</v>
      </c>
      <c r="AV46" s="75">
        <v>245.84001120995407</v>
      </c>
      <c r="AW46" s="75">
        <v>115.96695478458049</v>
      </c>
      <c r="AX46" s="80">
        <v>595.23081502296645</v>
      </c>
      <c r="AY46" s="81">
        <v>0.17636432200739488</v>
      </c>
      <c r="AZ46" s="83">
        <v>1258.5872940868655</v>
      </c>
      <c r="BA46" s="80">
        <v>221.96989480875175</v>
      </c>
      <c r="BB46" s="84">
        <v>-7934.8567200523275</v>
      </c>
      <c r="BC46" s="85">
        <v>-32.276506501115243</v>
      </c>
      <c r="BD46" s="86">
        <v>-2.2367619005245358</v>
      </c>
      <c r="BE46" s="84">
        <v>-7818.889765267747</v>
      </c>
      <c r="BF46" s="87">
        <v>-21.6106667370961</v>
      </c>
      <c r="BG46" s="88">
        <v>-2.2040719005240956</v>
      </c>
      <c r="BH46" s="89">
        <v>2.8382719005206738</v>
      </c>
      <c r="BI46" s="90">
        <v>0.30000000000327798</v>
      </c>
      <c r="BJ46" s="90">
        <v>0.1677900000004989</v>
      </c>
      <c r="BK46" s="91">
        <v>3.3060619005244507</v>
      </c>
      <c r="BL46" s="92">
        <v>-8180.696731262281</v>
      </c>
      <c r="BM46" s="95">
        <v>0</v>
      </c>
      <c r="BN46" t="s">
        <v>402</v>
      </c>
      <c r="BO46">
        <v>0.85994999999999999</v>
      </c>
    </row>
    <row r="47" spans="1:67">
      <c r="A47" s="61" t="str">
        <f t="shared" si="1"/>
        <v>UK</v>
      </c>
      <c r="B47" s="62" t="s">
        <v>64</v>
      </c>
      <c r="C47" s="62" t="s">
        <v>176</v>
      </c>
      <c r="D47" s="63" t="s">
        <v>97</v>
      </c>
      <c r="E47" s="64">
        <v>43831</v>
      </c>
      <c r="F47" s="64">
        <v>43921</v>
      </c>
      <c r="G47" s="65">
        <v>43995</v>
      </c>
      <c r="H47" s="66" t="s">
        <v>132</v>
      </c>
      <c r="I47" s="67">
        <v>3</v>
      </c>
      <c r="J47" s="68">
        <v>2020</v>
      </c>
      <c r="K47" s="69">
        <v>1</v>
      </c>
      <c r="L47" s="70">
        <v>3</v>
      </c>
      <c r="M47" s="71" t="s">
        <v>140</v>
      </c>
      <c r="N47" s="71" t="s">
        <v>18</v>
      </c>
      <c r="O47" s="71" t="s">
        <v>78</v>
      </c>
      <c r="P47" s="71" t="s">
        <v>102</v>
      </c>
      <c r="Q47" s="61" t="s">
        <v>117</v>
      </c>
      <c r="R47" s="63" t="s">
        <v>165</v>
      </c>
      <c r="S47" s="72" t="s">
        <v>434</v>
      </c>
      <c r="T47" s="61" t="s">
        <v>435</v>
      </c>
      <c r="U47" s="73" t="s">
        <v>514</v>
      </c>
      <c r="V47" s="62">
        <v>106396</v>
      </c>
      <c r="W47" s="62" t="s">
        <v>464</v>
      </c>
      <c r="X47" s="62" t="s">
        <v>402</v>
      </c>
      <c r="Y47" s="93">
        <v>1</v>
      </c>
      <c r="Z47" s="94">
        <v>1</v>
      </c>
      <c r="AA47" s="74">
        <v>0</v>
      </c>
      <c r="AB47" s="75">
        <v>0</v>
      </c>
      <c r="AC47" s="75">
        <v>0</v>
      </c>
      <c r="AD47" s="76">
        <v>0</v>
      </c>
      <c r="AE47" s="77">
        <v>1.3122119816</v>
      </c>
      <c r="AF47" s="75">
        <v>2.6244239630999999</v>
      </c>
      <c r="AG47" s="78">
        <v>136.84514381068666</v>
      </c>
      <c r="AH47" s="79">
        <v>164.21417256817256</v>
      </c>
      <c r="AI47" s="74">
        <v>41.053543142043139</v>
      </c>
      <c r="AJ47" s="75">
        <v>0</v>
      </c>
      <c r="AK47" s="75">
        <v>0</v>
      </c>
      <c r="AL47" s="80">
        <v>41.053543142043139</v>
      </c>
      <c r="AM47" s="74">
        <v>0</v>
      </c>
      <c r="AN47" s="74">
        <v>0</v>
      </c>
      <c r="AO47" s="81" t="s">
        <v>403</v>
      </c>
      <c r="AP47" s="82">
        <v>0</v>
      </c>
      <c r="AQ47" s="75">
        <v>0</v>
      </c>
      <c r="AR47" s="75">
        <v>0</v>
      </c>
      <c r="AS47" s="80">
        <v>0</v>
      </c>
      <c r="AT47" s="74">
        <v>4.8853716339322055</v>
      </c>
      <c r="AU47" s="75">
        <v>4.1190388285365431</v>
      </c>
      <c r="AV47" s="75">
        <v>9.4833684657247517</v>
      </c>
      <c r="AW47" s="75">
        <v>4.4734677510320369</v>
      </c>
      <c r="AX47" s="80">
        <v>22.961246679225535</v>
      </c>
      <c r="AY47" s="81">
        <v>0</v>
      </c>
      <c r="AZ47" s="83" t="s">
        <v>403</v>
      </c>
      <c r="BA47" s="80" t="s">
        <v>403</v>
      </c>
      <c r="BB47" s="84">
        <v>82.313722455142738</v>
      </c>
      <c r="BC47" s="85">
        <v>8.6797979802899121</v>
      </c>
      <c r="BD47" s="86">
        <v>0.60151000001152111</v>
      </c>
      <c r="BE47" s="84">
        <v>86.78719020617477</v>
      </c>
      <c r="BF47" s="87">
        <v>6.2182566921561175</v>
      </c>
      <c r="BG47" s="88">
        <v>0.63420000001050303</v>
      </c>
      <c r="BH47" s="89">
        <v>0</v>
      </c>
      <c r="BI47" s="90">
        <v>0.29999999999150234</v>
      </c>
      <c r="BJ47" s="90">
        <v>0.16778999999437627</v>
      </c>
      <c r="BK47" s="91">
        <v>0.46778999998587861</v>
      </c>
      <c r="BL47" s="92">
        <v>72.830353989417986</v>
      </c>
      <c r="BM47" s="95">
        <v>0</v>
      </c>
      <c r="BN47" t="s">
        <v>402</v>
      </c>
      <c r="BO47">
        <v>0.85994999999999999</v>
      </c>
    </row>
    <row r="48" spans="1:67">
      <c r="A48" s="61" t="str">
        <f t="shared" si="1"/>
        <v>UK</v>
      </c>
      <c r="B48" s="62" t="s">
        <v>64</v>
      </c>
      <c r="C48" s="62" t="s">
        <v>176</v>
      </c>
      <c r="D48" s="63" t="s">
        <v>97</v>
      </c>
      <c r="E48" s="64">
        <v>43831</v>
      </c>
      <c r="F48" s="64">
        <v>43921</v>
      </c>
      <c r="G48" s="65">
        <v>43995</v>
      </c>
      <c r="H48" s="66" t="s">
        <v>132</v>
      </c>
      <c r="I48" s="67">
        <v>3</v>
      </c>
      <c r="J48" s="68">
        <v>2020</v>
      </c>
      <c r="K48" s="69">
        <v>1</v>
      </c>
      <c r="L48" s="70">
        <v>3</v>
      </c>
      <c r="M48" s="71" t="s">
        <v>140</v>
      </c>
      <c r="N48" s="71" t="s">
        <v>18</v>
      </c>
      <c r="O48" s="71" t="s">
        <v>78</v>
      </c>
      <c r="P48" s="71" t="s">
        <v>102</v>
      </c>
      <c r="Q48" s="61" t="s">
        <v>117</v>
      </c>
      <c r="R48" s="63" t="s">
        <v>106</v>
      </c>
      <c r="S48" s="72" t="s">
        <v>434</v>
      </c>
      <c r="T48" s="61" t="s">
        <v>435</v>
      </c>
      <c r="U48" s="73" t="s">
        <v>515</v>
      </c>
      <c r="V48" s="62">
        <v>107627</v>
      </c>
      <c r="W48" s="62" t="s">
        <v>464</v>
      </c>
      <c r="X48" s="62" t="s">
        <v>402</v>
      </c>
      <c r="Y48" s="93">
        <v>1</v>
      </c>
      <c r="Z48" s="94">
        <v>1</v>
      </c>
      <c r="AA48" s="74">
        <v>606</v>
      </c>
      <c r="AB48" s="75">
        <v>830</v>
      </c>
      <c r="AC48" s="75">
        <v>26817.218115006686</v>
      </c>
      <c r="AD48" s="76">
        <v>32180.661738473169</v>
      </c>
      <c r="AE48" s="77">
        <v>520.58841614000005</v>
      </c>
      <c r="AF48" s="75">
        <v>692.78154949999998</v>
      </c>
      <c r="AG48" s="78">
        <v>24678.734640386068</v>
      </c>
      <c r="AH48" s="79">
        <v>29614.481568695854</v>
      </c>
      <c r="AI48" s="74">
        <v>7403.6203922321074</v>
      </c>
      <c r="AJ48" s="75">
        <v>0</v>
      </c>
      <c r="AK48" s="75">
        <v>0</v>
      </c>
      <c r="AL48" s="80">
        <v>7403.6203922321074</v>
      </c>
      <c r="AM48" s="74">
        <v>3</v>
      </c>
      <c r="AN48" s="74">
        <v>1</v>
      </c>
      <c r="AO48" s="81">
        <v>0.33333333333333331</v>
      </c>
      <c r="AP48" s="82">
        <v>18</v>
      </c>
      <c r="AQ48" s="75">
        <v>260.08489291237862</v>
      </c>
      <c r="AR48" s="75">
        <v>505.41311108785396</v>
      </c>
      <c r="AS48" s="80">
        <v>765.49800400023264</v>
      </c>
      <c r="AT48" s="74">
        <v>881.03082667596959</v>
      </c>
      <c r="AU48" s="75">
        <v>742.82991269259844</v>
      </c>
      <c r="AV48" s="75">
        <v>1710.2363105994534</v>
      </c>
      <c r="AW48" s="75">
        <v>806.74783540903547</v>
      </c>
      <c r="AX48" s="80">
        <v>4140.8448853770569</v>
      </c>
      <c r="AY48" s="81">
        <v>2.5982216202194052E-2</v>
      </c>
      <c r="AZ48" s="83">
        <v>42.527666888901813</v>
      </c>
      <c r="BA48" s="80">
        <v>1.1049630356823361</v>
      </c>
      <c r="BB48" s="84">
        <v>14079.007669376124</v>
      </c>
      <c r="BC48" s="85">
        <v>8.2322001831672633</v>
      </c>
      <c r="BD48" s="86">
        <v>0.57049147270039591</v>
      </c>
      <c r="BE48" s="84">
        <v>14885.75550478516</v>
      </c>
      <c r="BF48" s="87">
        <v>5.9141236659720127</v>
      </c>
      <c r="BG48" s="88">
        <v>0.60318147270099631</v>
      </c>
      <c r="BH48" s="89">
        <v>3.1018527293028886E-2</v>
      </c>
      <c r="BI48" s="90">
        <v>0.30000000000471205</v>
      </c>
      <c r="BJ48" s="90">
        <v>0.16779000000270186</v>
      </c>
      <c r="BK48" s="91">
        <v>0.49880852730044278</v>
      </c>
      <c r="BL48" s="92">
        <v>12368.77135877667</v>
      </c>
      <c r="BM48" s="95">
        <v>0</v>
      </c>
      <c r="BN48" t="s">
        <v>402</v>
      </c>
      <c r="BO48">
        <v>0.85994999999999999</v>
      </c>
    </row>
    <row r="49" spans="1:67">
      <c r="A49" s="61" t="str">
        <f t="shared" si="1"/>
        <v>UK</v>
      </c>
      <c r="B49" s="62" t="s">
        <v>64</v>
      </c>
      <c r="C49" s="62" t="s">
        <v>176</v>
      </c>
      <c r="D49" s="63" t="s">
        <v>97</v>
      </c>
      <c r="E49" s="64">
        <v>43831</v>
      </c>
      <c r="F49" s="64">
        <v>43921</v>
      </c>
      <c r="G49" s="65">
        <v>43995</v>
      </c>
      <c r="H49" s="66" t="s">
        <v>132</v>
      </c>
      <c r="I49" s="67">
        <v>3</v>
      </c>
      <c r="J49" s="68">
        <v>2020</v>
      </c>
      <c r="K49" s="69">
        <v>1</v>
      </c>
      <c r="L49" s="70">
        <v>3</v>
      </c>
      <c r="M49" s="71" t="s">
        <v>140</v>
      </c>
      <c r="N49" s="71" t="s">
        <v>18</v>
      </c>
      <c r="O49" s="71" t="s">
        <v>78</v>
      </c>
      <c r="P49" s="71" t="s">
        <v>102</v>
      </c>
      <c r="Q49" s="61" t="s">
        <v>117</v>
      </c>
      <c r="R49" s="63" t="s">
        <v>106</v>
      </c>
      <c r="S49" s="72" t="s">
        <v>434</v>
      </c>
      <c r="T49" s="61" t="s">
        <v>435</v>
      </c>
      <c r="U49" s="73" t="s">
        <v>516</v>
      </c>
      <c r="V49" s="62">
        <v>107629</v>
      </c>
      <c r="W49" s="62" t="s">
        <v>464</v>
      </c>
      <c r="X49" s="62" t="s">
        <v>402</v>
      </c>
      <c r="Y49" s="93">
        <v>1</v>
      </c>
      <c r="Z49" s="94">
        <v>1</v>
      </c>
      <c r="AA49" s="74">
        <v>180</v>
      </c>
      <c r="AB49" s="75">
        <v>218</v>
      </c>
      <c r="AC49" s="75">
        <v>7211.0684982847843</v>
      </c>
      <c r="AD49" s="76">
        <v>8653.2821979184828</v>
      </c>
      <c r="AE49" s="77">
        <v>184.50026034999999</v>
      </c>
      <c r="AF49" s="75">
        <v>231.06570153000001</v>
      </c>
      <c r="AG49" s="78">
        <v>7780.9539496482348</v>
      </c>
      <c r="AH49" s="79">
        <v>9337.1447395778814</v>
      </c>
      <c r="AI49" s="74">
        <v>2334.2861848944704</v>
      </c>
      <c r="AJ49" s="75">
        <v>0</v>
      </c>
      <c r="AK49" s="75">
        <v>0</v>
      </c>
      <c r="AL49" s="80">
        <v>2334.2861848944704</v>
      </c>
      <c r="AM49" s="74">
        <v>4</v>
      </c>
      <c r="AN49" s="74">
        <v>1</v>
      </c>
      <c r="AO49" s="81">
        <v>0.25</v>
      </c>
      <c r="AP49" s="82">
        <v>6</v>
      </c>
      <c r="AQ49" s="75">
        <v>1677.0742626896913</v>
      </c>
      <c r="AR49" s="75">
        <v>5397.6277718472002</v>
      </c>
      <c r="AS49" s="80">
        <v>7074.702034536891</v>
      </c>
      <c r="AT49" s="74">
        <v>277.78005600325599</v>
      </c>
      <c r="AU49" s="75">
        <v>234.20671389034246</v>
      </c>
      <c r="AV49" s="75">
        <v>539.22010871562304</v>
      </c>
      <c r="AW49" s="75">
        <v>254.35938461538461</v>
      </c>
      <c r="AX49" s="80">
        <v>1305.566263224606</v>
      </c>
      <c r="AY49" s="81">
        <v>2.5966640484810337E-2</v>
      </c>
      <c r="AZ49" s="83">
        <v>1179.1170057561485</v>
      </c>
      <c r="BA49" s="80">
        <v>30.617707377995949</v>
      </c>
      <c r="BB49" s="84">
        <v>-2394.3804242921096</v>
      </c>
      <c r="BC49" s="85">
        <v>-4.4404509134411221</v>
      </c>
      <c r="BD49" s="86">
        <v>-0.3077232483043234</v>
      </c>
      <c r="BE49" s="84">
        <v>-2140.0210396767243</v>
      </c>
      <c r="BF49" s="87">
        <v>-2.696668774408598</v>
      </c>
      <c r="BG49" s="88">
        <v>-0.27503324830414544</v>
      </c>
      <c r="BH49" s="89">
        <v>0.90923324830327878</v>
      </c>
      <c r="BI49" s="90">
        <v>0.3</v>
      </c>
      <c r="BJ49" s="90">
        <v>0.16779000000168728</v>
      </c>
      <c r="BK49" s="91">
        <v>1.377023248304966</v>
      </c>
      <c r="BL49" s="92">
        <v>-2933.6005330077323</v>
      </c>
      <c r="BM49" s="95">
        <v>0</v>
      </c>
      <c r="BN49" t="s">
        <v>402</v>
      </c>
      <c r="BO49">
        <v>0.85994999999999999</v>
      </c>
    </row>
    <row r="50" spans="1:67">
      <c r="A50" s="61" t="str">
        <f t="shared" si="1"/>
        <v>UK</v>
      </c>
      <c r="B50" s="62" t="s">
        <v>64</v>
      </c>
      <c r="C50" s="62" t="s">
        <v>176</v>
      </c>
      <c r="D50" s="63" t="s">
        <v>97</v>
      </c>
      <c r="E50" s="64">
        <v>43831</v>
      </c>
      <c r="F50" s="64">
        <v>43921</v>
      </c>
      <c r="G50" s="65">
        <v>43995</v>
      </c>
      <c r="H50" s="66" t="s">
        <v>132</v>
      </c>
      <c r="I50" s="67">
        <v>3</v>
      </c>
      <c r="J50" s="68">
        <v>2020</v>
      </c>
      <c r="K50" s="69">
        <v>1</v>
      </c>
      <c r="L50" s="70">
        <v>3</v>
      </c>
      <c r="M50" s="71" t="s">
        <v>140</v>
      </c>
      <c r="N50" s="71" t="s">
        <v>161</v>
      </c>
      <c r="O50" s="71" t="s">
        <v>114</v>
      </c>
      <c r="P50" s="71" t="s">
        <v>102</v>
      </c>
      <c r="Q50" s="61" t="s">
        <v>72</v>
      </c>
      <c r="R50" s="63" t="s">
        <v>106</v>
      </c>
      <c r="S50" s="72" t="s">
        <v>517</v>
      </c>
      <c r="T50" s="61" t="s">
        <v>518</v>
      </c>
      <c r="U50" s="73" t="s">
        <v>519</v>
      </c>
      <c r="V50" s="62">
        <v>107270</v>
      </c>
      <c r="W50" s="62" t="s">
        <v>478</v>
      </c>
      <c r="X50" s="62" t="s">
        <v>402</v>
      </c>
      <c r="Y50" s="93">
        <v>1</v>
      </c>
      <c r="Z50" s="94">
        <v>1</v>
      </c>
      <c r="AA50" s="74">
        <v>11</v>
      </c>
      <c r="AB50" s="75">
        <v>25</v>
      </c>
      <c r="AC50" s="75">
        <v>186.05732891447178</v>
      </c>
      <c r="AD50" s="76">
        <v>223.26879469736613</v>
      </c>
      <c r="AE50" s="77">
        <v>11.485909091</v>
      </c>
      <c r="AF50" s="75">
        <v>25.971818182</v>
      </c>
      <c r="AG50" s="78">
        <v>193.59124121169836</v>
      </c>
      <c r="AH50" s="79">
        <v>232.30948944706088</v>
      </c>
      <c r="AI50" s="74">
        <v>56.913448103959531</v>
      </c>
      <c r="AJ50" s="75">
        <v>0</v>
      </c>
      <c r="AK50" s="75">
        <v>0</v>
      </c>
      <c r="AL50" s="80">
        <v>56.913448103959531</v>
      </c>
      <c r="AM50" s="74">
        <v>0</v>
      </c>
      <c r="AN50" s="74">
        <v>0</v>
      </c>
      <c r="AO50" s="81" t="s">
        <v>403</v>
      </c>
      <c r="AP50" s="82">
        <v>0</v>
      </c>
      <c r="AQ50" s="75">
        <v>0</v>
      </c>
      <c r="AR50" s="75">
        <v>0</v>
      </c>
      <c r="AS50" s="80">
        <v>0</v>
      </c>
      <c r="AT50" s="74">
        <v>6.9705674484563049</v>
      </c>
      <c r="AU50" s="75">
        <v>5.8270963604860748</v>
      </c>
      <c r="AV50" s="75">
        <v>13.531101517530089</v>
      </c>
      <c r="AW50" s="75">
        <v>6.3828529380777956</v>
      </c>
      <c r="AX50" s="80">
        <v>32.711618264550268</v>
      </c>
      <c r="AY50" s="81">
        <v>0</v>
      </c>
      <c r="AZ50" s="83" t="s">
        <v>403</v>
      </c>
      <c r="BA50" s="80" t="s">
        <v>403</v>
      </c>
      <c r="BB50" s="84">
        <v>117.49727636071866</v>
      </c>
      <c r="BC50" s="85">
        <v>8.6834967728603747</v>
      </c>
      <c r="BD50" s="86">
        <v>0.60693487796915124</v>
      </c>
      <c r="BE50" s="84">
        <v>123.88012929879645</v>
      </c>
      <c r="BF50" s="87">
        <v>6.2207699417486149</v>
      </c>
      <c r="BG50" s="88">
        <v>0.63990565132711485</v>
      </c>
      <c r="BH50" s="89">
        <v>0</v>
      </c>
      <c r="BI50" s="90">
        <v>0.29398772252161354</v>
      </c>
      <c r="BJ50" s="90">
        <v>0.16897261497889279</v>
      </c>
      <c r="BK50" s="91">
        <v>0.46296033750050636</v>
      </c>
      <c r="BL50" s="92">
        <v>103.96617484318855</v>
      </c>
      <c r="BM50" s="95">
        <v>0</v>
      </c>
      <c r="BN50" t="s">
        <v>402</v>
      </c>
      <c r="BO50">
        <v>0.85994999999999999</v>
      </c>
    </row>
    <row r="51" spans="1:67">
      <c r="A51" s="61" t="str">
        <f t="shared" si="1"/>
        <v>UK</v>
      </c>
      <c r="B51" s="62" t="s">
        <v>64</v>
      </c>
      <c r="C51" s="62" t="s">
        <v>176</v>
      </c>
      <c r="D51" s="63" t="s">
        <v>97</v>
      </c>
      <c r="E51" s="64">
        <v>43831</v>
      </c>
      <c r="F51" s="64">
        <v>43921</v>
      </c>
      <c r="G51" s="65">
        <v>43995</v>
      </c>
      <c r="H51" s="66" t="s">
        <v>132</v>
      </c>
      <c r="I51" s="67">
        <v>3</v>
      </c>
      <c r="J51" s="68">
        <v>2020</v>
      </c>
      <c r="K51" s="69">
        <v>1</v>
      </c>
      <c r="L51" s="70">
        <v>3</v>
      </c>
      <c r="M51" s="71" t="s">
        <v>140</v>
      </c>
      <c r="N51" s="71" t="s">
        <v>161</v>
      </c>
      <c r="O51" s="71" t="s">
        <v>114</v>
      </c>
      <c r="P51" s="71" t="s">
        <v>102</v>
      </c>
      <c r="Q51" s="61" t="s">
        <v>72</v>
      </c>
      <c r="R51" s="63" t="s">
        <v>112</v>
      </c>
      <c r="S51" s="72" t="s">
        <v>520</v>
      </c>
      <c r="T51" s="61" t="s">
        <v>521</v>
      </c>
      <c r="U51" s="73" t="s">
        <v>522</v>
      </c>
      <c r="V51" s="62">
        <v>107267</v>
      </c>
      <c r="W51" s="62" t="s">
        <v>454</v>
      </c>
      <c r="X51" s="62" t="s">
        <v>402</v>
      </c>
      <c r="Y51" s="93">
        <v>1</v>
      </c>
      <c r="Z51" s="94">
        <v>1</v>
      </c>
      <c r="AA51" s="74">
        <v>400</v>
      </c>
      <c r="AB51" s="75">
        <v>636</v>
      </c>
      <c r="AC51" s="75">
        <v>56002.286955055526</v>
      </c>
      <c r="AD51" s="76">
        <v>67202.744345601488</v>
      </c>
      <c r="AE51" s="77">
        <v>321.51795332</v>
      </c>
      <c r="AF51" s="75">
        <v>471.45493252</v>
      </c>
      <c r="AG51" s="78">
        <v>41695.163397871969</v>
      </c>
      <c r="AH51" s="79">
        <v>50034.196076516077</v>
      </c>
      <c r="AI51" s="74">
        <v>25017.098038258038</v>
      </c>
      <c r="AJ51" s="75">
        <v>0</v>
      </c>
      <c r="AK51" s="75">
        <v>0</v>
      </c>
      <c r="AL51" s="80">
        <v>25017.098038258038</v>
      </c>
      <c r="AM51" s="74">
        <v>9</v>
      </c>
      <c r="AN51" s="74">
        <v>4</v>
      </c>
      <c r="AO51" s="81">
        <v>0.44444444444444442</v>
      </c>
      <c r="AP51" s="82">
        <v>22</v>
      </c>
      <c r="AQ51" s="75">
        <v>28995.709484272342</v>
      </c>
      <c r="AR51" s="75">
        <v>62084.536124193262</v>
      </c>
      <c r="AS51" s="80">
        <v>91080.245608465601</v>
      </c>
      <c r="AT51" s="74">
        <v>850.58133331007616</v>
      </c>
      <c r="AU51" s="75">
        <v>1255.0244182801325</v>
      </c>
      <c r="AV51" s="75">
        <v>1651.1284704924706</v>
      </c>
      <c r="AW51" s="75">
        <v>778.86565227048084</v>
      </c>
      <c r="AX51" s="80">
        <v>4535.59987435316</v>
      </c>
      <c r="AY51" s="81">
        <v>4.6664057330796344E-2</v>
      </c>
      <c r="AZ51" s="83">
        <v>4140.0111640211635</v>
      </c>
      <c r="BA51" s="80">
        <v>193.18971830802047</v>
      </c>
      <c r="BB51" s="84">
        <v>-77286.651652712375</v>
      </c>
      <c r="BC51" s="85">
        <v>-46.80838168192971</v>
      </c>
      <c r="BD51" s="86">
        <v>-1.8536119145333994</v>
      </c>
      <c r="BE51" s="84">
        <v>-76507.786000441876</v>
      </c>
      <c r="BF51" s="87">
        <v>-31.484761746440359</v>
      </c>
      <c r="BG51" s="88">
        <v>-1.8349319145334413</v>
      </c>
      <c r="BH51" s="89">
        <v>2.1844319145446529</v>
      </c>
      <c r="BI51" s="90">
        <v>0.59999999998884423</v>
      </c>
      <c r="BJ51" s="90">
        <v>0.10877999999838464</v>
      </c>
      <c r="BK51" s="91">
        <v>2.8932119145318818</v>
      </c>
      <c r="BL51" s="92">
        <v>-78937.780123204808</v>
      </c>
      <c r="BM51" s="95">
        <v>0</v>
      </c>
      <c r="BN51" t="s">
        <v>402</v>
      </c>
      <c r="BO51">
        <v>0.85994999999999999</v>
      </c>
    </row>
    <row r="52" spans="1:67">
      <c r="A52" s="61" t="str">
        <f t="shared" si="1"/>
        <v>UK</v>
      </c>
      <c r="B52" s="62" t="s">
        <v>64</v>
      </c>
      <c r="C52" s="62" t="s">
        <v>176</v>
      </c>
      <c r="D52" s="63" t="s">
        <v>97</v>
      </c>
      <c r="E52" s="64">
        <v>43831</v>
      </c>
      <c r="F52" s="64">
        <v>43921</v>
      </c>
      <c r="G52" s="65">
        <v>43995</v>
      </c>
      <c r="H52" s="66" t="s">
        <v>132</v>
      </c>
      <c r="I52" s="67">
        <v>3</v>
      </c>
      <c r="J52" s="68">
        <v>2020</v>
      </c>
      <c r="K52" s="69">
        <v>1</v>
      </c>
      <c r="L52" s="70">
        <v>3</v>
      </c>
      <c r="M52" s="71" t="s">
        <v>140</v>
      </c>
      <c r="N52" s="71" t="s">
        <v>161</v>
      </c>
      <c r="O52" s="71" t="s">
        <v>114</v>
      </c>
      <c r="P52" s="71" t="s">
        <v>102</v>
      </c>
      <c r="Q52" s="61" t="s">
        <v>72</v>
      </c>
      <c r="R52" s="63" t="s">
        <v>106</v>
      </c>
      <c r="S52" s="72" t="s">
        <v>520</v>
      </c>
      <c r="T52" s="61" t="s">
        <v>521</v>
      </c>
      <c r="U52" s="73" t="s">
        <v>523</v>
      </c>
      <c r="V52" s="62">
        <v>107265</v>
      </c>
      <c r="W52" s="62" t="s">
        <v>454</v>
      </c>
      <c r="X52" s="62" t="s">
        <v>402</v>
      </c>
      <c r="Y52" s="93">
        <v>1</v>
      </c>
      <c r="Z52" s="94">
        <v>1</v>
      </c>
      <c r="AA52" s="74">
        <v>2357</v>
      </c>
      <c r="AB52" s="75">
        <v>3843</v>
      </c>
      <c r="AC52" s="75">
        <v>116611.15898598757</v>
      </c>
      <c r="AD52" s="76">
        <v>139933.39077853365</v>
      </c>
      <c r="AE52" s="77">
        <v>1772.1818203</v>
      </c>
      <c r="AF52" s="75">
        <v>2689.2632099000002</v>
      </c>
      <c r="AG52" s="78">
        <v>83380.097802197793</v>
      </c>
      <c r="AH52" s="79">
        <v>100056.11736263736</v>
      </c>
      <c r="AI52" s="74">
        <v>50028.058681318682</v>
      </c>
      <c r="AJ52" s="75">
        <v>0</v>
      </c>
      <c r="AK52" s="75">
        <v>0</v>
      </c>
      <c r="AL52" s="80">
        <v>50028.058681318682</v>
      </c>
      <c r="AM52" s="74">
        <v>12</v>
      </c>
      <c r="AN52" s="74">
        <v>2</v>
      </c>
      <c r="AO52" s="81">
        <v>0.16666666666666666</v>
      </c>
      <c r="AP52" s="82">
        <v>69</v>
      </c>
      <c r="AQ52" s="75">
        <v>23231.094745043316</v>
      </c>
      <c r="AR52" s="75">
        <v>25552.741352404209</v>
      </c>
      <c r="AS52" s="80">
        <v>48783.836097447522</v>
      </c>
      <c r="AT52" s="74">
        <v>1700.953995115995</v>
      </c>
      <c r="AU52" s="75">
        <v>2509.740943775801</v>
      </c>
      <c r="AV52" s="75">
        <v>3301.8518728995869</v>
      </c>
      <c r="AW52" s="75">
        <v>1557.5402269899412</v>
      </c>
      <c r="AX52" s="80">
        <v>9070.0870387813247</v>
      </c>
      <c r="AY52" s="81">
        <v>2.5657585224826598E-2</v>
      </c>
      <c r="AZ52" s="83">
        <v>707.01211735431195</v>
      </c>
      <c r="BA52" s="80">
        <v>18.140223656003364</v>
      </c>
      <c r="BB52" s="84">
        <v>-21200.032142450145</v>
      </c>
      <c r="BC52" s="85">
        <v>-6.4206490655902488</v>
      </c>
      <c r="BD52" s="86">
        <v>-0.2542577029921802</v>
      </c>
      <c r="BE52" s="84">
        <v>-19642.49191546021</v>
      </c>
      <c r="BF52" s="87">
        <v>-4.0421706072878445</v>
      </c>
      <c r="BG52" s="88">
        <v>-0.23557770299164196</v>
      </c>
      <c r="BH52" s="89">
        <v>0.58507770299307138</v>
      </c>
      <c r="BI52" s="90">
        <v>0.60000000000000009</v>
      </c>
      <c r="BJ52" s="90">
        <v>0.10877999999829994</v>
      </c>
      <c r="BK52" s="91">
        <v>1.2938577029913714</v>
      </c>
      <c r="BL52" s="92">
        <v>-24501.884015349729</v>
      </c>
      <c r="BM52" s="95">
        <v>0</v>
      </c>
      <c r="BN52" t="s">
        <v>402</v>
      </c>
      <c r="BO52">
        <v>0.85994999999999999</v>
      </c>
    </row>
    <row r="53" spans="1:67">
      <c r="A53" s="61" t="str">
        <f t="shared" si="1"/>
        <v>UK</v>
      </c>
      <c r="B53" s="62" t="s">
        <v>64</v>
      </c>
      <c r="C53" s="62" t="s">
        <v>176</v>
      </c>
      <c r="D53" s="63" t="s">
        <v>97</v>
      </c>
      <c r="E53" s="64">
        <v>43831</v>
      </c>
      <c r="F53" s="64">
        <v>43921</v>
      </c>
      <c r="G53" s="65">
        <v>43995</v>
      </c>
      <c r="H53" s="66" t="s">
        <v>132</v>
      </c>
      <c r="I53" s="67">
        <v>3</v>
      </c>
      <c r="J53" s="68">
        <v>2020</v>
      </c>
      <c r="K53" s="69">
        <v>1</v>
      </c>
      <c r="L53" s="70">
        <v>3</v>
      </c>
      <c r="M53" s="71" t="s">
        <v>140</v>
      </c>
      <c r="N53" s="71" t="s">
        <v>161</v>
      </c>
      <c r="O53" s="71" t="s">
        <v>114</v>
      </c>
      <c r="P53" s="71" t="s">
        <v>102</v>
      </c>
      <c r="Q53" s="61" t="s">
        <v>72</v>
      </c>
      <c r="R53" s="63" t="s">
        <v>106</v>
      </c>
      <c r="S53" s="72" t="s">
        <v>520</v>
      </c>
      <c r="T53" s="61" t="s">
        <v>521</v>
      </c>
      <c r="U53" s="73" t="s">
        <v>524</v>
      </c>
      <c r="V53" s="62">
        <v>107562</v>
      </c>
      <c r="W53" s="62" t="s">
        <v>478</v>
      </c>
      <c r="X53" s="62" t="s">
        <v>402</v>
      </c>
      <c r="Y53" s="93">
        <v>1</v>
      </c>
      <c r="Z53" s="94">
        <v>1</v>
      </c>
      <c r="AA53" s="74">
        <v>11</v>
      </c>
      <c r="AB53" s="75">
        <v>15</v>
      </c>
      <c r="AC53" s="75">
        <v>1488.0225475899763</v>
      </c>
      <c r="AD53" s="76">
        <v>1785.6270571544858</v>
      </c>
      <c r="AE53" s="77">
        <v>5.8077016707000002</v>
      </c>
      <c r="AF53" s="75">
        <v>8.2421640183000004</v>
      </c>
      <c r="AG53" s="78">
        <v>791.08669607535319</v>
      </c>
      <c r="AH53" s="79">
        <v>949.30403529274963</v>
      </c>
      <c r="AI53" s="74">
        <v>474.65201764056053</v>
      </c>
      <c r="AJ53" s="75">
        <v>0</v>
      </c>
      <c r="AK53" s="75">
        <v>0</v>
      </c>
      <c r="AL53" s="80">
        <v>474.65201764056053</v>
      </c>
      <c r="AM53" s="74">
        <v>1</v>
      </c>
      <c r="AN53" s="74">
        <v>0</v>
      </c>
      <c r="AO53" s="81">
        <v>0</v>
      </c>
      <c r="AP53" s="82">
        <v>1</v>
      </c>
      <c r="AQ53" s="75">
        <v>128.24001253561255</v>
      </c>
      <c r="AR53" s="75">
        <v>128.24001253561255</v>
      </c>
      <c r="AS53" s="80">
        <v>256.4800250712251</v>
      </c>
      <c r="AT53" s="74">
        <v>16.138168600500027</v>
      </c>
      <c r="AU53" s="75">
        <v>23.811709551718121</v>
      </c>
      <c r="AV53" s="75">
        <v>31.32703316471888</v>
      </c>
      <c r="AW53" s="75">
        <v>14.777499482528054</v>
      </c>
      <c r="AX53" s="80">
        <v>86.054410799465089</v>
      </c>
      <c r="AY53" s="81">
        <v>0.12132735987535667</v>
      </c>
      <c r="AZ53" s="83">
        <v>256.4800250712251</v>
      </c>
      <c r="BA53" s="80">
        <v>31.118044302657029</v>
      </c>
      <c r="BB53" s="84">
        <v>5.2272757288213825</v>
      </c>
      <c r="BC53" s="85">
        <v>0.16686149950223958</v>
      </c>
      <c r="BD53" s="86">
        <v>6.6077153803171407E-3</v>
      </c>
      <c r="BE53" s="84">
        <v>20.004775211349397</v>
      </c>
      <c r="BF53" s="87">
        <v>0.43390040116899337</v>
      </c>
      <c r="BG53" s="88">
        <v>2.5287715380115414E-2</v>
      </c>
      <c r="BH53" s="89">
        <v>0.32421228462524249</v>
      </c>
      <c r="BI53" s="90">
        <v>0.59999999999412024</v>
      </c>
      <c r="BJ53" s="90">
        <v>0.10878000000049068</v>
      </c>
      <c r="BK53" s="91">
        <v>1.0329922846198534</v>
      </c>
      <c r="BL53" s="92">
        <v>-26.099757435897573</v>
      </c>
      <c r="BM53" s="95">
        <v>0</v>
      </c>
      <c r="BN53" t="s">
        <v>402</v>
      </c>
      <c r="BO53">
        <v>0.85994999999999999</v>
      </c>
    </row>
    <row r="54" spans="1:67">
      <c r="A54" s="61" t="str">
        <f t="shared" si="1"/>
        <v>UK</v>
      </c>
      <c r="B54" s="62" t="s">
        <v>64</v>
      </c>
      <c r="C54" s="62" t="s">
        <v>176</v>
      </c>
      <c r="D54" s="63" t="s">
        <v>97</v>
      </c>
      <c r="E54" s="64">
        <v>43831</v>
      </c>
      <c r="F54" s="64">
        <v>43921</v>
      </c>
      <c r="G54" s="65">
        <v>43995</v>
      </c>
      <c r="H54" s="66" t="s">
        <v>132</v>
      </c>
      <c r="I54" s="67">
        <v>3</v>
      </c>
      <c r="J54" s="68">
        <v>2020</v>
      </c>
      <c r="K54" s="69">
        <v>1</v>
      </c>
      <c r="L54" s="70">
        <v>3</v>
      </c>
      <c r="M54" s="71" t="s">
        <v>140</v>
      </c>
      <c r="N54" s="71" t="s">
        <v>161</v>
      </c>
      <c r="O54" s="71" t="s">
        <v>114</v>
      </c>
      <c r="P54" s="71" t="s">
        <v>102</v>
      </c>
      <c r="Q54" s="61" t="s">
        <v>72</v>
      </c>
      <c r="R54" s="63" t="s">
        <v>106</v>
      </c>
      <c r="S54" s="72" t="s">
        <v>520</v>
      </c>
      <c r="T54" s="61" t="s">
        <v>521</v>
      </c>
      <c r="U54" s="73" t="s">
        <v>525</v>
      </c>
      <c r="V54" s="62">
        <v>107561</v>
      </c>
      <c r="W54" s="62" t="s">
        <v>478</v>
      </c>
      <c r="X54" s="62" t="s">
        <v>402</v>
      </c>
      <c r="Y54" s="93">
        <v>1</v>
      </c>
      <c r="Z54" s="94">
        <v>1</v>
      </c>
      <c r="AA54" s="74">
        <v>0</v>
      </c>
      <c r="AB54" s="75">
        <v>0</v>
      </c>
      <c r="AC54" s="75">
        <v>0</v>
      </c>
      <c r="AD54" s="76">
        <v>0</v>
      </c>
      <c r="AE54" s="77">
        <v>1.7630136986</v>
      </c>
      <c r="AF54" s="75">
        <v>3.1191780821999999</v>
      </c>
      <c r="AG54" s="78">
        <v>318.50031739054594</v>
      </c>
      <c r="AH54" s="79">
        <v>382.20038085935226</v>
      </c>
      <c r="AI54" s="74">
        <v>191.10019042967613</v>
      </c>
      <c r="AJ54" s="75">
        <v>0</v>
      </c>
      <c r="AK54" s="75">
        <v>0</v>
      </c>
      <c r="AL54" s="80">
        <v>191.10019042967613</v>
      </c>
      <c r="AM54" s="74">
        <v>0</v>
      </c>
      <c r="AN54" s="74">
        <v>0</v>
      </c>
      <c r="AO54" s="81" t="s">
        <v>403</v>
      </c>
      <c r="AP54" s="82">
        <v>0</v>
      </c>
      <c r="AQ54" s="75">
        <v>0</v>
      </c>
      <c r="AR54" s="75">
        <v>0</v>
      </c>
      <c r="AS54" s="80">
        <v>0</v>
      </c>
      <c r="AT54" s="74">
        <v>6.4974064746787601</v>
      </c>
      <c r="AU54" s="75">
        <v>9.5868595533461249</v>
      </c>
      <c r="AV54" s="75">
        <v>12.612612568172569</v>
      </c>
      <c r="AW54" s="75">
        <v>5.949585928716786</v>
      </c>
      <c r="AX54" s="80">
        <v>34.646464524914236</v>
      </c>
      <c r="AY54" s="81">
        <v>0</v>
      </c>
      <c r="AZ54" s="83" t="s">
        <v>403</v>
      </c>
      <c r="BA54" s="80" t="s">
        <v>403</v>
      </c>
      <c r="BB54" s="84">
        <v>105.36627500412811</v>
      </c>
      <c r="BC54" s="85">
        <v>8.3540404047624328</v>
      </c>
      <c r="BD54" s="86">
        <v>0.33082000001565998</v>
      </c>
      <c r="BE54" s="84">
        <v>111.31586093284491</v>
      </c>
      <c r="BF54" s="87">
        <v>5.9969114623733377</v>
      </c>
      <c r="BG54" s="88">
        <v>0.3495000000152248</v>
      </c>
      <c r="BH54" s="89">
        <v>0</v>
      </c>
      <c r="BI54" s="90">
        <v>0.59999999998539577</v>
      </c>
      <c r="BJ54" s="90">
        <v>0.10877999999739607</v>
      </c>
      <c r="BK54" s="91">
        <v>0.70877999998279184</v>
      </c>
      <c r="BL54" s="92">
        <v>92.753662435955562</v>
      </c>
      <c r="BM54" s="95">
        <v>0</v>
      </c>
      <c r="BN54" t="s">
        <v>402</v>
      </c>
      <c r="BO54">
        <v>0.85994999999999999</v>
      </c>
    </row>
    <row r="55" spans="1:67">
      <c r="A55" s="61" t="str">
        <f t="shared" si="1"/>
        <v>UK</v>
      </c>
      <c r="B55" s="62" t="s">
        <v>64</v>
      </c>
      <c r="C55" s="62" t="s">
        <v>176</v>
      </c>
      <c r="D55" s="63" t="s">
        <v>97</v>
      </c>
      <c r="E55" s="64">
        <v>43831</v>
      </c>
      <c r="F55" s="64">
        <v>43921</v>
      </c>
      <c r="G55" s="65">
        <v>43995</v>
      </c>
      <c r="H55" s="66" t="s">
        <v>132</v>
      </c>
      <c r="I55" s="67">
        <v>3</v>
      </c>
      <c r="J55" s="68">
        <v>2020</v>
      </c>
      <c r="K55" s="69">
        <v>1</v>
      </c>
      <c r="L55" s="70">
        <v>3</v>
      </c>
      <c r="M55" s="71" t="s">
        <v>140</v>
      </c>
      <c r="N55" s="71" t="s">
        <v>161</v>
      </c>
      <c r="O55" s="71" t="s">
        <v>114</v>
      </c>
      <c r="P55" s="71" t="s">
        <v>102</v>
      </c>
      <c r="Q55" s="61" t="s">
        <v>72</v>
      </c>
      <c r="R55" s="63" t="s">
        <v>106</v>
      </c>
      <c r="S55" s="72" t="s">
        <v>520</v>
      </c>
      <c r="T55" s="61" t="s">
        <v>521</v>
      </c>
      <c r="U55" s="73" t="s">
        <v>526</v>
      </c>
      <c r="V55" s="62">
        <v>107565</v>
      </c>
      <c r="W55" s="62" t="s">
        <v>478</v>
      </c>
      <c r="X55" s="62" t="s">
        <v>402</v>
      </c>
      <c r="Y55" s="93">
        <v>1</v>
      </c>
      <c r="Z55" s="94">
        <v>1</v>
      </c>
      <c r="AA55" s="74">
        <v>5</v>
      </c>
      <c r="AB55" s="75">
        <v>9</v>
      </c>
      <c r="AC55" s="75">
        <v>437.04091322751327</v>
      </c>
      <c r="AD55" s="76">
        <v>524.44909587766733</v>
      </c>
      <c r="AE55" s="77">
        <v>2.8253846154</v>
      </c>
      <c r="AF55" s="75">
        <v>3.7353846154000001</v>
      </c>
      <c r="AG55" s="78">
        <v>217.07284710738998</v>
      </c>
      <c r="AH55" s="79">
        <v>260.48741653584511</v>
      </c>
      <c r="AI55" s="74">
        <v>130.24370826210827</v>
      </c>
      <c r="AJ55" s="75">
        <v>0</v>
      </c>
      <c r="AK55" s="75">
        <v>0</v>
      </c>
      <c r="AL55" s="80">
        <v>130.24370826210827</v>
      </c>
      <c r="AM55" s="74">
        <v>0</v>
      </c>
      <c r="AN55" s="74">
        <v>0</v>
      </c>
      <c r="AO55" s="81" t="s">
        <v>403</v>
      </c>
      <c r="AP55" s="82">
        <v>0</v>
      </c>
      <c r="AQ55" s="75">
        <v>0</v>
      </c>
      <c r="AR55" s="75">
        <v>0</v>
      </c>
      <c r="AS55" s="80">
        <v>0</v>
      </c>
      <c r="AT55" s="74">
        <v>4.4282860810512243</v>
      </c>
      <c r="AU55" s="75">
        <v>6.5338926979475547</v>
      </c>
      <c r="AV55" s="75">
        <v>8.5960847455084597</v>
      </c>
      <c r="AW55" s="75">
        <v>4.0549207839990702</v>
      </c>
      <c r="AX55" s="80">
        <v>23.613184308506309</v>
      </c>
      <c r="AY55" s="81">
        <v>0</v>
      </c>
      <c r="AZ55" s="83" t="s">
        <v>403</v>
      </c>
      <c r="BA55" s="80" t="s">
        <v>403</v>
      </c>
      <c r="BB55" s="84">
        <v>71.812039282283848</v>
      </c>
      <c r="BC55" s="85">
        <v>8.3540404042440777</v>
      </c>
      <c r="BD55" s="86">
        <v>0.33082000001021361</v>
      </c>
      <c r="BE55" s="84">
        <v>75.866960066282928</v>
      </c>
      <c r="BF55" s="87">
        <v>5.9969114620437791</v>
      </c>
      <c r="BG55" s="88">
        <v>0.3495000000103658</v>
      </c>
      <c r="BH55" s="89">
        <v>0</v>
      </c>
      <c r="BI55" s="90">
        <v>0.59999999998928599</v>
      </c>
      <c r="BJ55" s="90">
        <v>0.10878000000075748</v>
      </c>
      <c r="BK55" s="91">
        <v>0.70877999999004349</v>
      </c>
      <c r="BL55" s="92">
        <v>63.215954536775399</v>
      </c>
      <c r="BM55" s="95">
        <v>0</v>
      </c>
      <c r="BN55" t="s">
        <v>402</v>
      </c>
      <c r="BO55">
        <v>0.85994999999999999</v>
      </c>
    </row>
    <row r="56" spans="1:67">
      <c r="A56" s="61" t="str">
        <f t="shared" si="1"/>
        <v>UK</v>
      </c>
      <c r="B56" s="62" t="s">
        <v>64</v>
      </c>
      <c r="C56" s="62" t="s">
        <v>176</v>
      </c>
      <c r="D56" s="63" t="s">
        <v>97</v>
      </c>
      <c r="E56" s="64">
        <v>43831</v>
      </c>
      <c r="F56" s="64">
        <v>43921</v>
      </c>
      <c r="G56" s="65">
        <v>43995</v>
      </c>
      <c r="H56" s="66" t="s">
        <v>132</v>
      </c>
      <c r="I56" s="67">
        <v>3</v>
      </c>
      <c r="J56" s="68">
        <v>2020</v>
      </c>
      <c r="K56" s="69">
        <v>1</v>
      </c>
      <c r="L56" s="70">
        <v>3</v>
      </c>
      <c r="M56" s="71" t="s">
        <v>140</v>
      </c>
      <c r="N56" s="71" t="s">
        <v>161</v>
      </c>
      <c r="O56" s="71" t="s">
        <v>114</v>
      </c>
      <c r="P56" s="71" t="s">
        <v>102</v>
      </c>
      <c r="Q56" s="61" t="s">
        <v>72</v>
      </c>
      <c r="R56" s="63" t="s">
        <v>112</v>
      </c>
      <c r="S56" s="72" t="s">
        <v>520</v>
      </c>
      <c r="T56" s="61" t="s">
        <v>521</v>
      </c>
      <c r="U56" s="73" t="s">
        <v>527</v>
      </c>
      <c r="V56" s="62">
        <v>107263</v>
      </c>
      <c r="W56" s="62" t="s">
        <v>454</v>
      </c>
      <c r="X56" s="62" t="s">
        <v>402</v>
      </c>
      <c r="Y56" s="93">
        <v>1</v>
      </c>
      <c r="Z56" s="94">
        <v>1</v>
      </c>
      <c r="AA56" s="74">
        <v>770</v>
      </c>
      <c r="AB56" s="75">
        <v>1107</v>
      </c>
      <c r="AC56" s="75">
        <v>59246.177103319962</v>
      </c>
      <c r="AD56" s="76">
        <v>71095.412523983949</v>
      </c>
      <c r="AE56" s="77">
        <v>577.50565246999997</v>
      </c>
      <c r="AF56" s="75">
        <v>804.34278032999998</v>
      </c>
      <c r="AG56" s="78">
        <v>43528.350315716038</v>
      </c>
      <c r="AH56" s="79">
        <v>52234.020379091809</v>
      </c>
      <c r="AI56" s="74">
        <v>26117.010190127334</v>
      </c>
      <c r="AJ56" s="75">
        <v>0</v>
      </c>
      <c r="AK56" s="75">
        <v>0</v>
      </c>
      <c r="AL56" s="80">
        <v>26117.010190127334</v>
      </c>
      <c r="AM56" s="74">
        <v>12</v>
      </c>
      <c r="AN56" s="74">
        <v>1</v>
      </c>
      <c r="AO56" s="81">
        <v>8.3333333333333329E-2</v>
      </c>
      <c r="AP56" s="82">
        <v>50</v>
      </c>
      <c r="AQ56" s="75">
        <v>11261.422238037096</v>
      </c>
      <c r="AR56" s="75">
        <v>13345.264322344323</v>
      </c>
      <c r="AS56" s="80">
        <v>24606.686560381419</v>
      </c>
      <c r="AT56" s="74">
        <v>887.97834645037506</v>
      </c>
      <c r="AU56" s="75">
        <v>1310.2033444967731</v>
      </c>
      <c r="AV56" s="75">
        <v>1723.7226724809584</v>
      </c>
      <c r="AW56" s="75">
        <v>813.10958390604105</v>
      </c>
      <c r="AX56" s="80">
        <v>4735.0139473341478</v>
      </c>
      <c r="AY56" s="81">
        <v>6.2162552114269437E-2</v>
      </c>
      <c r="AZ56" s="83">
        <v>492.13373120762839</v>
      </c>
      <c r="BA56" s="80">
        <v>30.592288713384068</v>
      </c>
      <c r="BB56" s="84">
        <v>-10206.637709645911</v>
      </c>
      <c r="BC56" s="85">
        <v>-5.9212760106911349</v>
      </c>
      <c r="BD56" s="86">
        <v>-0.2344825300204583</v>
      </c>
      <c r="BE56" s="84">
        <v>-9393.5281257398674</v>
      </c>
      <c r="BF56" s="87">
        <v>-3.7028574128579916</v>
      </c>
      <c r="BG56" s="88">
        <v>-0.21580253002026376</v>
      </c>
      <c r="BH56" s="89">
        <v>0.56530253000415465</v>
      </c>
      <c r="BI56" s="90">
        <v>0.60000000001602893</v>
      </c>
      <c r="BJ56" s="90">
        <v>0.10877999999978306</v>
      </c>
      <c r="BK56" s="91">
        <v>1.2740825300199667</v>
      </c>
      <c r="BL56" s="92">
        <v>-11930.360382126863</v>
      </c>
      <c r="BM56" s="95">
        <v>0</v>
      </c>
      <c r="BN56" t="s">
        <v>402</v>
      </c>
      <c r="BO56">
        <v>0.85994999999999999</v>
      </c>
    </row>
    <row r="57" spans="1:67">
      <c r="A57" s="61" t="str">
        <f t="shared" si="1"/>
        <v>UK</v>
      </c>
      <c r="B57" s="62" t="s">
        <v>64</v>
      </c>
      <c r="C57" s="62" t="s">
        <v>176</v>
      </c>
      <c r="D57" s="63" t="s">
        <v>97</v>
      </c>
      <c r="E57" s="64">
        <v>43831</v>
      </c>
      <c r="F57" s="64">
        <v>43921</v>
      </c>
      <c r="G57" s="65">
        <v>43995</v>
      </c>
      <c r="H57" s="66" t="s">
        <v>132</v>
      </c>
      <c r="I57" s="67">
        <v>3</v>
      </c>
      <c r="J57" s="68">
        <v>2020</v>
      </c>
      <c r="K57" s="69">
        <v>1</v>
      </c>
      <c r="L57" s="70">
        <v>3</v>
      </c>
      <c r="M57" s="71" t="s">
        <v>140</v>
      </c>
      <c r="N57" s="71" t="s">
        <v>161</v>
      </c>
      <c r="O57" s="71" t="s">
        <v>114</v>
      </c>
      <c r="P57" s="71" t="s">
        <v>102</v>
      </c>
      <c r="Q57" s="61" t="s">
        <v>72</v>
      </c>
      <c r="R57" s="63" t="s">
        <v>106</v>
      </c>
      <c r="S57" s="72" t="s">
        <v>520</v>
      </c>
      <c r="T57" s="61" t="s">
        <v>521</v>
      </c>
      <c r="U57" s="73" t="s">
        <v>528</v>
      </c>
      <c r="V57" s="62">
        <v>107261</v>
      </c>
      <c r="W57" s="62" t="s">
        <v>454</v>
      </c>
      <c r="X57" s="62" t="s">
        <v>402</v>
      </c>
      <c r="Y57" s="93">
        <v>1</v>
      </c>
      <c r="Z57" s="94">
        <v>1</v>
      </c>
      <c r="AA57" s="74">
        <v>0</v>
      </c>
      <c r="AB57" s="75">
        <v>0</v>
      </c>
      <c r="AC57" s="75">
        <v>0</v>
      </c>
      <c r="AD57" s="76">
        <v>0</v>
      </c>
      <c r="AE57" s="77">
        <v>0.23749999999999999</v>
      </c>
      <c r="AF57" s="75">
        <v>0.375</v>
      </c>
      <c r="AG57" s="78">
        <v>5.7416128844700278</v>
      </c>
      <c r="AH57" s="79">
        <v>6.8899354613640327</v>
      </c>
      <c r="AI57" s="74">
        <v>3.4449677306820163</v>
      </c>
      <c r="AJ57" s="75">
        <v>0</v>
      </c>
      <c r="AK57" s="75">
        <v>0</v>
      </c>
      <c r="AL57" s="80">
        <v>3.4449677306820163</v>
      </c>
      <c r="AM57" s="74">
        <v>0</v>
      </c>
      <c r="AN57" s="74">
        <v>0</v>
      </c>
      <c r="AO57" s="81" t="s">
        <v>403</v>
      </c>
      <c r="AP57" s="82">
        <v>0</v>
      </c>
      <c r="AQ57" s="75">
        <v>0</v>
      </c>
      <c r="AR57" s="75">
        <v>0</v>
      </c>
      <c r="AS57" s="80">
        <v>0</v>
      </c>
      <c r="AT57" s="74">
        <v>0.11712890284318855</v>
      </c>
      <c r="AU57" s="75">
        <v>0.17282254782254783</v>
      </c>
      <c r="AV57" s="75">
        <v>0.22736787022501309</v>
      </c>
      <c r="AW57" s="75">
        <v>0.1072533286819001</v>
      </c>
      <c r="AX57" s="80">
        <v>0.62457264957264946</v>
      </c>
      <c r="AY57" s="81">
        <v>0</v>
      </c>
      <c r="AZ57" s="83" t="s">
        <v>403</v>
      </c>
      <c r="BA57" s="80" t="s">
        <v>403</v>
      </c>
      <c r="BB57" s="84">
        <v>1.8994403744403749</v>
      </c>
      <c r="BC57" s="85">
        <v>8.3540404040404059</v>
      </c>
      <c r="BD57" s="86">
        <v>0.33082000000000006</v>
      </c>
      <c r="BE57" s="84">
        <v>2.0066937031222749</v>
      </c>
      <c r="BF57" s="87">
        <v>5.9969114619080308</v>
      </c>
      <c r="BG57" s="88">
        <v>0.34950000000000003</v>
      </c>
      <c r="BH57" s="89">
        <v>0</v>
      </c>
      <c r="BI57" s="90">
        <v>0.6</v>
      </c>
      <c r="BJ57" s="90">
        <v>0.10877999999999997</v>
      </c>
      <c r="BK57" s="91">
        <v>0.70877999999999997</v>
      </c>
      <c r="BL57" s="92">
        <v>1.6720725042153619</v>
      </c>
      <c r="BM57" s="95">
        <v>0</v>
      </c>
      <c r="BN57" t="s">
        <v>402</v>
      </c>
      <c r="BO57">
        <v>0.85994999999999999</v>
      </c>
    </row>
    <row r="58" spans="1:67">
      <c r="A58" s="61" t="str">
        <f t="shared" si="1"/>
        <v>UK</v>
      </c>
      <c r="B58" s="62" t="s">
        <v>64</v>
      </c>
      <c r="C58" s="62" t="s">
        <v>176</v>
      </c>
      <c r="D58" s="63" t="s">
        <v>97</v>
      </c>
      <c r="E58" s="64">
        <v>43831</v>
      </c>
      <c r="F58" s="64">
        <v>43921</v>
      </c>
      <c r="G58" s="65">
        <v>43995</v>
      </c>
      <c r="H58" s="66" t="s">
        <v>132</v>
      </c>
      <c r="I58" s="67">
        <v>3</v>
      </c>
      <c r="J58" s="68">
        <v>2020</v>
      </c>
      <c r="K58" s="69">
        <v>1</v>
      </c>
      <c r="L58" s="70">
        <v>3</v>
      </c>
      <c r="M58" s="71" t="s">
        <v>140</v>
      </c>
      <c r="N58" s="71" t="s">
        <v>161</v>
      </c>
      <c r="O58" s="71" t="s">
        <v>114</v>
      </c>
      <c r="P58" s="71" t="s">
        <v>102</v>
      </c>
      <c r="Q58" s="61" t="s">
        <v>72</v>
      </c>
      <c r="R58" s="63" t="s">
        <v>112</v>
      </c>
      <c r="S58" s="72" t="s">
        <v>520</v>
      </c>
      <c r="T58" s="61" t="s">
        <v>521</v>
      </c>
      <c r="U58" s="73" t="s">
        <v>529</v>
      </c>
      <c r="V58" s="62">
        <v>107563</v>
      </c>
      <c r="W58" s="62" t="s">
        <v>478</v>
      </c>
      <c r="X58" s="62" t="s">
        <v>402</v>
      </c>
      <c r="Y58" s="93">
        <v>1</v>
      </c>
      <c r="Z58" s="94">
        <v>1</v>
      </c>
      <c r="AA58" s="74">
        <v>48</v>
      </c>
      <c r="AB58" s="75">
        <v>85</v>
      </c>
      <c r="AC58" s="75">
        <v>4483.4970404093265</v>
      </c>
      <c r="AD58" s="76">
        <v>5380.196448514449</v>
      </c>
      <c r="AE58" s="77">
        <v>34.291569825000003</v>
      </c>
      <c r="AF58" s="75">
        <v>68.151815779000003</v>
      </c>
      <c r="AG58" s="78">
        <v>3527.9840439560439</v>
      </c>
      <c r="AH58" s="79">
        <v>4233.5808527239951</v>
      </c>
      <c r="AI58" s="74">
        <v>2116.7904264201406</v>
      </c>
      <c r="AJ58" s="75">
        <v>0</v>
      </c>
      <c r="AK58" s="75">
        <v>0</v>
      </c>
      <c r="AL58" s="80">
        <v>2116.7904264201406</v>
      </c>
      <c r="AM58" s="74">
        <v>2</v>
      </c>
      <c r="AN58" s="74">
        <v>1</v>
      </c>
      <c r="AO58" s="81">
        <v>0.5</v>
      </c>
      <c r="AP58" s="82">
        <v>10</v>
      </c>
      <c r="AQ58" s="75">
        <v>5704.1339861619863</v>
      </c>
      <c r="AR58" s="75">
        <v>7556.9172194895054</v>
      </c>
      <c r="AS58" s="80">
        <v>13261.051205651493</v>
      </c>
      <c r="AT58" s="74">
        <v>71.970874496191641</v>
      </c>
      <c r="AU58" s="75">
        <v>106.19231972207686</v>
      </c>
      <c r="AV58" s="75">
        <v>139.70816813768243</v>
      </c>
      <c r="AW58" s="75">
        <v>65.902741940810515</v>
      </c>
      <c r="AX58" s="80">
        <v>383.77410429676149</v>
      </c>
      <c r="AY58" s="81">
        <v>0.14673123358044637</v>
      </c>
      <c r="AZ58" s="83">
        <v>1326.1051205651493</v>
      </c>
      <c r="BA58" s="80">
        <v>194.58104019787092</v>
      </c>
      <c r="BB58" s="84">
        <v>-12093.923524274669</v>
      </c>
      <c r="BC58" s="85">
        <v>-86.565615206951279</v>
      </c>
      <c r="BD58" s="86">
        <v>-3.427998362122227</v>
      </c>
      <c r="BE58" s="84">
        <v>-12028.020782333857</v>
      </c>
      <c r="BF58" s="87">
        <v>-58.498942384633686</v>
      </c>
      <c r="BG58" s="88">
        <v>-3.409318362122308</v>
      </c>
      <c r="BH58" s="89">
        <v>3.7588183621095523</v>
      </c>
      <c r="BI58" s="90">
        <v>0.60000000001318443</v>
      </c>
      <c r="BJ58" s="90">
        <v>0.10877999999864597</v>
      </c>
      <c r="BK58" s="91">
        <v>4.4675983621213824</v>
      </c>
      <c r="BL58" s="92">
        <v>-12233.631692412349</v>
      </c>
      <c r="BM58" s="95">
        <v>0</v>
      </c>
      <c r="BN58" t="s">
        <v>402</v>
      </c>
      <c r="BO58">
        <v>0.85994999999999999</v>
      </c>
    </row>
    <row r="59" spans="1:67">
      <c r="A59" s="61" t="str">
        <f t="shared" si="1"/>
        <v>UK</v>
      </c>
      <c r="B59" s="62" t="s">
        <v>64</v>
      </c>
      <c r="C59" s="62" t="s">
        <v>176</v>
      </c>
      <c r="D59" s="63" t="s">
        <v>97</v>
      </c>
      <c r="E59" s="64">
        <v>43831</v>
      </c>
      <c r="F59" s="64">
        <v>43921</v>
      </c>
      <c r="G59" s="65">
        <v>43995</v>
      </c>
      <c r="H59" s="66" t="s">
        <v>132</v>
      </c>
      <c r="I59" s="67">
        <v>3</v>
      </c>
      <c r="J59" s="68">
        <v>2020</v>
      </c>
      <c r="K59" s="69">
        <v>1</v>
      </c>
      <c r="L59" s="70">
        <v>3</v>
      </c>
      <c r="M59" s="71" t="s">
        <v>140</v>
      </c>
      <c r="N59" s="71" t="s">
        <v>161</v>
      </c>
      <c r="O59" s="71" t="s">
        <v>114</v>
      </c>
      <c r="P59" s="71" t="s">
        <v>102</v>
      </c>
      <c r="Q59" s="61" t="s">
        <v>72</v>
      </c>
      <c r="R59" s="63" t="s">
        <v>106</v>
      </c>
      <c r="S59" s="72" t="s">
        <v>520</v>
      </c>
      <c r="T59" s="61" t="s">
        <v>521</v>
      </c>
      <c r="U59" s="73" t="s">
        <v>530</v>
      </c>
      <c r="V59" s="62">
        <v>107567</v>
      </c>
      <c r="W59" s="62" t="s">
        <v>478</v>
      </c>
      <c r="X59" s="62" t="s">
        <v>402</v>
      </c>
      <c r="Y59" s="93">
        <v>1</v>
      </c>
      <c r="Z59" s="94">
        <v>1</v>
      </c>
      <c r="AA59" s="74">
        <v>26</v>
      </c>
      <c r="AB59" s="75">
        <v>41</v>
      </c>
      <c r="AC59" s="75">
        <v>763.61029480783759</v>
      </c>
      <c r="AD59" s="76">
        <v>916.33235377638243</v>
      </c>
      <c r="AE59" s="77">
        <v>23.396757714</v>
      </c>
      <c r="AF59" s="75">
        <v>34.449232461000001</v>
      </c>
      <c r="AG59" s="78">
        <v>654.87016364904935</v>
      </c>
      <c r="AH59" s="79">
        <v>785.84419638351073</v>
      </c>
      <c r="AI59" s="74">
        <v>392.92209819175537</v>
      </c>
      <c r="AJ59" s="75">
        <v>0</v>
      </c>
      <c r="AK59" s="75">
        <v>0</v>
      </c>
      <c r="AL59" s="80">
        <v>392.92209819175537</v>
      </c>
      <c r="AM59" s="74">
        <v>0</v>
      </c>
      <c r="AN59" s="74">
        <v>0</v>
      </c>
      <c r="AO59" s="81" t="s">
        <v>403</v>
      </c>
      <c r="AP59" s="82">
        <v>0</v>
      </c>
      <c r="AQ59" s="75">
        <v>0</v>
      </c>
      <c r="AR59" s="75">
        <v>0</v>
      </c>
      <c r="AS59" s="80">
        <v>0</v>
      </c>
      <c r="AT59" s="74">
        <v>13.35935133786848</v>
      </c>
      <c r="AU59" s="75">
        <v>19.711591926274785</v>
      </c>
      <c r="AV59" s="75">
        <v>25.932858480144198</v>
      </c>
      <c r="AW59" s="75">
        <v>12.232974656666086</v>
      </c>
      <c r="AX59" s="80">
        <v>71.236776400953545</v>
      </c>
      <c r="AY59" s="81">
        <v>0</v>
      </c>
      <c r="AZ59" s="83" t="s">
        <v>403</v>
      </c>
      <c r="BA59" s="80" t="s">
        <v>403</v>
      </c>
      <c r="BB59" s="84">
        <v>216.64414753648464</v>
      </c>
      <c r="BC59" s="85">
        <v>8.3540404040827507</v>
      </c>
      <c r="BD59" s="86">
        <v>0.33081999999710804</v>
      </c>
      <c r="BE59" s="84">
        <v>228.87712219315074</v>
      </c>
      <c r="BF59" s="87">
        <v>5.9969114619537214</v>
      </c>
      <c r="BG59" s="88">
        <v>0.34949999999665277</v>
      </c>
      <c r="BH59" s="89">
        <v>0</v>
      </c>
      <c r="BI59" s="90">
        <v>0.60000000000355147</v>
      </c>
      <c r="BJ59" s="90">
        <v>0.10877999999879359</v>
      </c>
      <c r="BK59" s="91">
        <v>0.70878000000234509</v>
      </c>
      <c r="BL59" s="92">
        <v>190.71128905634043</v>
      </c>
      <c r="BM59" s="95">
        <v>0</v>
      </c>
      <c r="BN59" t="s">
        <v>402</v>
      </c>
      <c r="BO59">
        <v>0.85994999999999999</v>
      </c>
    </row>
    <row r="60" spans="1:67">
      <c r="A60" s="61" t="str">
        <f t="shared" si="1"/>
        <v>UK</v>
      </c>
      <c r="B60" s="62" t="s">
        <v>64</v>
      </c>
      <c r="C60" s="62" t="s">
        <v>176</v>
      </c>
      <c r="D60" s="63" t="s">
        <v>97</v>
      </c>
      <c r="E60" s="64">
        <v>43831</v>
      </c>
      <c r="F60" s="64">
        <v>43921</v>
      </c>
      <c r="G60" s="65">
        <v>43995</v>
      </c>
      <c r="H60" s="66" t="s">
        <v>132</v>
      </c>
      <c r="I60" s="67">
        <v>3</v>
      </c>
      <c r="J60" s="68">
        <v>2020</v>
      </c>
      <c r="K60" s="69">
        <v>1</v>
      </c>
      <c r="L60" s="70">
        <v>3</v>
      </c>
      <c r="M60" s="71" t="s">
        <v>140</v>
      </c>
      <c r="N60" s="71" t="s">
        <v>161</v>
      </c>
      <c r="O60" s="71" t="s">
        <v>114</v>
      </c>
      <c r="P60" s="71" t="s">
        <v>102</v>
      </c>
      <c r="Q60" s="61" t="s">
        <v>72</v>
      </c>
      <c r="R60" s="63" t="s">
        <v>103</v>
      </c>
      <c r="S60" s="72" t="s">
        <v>520</v>
      </c>
      <c r="T60" s="61" t="s">
        <v>518</v>
      </c>
      <c r="U60" s="73" t="s">
        <v>531</v>
      </c>
      <c r="V60" s="62">
        <v>107269</v>
      </c>
      <c r="W60" s="62" t="s">
        <v>478</v>
      </c>
      <c r="X60" s="62" t="s">
        <v>402</v>
      </c>
      <c r="Y60" s="93">
        <v>1</v>
      </c>
      <c r="Z60" s="94">
        <v>1</v>
      </c>
      <c r="AA60" s="74">
        <v>204</v>
      </c>
      <c r="AB60" s="75">
        <v>439</v>
      </c>
      <c r="AC60" s="75">
        <v>3201.7365350311065</v>
      </c>
      <c r="AD60" s="76">
        <v>3842.0838420838422</v>
      </c>
      <c r="AE60" s="77">
        <v>209.53951896000001</v>
      </c>
      <c r="AF60" s="75">
        <v>448.40004684000002</v>
      </c>
      <c r="AG60" s="78">
        <v>3279.9963112971682</v>
      </c>
      <c r="AH60" s="79">
        <v>3935.9955735798594</v>
      </c>
      <c r="AI60" s="74">
        <v>721.40715861387287</v>
      </c>
      <c r="AJ60" s="75">
        <v>0</v>
      </c>
      <c r="AK60" s="75">
        <v>0</v>
      </c>
      <c r="AL60" s="80">
        <v>721.40715861387287</v>
      </c>
      <c r="AM60" s="74">
        <v>0</v>
      </c>
      <c r="AN60" s="74">
        <v>0</v>
      </c>
      <c r="AO60" s="81" t="s">
        <v>403</v>
      </c>
      <c r="AP60" s="82">
        <v>0</v>
      </c>
      <c r="AQ60" s="75">
        <v>0</v>
      </c>
      <c r="AR60" s="75">
        <v>0</v>
      </c>
      <c r="AS60" s="80">
        <v>0</v>
      </c>
      <c r="AT60" s="74">
        <v>130.48804678178965</v>
      </c>
      <c r="AU60" s="75">
        <v>98.727888969126113</v>
      </c>
      <c r="AV60" s="75">
        <v>253.30032611198325</v>
      </c>
      <c r="AW60" s="75">
        <v>119.48611342519915</v>
      </c>
      <c r="AX60" s="80">
        <v>602.00237528809816</v>
      </c>
      <c r="AY60" s="81">
        <v>0</v>
      </c>
      <c r="AZ60" s="83" t="s">
        <v>403</v>
      </c>
      <c r="BA60" s="80" t="s">
        <v>403</v>
      </c>
      <c r="BB60" s="84">
        <v>2209.8871035071807</v>
      </c>
      <c r="BC60" s="85">
        <v>8.7243752798415137</v>
      </c>
      <c r="BD60" s="86">
        <v>0.67374682584116008</v>
      </c>
      <c r="BE60" s="84">
        <v>2329.3732169323794</v>
      </c>
      <c r="BF60" s="87">
        <v>6.2485460035089169</v>
      </c>
      <c r="BG60" s="88">
        <v>0.71017555992651782</v>
      </c>
      <c r="BH60" s="89">
        <v>0</v>
      </c>
      <c r="BI60" s="90">
        <v>0.21994145424162742</v>
      </c>
      <c r="BJ60" s="90">
        <v>0.18353751594617468</v>
      </c>
      <c r="BK60" s="91">
        <v>0.4034789701878021</v>
      </c>
      <c r="BL60" s="92">
        <v>1956.5867773951973</v>
      </c>
      <c r="BM60" s="95">
        <v>0</v>
      </c>
      <c r="BN60" t="s">
        <v>402</v>
      </c>
      <c r="BO60">
        <v>0.85994999999999999</v>
      </c>
    </row>
    <row r="61" spans="1:67">
      <c r="A61" s="61" t="str">
        <f t="shared" si="1"/>
        <v>UK</v>
      </c>
      <c r="B61" s="62" t="s">
        <v>64</v>
      </c>
      <c r="C61" s="62" t="s">
        <v>176</v>
      </c>
      <c r="D61" s="63" t="s">
        <v>97</v>
      </c>
      <c r="E61" s="64">
        <v>43831</v>
      </c>
      <c r="F61" s="64">
        <v>43921</v>
      </c>
      <c r="G61" s="65">
        <v>43995</v>
      </c>
      <c r="H61" s="66" t="s">
        <v>132</v>
      </c>
      <c r="I61" s="67">
        <v>3</v>
      </c>
      <c r="J61" s="68">
        <v>2020</v>
      </c>
      <c r="K61" s="69">
        <v>1</v>
      </c>
      <c r="L61" s="70">
        <v>3</v>
      </c>
      <c r="M61" s="71" t="s">
        <v>140</v>
      </c>
      <c r="N61" s="71" t="s">
        <v>18</v>
      </c>
      <c r="O61" s="71" t="s">
        <v>114</v>
      </c>
      <c r="P61" s="71" t="s">
        <v>102</v>
      </c>
      <c r="Q61" s="61" t="s">
        <v>73</v>
      </c>
      <c r="R61" s="63" t="s">
        <v>165</v>
      </c>
      <c r="S61" s="72" t="s">
        <v>532</v>
      </c>
      <c r="T61" s="61" t="s">
        <v>533</v>
      </c>
      <c r="U61" s="73" t="s">
        <v>534</v>
      </c>
      <c r="V61" s="62">
        <v>107083</v>
      </c>
      <c r="W61" s="62" t="s">
        <v>407</v>
      </c>
      <c r="X61" s="62" t="s">
        <v>402</v>
      </c>
      <c r="Y61" s="93">
        <v>1</v>
      </c>
      <c r="Z61" s="94">
        <v>1</v>
      </c>
      <c r="AA61" s="74">
        <v>0</v>
      </c>
      <c r="AB61" s="75">
        <v>0</v>
      </c>
      <c r="AC61" s="75">
        <v>0</v>
      </c>
      <c r="AD61" s="76">
        <v>0</v>
      </c>
      <c r="AE61" s="77">
        <v>0.59499999999999997</v>
      </c>
      <c r="AF61" s="75">
        <v>2.9750000000000001</v>
      </c>
      <c r="AG61" s="78">
        <v>20.180436847491134</v>
      </c>
      <c r="AH61" s="79">
        <v>24.216524216524217</v>
      </c>
      <c r="AI61" s="74">
        <v>11.906457739403454</v>
      </c>
      <c r="AJ61" s="75">
        <v>0</v>
      </c>
      <c r="AK61" s="75">
        <v>0</v>
      </c>
      <c r="AL61" s="80">
        <v>11.906457739403454</v>
      </c>
      <c r="AM61" s="74">
        <v>0</v>
      </c>
      <c r="AN61" s="74">
        <v>0</v>
      </c>
      <c r="AO61" s="81" t="s">
        <v>403</v>
      </c>
      <c r="AP61" s="82">
        <v>0</v>
      </c>
      <c r="AQ61" s="75">
        <v>0</v>
      </c>
      <c r="AR61" s="75">
        <v>0</v>
      </c>
      <c r="AS61" s="80">
        <v>0</v>
      </c>
      <c r="AT61" s="74">
        <v>0.42197293447293444</v>
      </c>
      <c r="AU61" s="75">
        <v>0.6074311491365777</v>
      </c>
      <c r="AV61" s="75">
        <v>0.81912393162393171</v>
      </c>
      <c r="AW61" s="75">
        <v>0.38639482435025291</v>
      </c>
      <c r="AX61" s="80">
        <v>2.2349228395836969</v>
      </c>
      <c r="AY61" s="81">
        <v>0</v>
      </c>
      <c r="AZ61" s="83" t="s">
        <v>403</v>
      </c>
      <c r="BA61" s="80" t="s">
        <v>403</v>
      </c>
      <c r="BB61" s="84">
        <v>6.8581802001279151</v>
      </c>
      <c r="BC61" s="85">
        <v>8.3725794539190392</v>
      </c>
      <c r="BD61" s="86">
        <v>0.33984300002804624</v>
      </c>
      <c r="BE61" s="84">
        <v>7.2445750244781681</v>
      </c>
      <c r="BF61" s="87">
        <v>6.0095083453295564</v>
      </c>
      <c r="BG61" s="88">
        <v>0.35899000002959924</v>
      </c>
      <c r="BH61" s="89">
        <v>0</v>
      </c>
      <c r="BI61" s="90">
        <v>0.58999999996945973</v>
      </c>
      <c r="BJ61" s="90">
        <v>0.11074700000171435</v>
      </c>
      <c r="BK61" s="91">
        <v>0.70074699997117407</v>
      </c>
      <c r="BL61" s="92">
        <v>6.0390562685039839</v>
      </c>
      <c r="BM61" s="95">
        <v>0</v>
      </c>
      <c r="BN61" t="s">
        <v>402</v>
      </c>
      <c r="BO61">
        <v>0.85994999999999999</v>
      </c>
    </row>
    <row r="62" spans="1:67">
      <c r="A62" s="61" t="str">
        <f t="shared" si="1"/>
        <v>UK</v>
      </c>
      <c r="B62" s="62" t="s">
        <v>64</v>
      </c>
      <c r="C62" s="62" t="s">
        <v>176</v>
      </c>
      <c r="D62" s="63" t="s">
        <v>97</v>
      </c>
      <c r="E62" s="64">
        <v>43831</v>
      </c>
      <c r="F62" s="64">
        <v>43921</v>
      </c>
      <c r="G62" s="65">
        <v>43995</v>
      </c>
      <c r="H62" s="66" t="s">
        <v>132</v>
      </c>
      <c r="I62" s="67">
        <v>3</v>
      </c>
      <c r="J62" s="68">
        <v>2020</v>
      </c>
      <c r="K62" s="69">
        <v>1</v>
      </c>
      <c r="L62" s="70">
        <v>3</v>
      </c>
      <c r="M62" s="71" t="s">
        <v>140</v>
      </c>
      <c r="N62" s="71" t="s">
        <v>18</v>
      </c>
      <c r="O62" s="71" t="s">
        <v>114</v>
      </c>
      <c r="P62" s="71" t="s">
        <v>102</v>
      </c>
      <c r="Q62" s="61" t="s">
        <v>73</v>
      </c>
      <c r="R62" s="63" t="s">
        <v>165</v>
      </c>
      <c r="S62" s="72" t="s">
        <v>532</v>
      </c>
      <c r="T62" s="61" t="s">
        <v>533</v>
      </c>
      <c r="U62" s="73" t="s">
        <v>535</v>
      </c>
      <c r="V62" s="62">
        <v>107085</v>
      </c>
      <c r="W62" s="62" t="s">
        <v>407</v>
      </c>
      <c r="X62" s="62" t="s">
        <v>402</v>
      </c>
      <c r="Y62" s="93">
        <v>1</v>
      </c>
      <c r="Z62" s="94">
        <v>1</v>
      </c>
      <c r="AA62" s="74">
        <v>0</v>
      </c>
      <c r="AB62" s="75">
        <v>0</v>
      </c>
      <c r="AC62" s="75">
        <v>0</v>
      </c>
      <c r="AD62" s="76">
        <v>0</v>
      </c>
      <c r="AE62" s="77">
        <v>5.1275976202000004</v>
      </c>
      <c r="AF62" s="75">
        <v>10.261546002999999</v>
      </c>
      <c r="AG62" s="78">
        <v>315.44310080818656</v>
      </c>
      <c r="AH62" s="79">
        <v>378.53172096052094</v>
      </c>
      <c r="AI62" s="74">
        <v>186.11142947845806</v>
      </c>
      <c r="AJ62" s="75">
        <v>0</v>
      </c>
      <c r="AK62" s="75">
        <v>0</v>
      </c>
      <c r="AL62" s="80">
        <v>186.11142947845806</v>
      </c>
      <c r="AM62" s="74">
        <v>0</v>
      </c>
      <c r="AN62" s="74">
        <v>0</v>
      </c>
      <c r="AO62" s="81" t="s">
        <v>403</v>
      </c>
      <c r="AP62" s="82">
        <v>0</v>
      </c>
      <c r="AQ62" s="75">
        <v>0</v>
      </c>
      <c r="AR62" s="75">
        <v>0</v>
      </c>
      <c r="AS62" s="80">
        <v>0</v>
      </c>
      <c r="AT62" s="74">
        <v>6.5959152378626662</v>
      </c>
      <c r="AU62" s="75">
        <v>9.4948373342636199</v>
      </c>
      <c r="AV62" s="75">
        <v>12.803835461364033</v>
      </c>
      <c r="AW62" s="75">
        <v>6.0397890511076229</v>
      </c>
      <c r="AX62" s="80">
        <v>34.934377084597941</v>
      </c>
      <c r="AY62" s="81">
        <v>0</v>
      </c>
      <c r="AZ62" s="83" t="s">
        <v>403</v>
      </c>
      <c r="BA62" s="80" t="s">
        <v>403</v>
      </c>
      <c r="BB62" s="84">
        <v>107.20112970649458</v>
      </c>
      <c r="BC62" s="85">
        <v>8.3725794532409683</v>
      </c>
      <c r="BD62" s="86">
        <v>0.33984299999536538</v>
      </c>
      <c r="BE62" s="84">
        <v>113.2409187576022</v>
      </c>
      <c r="BF62" s="87">
        <v>6.0095083449924234</v>
      </c>
      <c r="BG62" s="88">
        <v>0.35898999999515385</v>
      </c>
      <c r="BH62" s="89">
        <v>0</v>
      </c>
      <c r="BI62" s="90">
        <v>0.59000000000516095</v>
      </c>
      <c r="BJ62" s="90">
        <v>0.11074699999807795</v>
      </c>
      <c r="BK62" s="91">
        <v>0.70074700000323886</v>
      </c>
      <c r="BL62" s="92">
        <v>94.397294245130553</v>
      </c>
      <c r="BM62" s="95">
        <v>0</v>
      </c>
      <c r="BN62" t="s">
        <v>402</v>
      </c>
      <c r="BO62">
        <v>0.85994999999999999</v>
      </c>
    </row>
    <row r="63" spans="1:67">
      <c r="A63" s="61" t="str">
        <f t="shared" si="1"/>
        <v>UK</v>
      </c>
      <c r="B63" s="62" t="s">
        <v>64</v>
      </c>
      <c r="C63" s="62" t="s">
        <v>176</v>
      </c>
      <c r="D63" s="63" t="s">
        <v>97</v>
      </c>
      <c r="E63" s="64">
        <v>43831</v>
      </c>
      <c r="F63" s="64">
        <v>43921</v>
      </c>
      <c r="G63" s="65">
        <v>43995</v>
      </c>
      <c r="H63" s="66" t="s">
        <v>132</v>
      </c>
      <c r="I63" s="67">
        <v>3</v>
      </c>
      <c r="J63" s="68">
        <v>2020</v>
      </c>
      <c r="K63" s="69">
        <v>1</v>
      </c>
      <c r="L63" s="70">
        <v>3</v>
      </c>
      <c r="M63" s="71" t="s">
        <v>140</v>
      </c>
      <c r="N63" s="71" t="s">
        <v>18</v>
      </c>
      <c r="O63" s="71" t="s">
        <v>114</v>
      </c>
      <c r="P63" s="71" t="s">
        <v>102</v>
      </c>
      <c r="Q63" s="61" t="s">
        <v>73</v>
      </c>
      <c r="R63" s="63" t="s">
        <v>165</v>
      </c>
      <c r="S63" s="72" t="s">
        <v>536</v>
      </c>
      <c r="T63" s="61" t="s">
        <v>537</v>
      </c>
      <c r="U63" s="73" t="s">
        <v>538</v>
      </c>
      <c r="V63" s="62">
        <v>107965</v>
      </c>
      <c r="W63" s="62" t="s">
        <v>407</v>
      </c>
      <c r="X63" s="62" t="s">
        <v>402</v>
      </c>
      <c r="Y63" s="93">
        <v>1</v>
      </c>
      <c r="Z63" s="94">
        <v>1</v>
      </c>
      <c r="AA63" s="74">
        <v>430</v>
      </c>
      <c r="AB63" s="75">
        <v>430</v>
      </c>
      <c r="AC63" s="75">
        <v>15108.620620966336</v>
      </c>
      <c r="AD63" s="76">
        <v>18130.344744461887</v>
      </c>
      <c r="AE63" s="77">
        <v>399.81425144999997</v>
      </c>
      <c r="AF63" s="75">
        <v>399.81425144999997</v>
      </c>
      <c r="AG63" s="78">
        <v>13865.849820338392</v>
      </c>
      <c r="AH63" s="79">
        <v>16639.019784871212</v>
      </c>
      <c r="AI63" s="74">
        <v>7626.2174014768298</v>
      </c>
      <c r="AJ63" s="75">
        <v>0</v>
      </c>
      <c r="AK63" s="75">
        <v>0</v>
      </c>
      <c r="AL63" s="80">
        <v>7626.2174014768298</v>
      </c>
      <c r="AM63" s="74">
        <v>0</v>
      </c>
      <c r="AN63" s="74">
        <v>0</v>
      </c>
      <c r="AO63" s="81" t="s">
        <v>403</v>
      </c>
      <c r="AP63" s="82">
        <v>2</v>
      </c>
      <c r="AQ63" s="75">
        <v>0</v>
      </c>
      <c r="AR63" s="75">
        <v>0</v>
      </c>
      <c r="AS63" s="80">
        <v>0</v>
      </c>
      <c r="AT63" s="74">
        <v>318.2212533868248</v>
      </c>
      <c r="AU63" s="75">
        <v>417.36207960927965</v>
      </c>
      <c r="AV63" s="75">
        <v>617.72360951218093</v>
      </c>
      <c r="AW63" s="75">
        <v>291.39083397871968</v>
      </c>
      <c r="AX63" s="80">
        <v>1644.6977764870051</v>
      </c>
      <c r="AY63" s="81">
        <v>5.0023229355797899E-3</v>
      </c>
      <c r="AZ63" s="83">
        <v>0</v>
      </c>
      <c r="BA63" s="80">
        <v>0</v>
      </c>
      <c r="BB63" s="84">
        <v>5212.6582518867381</v>
      </c>
      <c r="BC63" s="85">
        <v>8.4384960710878403</v>
      </c>
      <c r="BD63" s="86">
        <v>0.37593499997676483</v>
      </c>
      <c r="BE63" s="84">
        <v>5504.0490858654575</v>
      </c>
      <c r="BF63" s="87">
        <v>6.0542972617732342</v>
      </c>
      <c r="BG63" s="88">
        <v>0.39694999997707553</v>
      </c>
      <c r="BH63" s="89">
        <v>0</v>
      </c>
      <c r="BI63" s="90">
        <v>0.55000000002096627</v>
      </c>
      <c r="BJ63" s="90">
        <v>0.11861500000343049</v>
      </c>
      <c r="BK63" s="91">
        <v>0.66861500002439678</v>
      </c>
      <c r="BL63" s="92">
        <v>4594.9346423745574</v>
      </c>
      <c r="BM63" s="95">
        <v>0</v>
      </c>
      <c r="BN63" t="s">
        <v>402</v>
      </c>
      <c r="BO63">
        <v>0.85994999999999999</v>
      </c>
    </row>
    <row r="64" spans="1:67">
      <c r="A64" s="61" t="str">
        <f t="shared" si="1"/>
        <v>UK</v>
      </c>
      <c r="B64" s="62" t="s">
        <v>64</v>
      </c>
      <c r="C64" s="62" t="s">
        <v>176</v>
      </c>
      <c r="D64" s="63" t="s">
        <v>97</v>
      </c>
      <c r="E64" s="64">
        <v>43831</v>
      </c>
      <c r="F64" s="64">
        <v>43921</v>
      </c>
      <c r="G64" s="65">
        <v>43995</v>
      </c>
      <c r="H64" s="66" t="s">
        <v>132</v>
      </c>
      <c r="I64" s="67">
        <v>3</v>
      </c>
      <c r="J64" s="68">
        <v>2020</v>
      </c>
      <c r="K64" s="69">
        <v>1</v>
      </c>
      <c r="L64" s="70">
        <v>3</v>
      </c>
      <c r="M64" s="71" t="s">
        <v>140</v>
      </c>
      <c r="N64" s="71" t="s">
        <v>18</v>
      </c>
      <c r="O64" s="71" t="s">
        <v>114</v>
      </c>
      <c r="P64" s="71" t="s">
        <v>102</v>
      </c>
      <c r="Q64" s="61" t="s">
        <v>73</v>
      </c>
      <c r="R64" s="63" t="s">
        <v>165</v>
      </c>
      <c r="S64" s="72" t="s">
        <v>539</v>
      </c>
      <c r="T64" s="61" t="s">
        <v>540</v>
      </c>
      <c r="U64" s="73" t="s">
        <v>541</v>
      </c>
      <c r="V64" s="62">
        <v>106939</v>
      </c>
      <c r="W64" s="62" t="s">
        <v>407</v>
      </c>
      <c r="X64" s="62" t="s">
        <v>402</v>
      </c>
      <c r="Y64" s="93">
        <v>1</v>
      </c>
      <c r="Z64" s="94">
        <v>1</v>
      </c>
      <c r="AA64" s="74">
        <v>0</v>
      </c>
      <c r="AB64" s="75">
        <v>0</v>
      </c>
      <c r="AC64" s="75">
        <v>0</v>
      </c>
      <c r="AD64" s="76">
        <v>0</v>
      </c>
      <c r="AE64" s="77">
        <v>54.566954627999998</v>
      </c>
      <c r="AF64" s="75">
        <v>111.63119286</v>
      </c>
      <c r="AG64" s="78">
        <v>3106.2726224780508</v>
      </c>
      <c r="AH64" s="79">
        <v>3727.527146927147</v>
      </c>
      <c r="AI64" s="74">
        <v>1832.7008472585617</v>
      </c>
      <c r="AJ64" s="75">
        <v>0</v>
      </c>
      <c r="AK64" s="75">
        <v>0</v>
      </c>
      <c r="AL64" s="80">
        <v>1832.7008472585617</v>
      </c>
      <c r="AM64" s="74">
        <v>0</v>
      </c>
      <c r="AN64" s="74">
        <v>0</v>
      </c>
      <c r="AO64" s="81" t="s">
        <v>403</v>
      </c>
      <c r="AP64" s="82">
        <v>0</v>
      </c>
      <c r="AQ64" s="75">
        <v>0</v>
      </c>
      <c r="AR64" s="75">
        <v>0</v>
      </c>
      <c r="AS64" s="80">
        <v>0</v>
      </c>
      <c r="AT64" s="74">
        <v>64.952160534914825</v>
      </c>
      <c r="AU64" s="75">
        <v>93.498805935228788</v>
      </c>
      <c r="AV64" s="75">
        <v>126.08360574452004</v>
      </c>
      <c r="AW64" s="75">
        <v>59.475801901273329</v>
      </c>
      <c r="AX64" s="80">
        <v>344.01037411593694</v>
      </c>
      <c r="AY64" s="81">
        <v>0</v>
      </c>
      <c r="AZ64" s="83" t="s">
        <v>403</v>
      </c>
      <c r="BA64" s="80" t="s">
        <v>403</v>
      </c>
      <c r="BB64" s="84">
        <v>1055.6450068480722</v>
      </c>
      <c r="BC64" s="85">
        <v>8.372579453248651</v>
      </c>
      <c r="BD64" s="86">
        <v>0.33984300000233847</v>
      </c>
      <c r="BE64" s="84">
        <v>1115.1208087493455</v>
      </c>
      <c r="BF64" s="87">
        <v>6.0095083450468501</v>
      </c>
      <c r="BG64" s="88">
        <v>0.3589900000019155</v>
      </c>
      <c r="BH64" s="89">
        <v>0</v>
      </c>
      <c r="BI64" s="90">
        <v>0.58999999999887698</v>
      </c>
      <c r="BJ64" s="90">
        <v>0.11074699999818439</v>
      </c>
      <c r="BK64" s="91">
        <v>0.70074699999706136</v>
      </c>
      <c r="BL64" s="92">
        <v>929.56140110355227</v>
      </c>
      <c r="BM64" s="95">
        <v>0</v>
      </c>
      <c r="BN64" t="s">
        <v>402</v>
      </c>
      <c r="BO64">
        <v>0.85994999999999999</v>
      </c>
    </row>
    <row r="65" spans="1:67">
      <c r="A65" s="61" t="str">
        <f t="shared" si="1"/>
        <v>UK</v>
      </c>
      <c r="B65" s="62" t="s">
        <v>64</v>
      </c>
      <c r="C65" s="62" t="s">
        <v>176</v>
      </c>
      <c r="D65" s="63" t="s">
        <v>97</v>
      </c>
      <c r="E65" s="64">
        <v>43831</v>
      </c>
      <c r="F65" s="64">
        <v>43921</v>
      </c>
      <c r="G65" s="65">
        <v>43995</v>
      </c>
      <c r="H65" s="66" t="s">
        <v>132</v>
      </c>
      <c r="I65" s="67">
        <v>3</v>
      </c>
      <c r="J65" s="68">
        <v>2020</v>
      </c>
      <c r="K65" s="69">
        <v>1</v>
      </c>
      <c r="L65" s="70">
        <v>3</v>
      </c>
      <c r="M65" s="71" t="s">
        <v>140</v>
      </c>
      <c r="N65" s="71" t="s">
        <v>18</v>
      </c>
      <c r="O65" s="71" t="s">
        <v>114</v>
      </c>
      <c r="P65" s="71" t="s">
        <v>102</v>
      </c>
      <c r="Q65" s="61" t="s">
        <v>73</v>
      </c>
      <c r="R65" s="63" t="s">
        <v>165</v>
      </c>
      <c r="S65" s="72" t="s">
        <v>539</v>
      </c>
      <c r="T65" s="61" t="s">
        <v>540</v>
      </c>
      <c r="U65" s="73" t="s">
        <v>542</v>
      </c>
      <c r="V65" s="62">
        <v>106940</v>
      </c>
      <c r="W65" s="62" t="s">
        <v>407</v>
      </c>
      <c r="X65" s="62" t="s">
        <v>402</v>
      </c>
      <c r="Y65" s="93">
        <v>1</v>
      </c>
      <c r="Z65" s="94">
        <v>1</v>
      </c>
      <c r="AA65" s="74">
        <v>0</v>
      </c>
      <c r="AB65" s="75">
        <v>0</v>
      </c>
      <c r="AC65" s="75">
        <v>0</v>
      </c>
      <c r="AD65" s="76">
        <v>0</v>
      </c>
      <c r="AE65" s="77">
        <v>11.11117269</v>
      </c>
      <c r="AF65" s="75">
        <v>24.018918836000001</v>
      </c>
      <c r="AG65" s="78">
        <v>507.45915750915748</v>
      </c>
      <c r="AH65" s="79">
        <v>608.9509890226177</v>
      </c>
      <c r="AI65" s="74">
        <v>299.40090293621722</v>
      </c>
      <c r="AJ65" s="75">
        <v>0</v>
      </c>
      <c r="AK65" s="75">
        <v>0</v>
      </c>
      <c r="AL65" s="80">
        <v>299.40090293621722</v>
      </c>
      <c r="AM65" s="74">
        <v>0</v>
      </c>
      <c r="AN65" s="74">
        <v>0</v>
      </c>
      <c r="AO65" s="81" t="s">
        <v>403</v>
      </c>
      <c r="AP65" s="82">
        <v>0</v>
      </c>
      <c r="AQ65" s="75">
        <v>0</v>
      </c>
      <c r="AR65" s="75">
        <v>0</v>
      </c>
      <c r="AS65" s="80">
        <v>0</v>
      </c>
      <c r="AT65" s="74">
        <v>10.61097098366184</v>
      </c>
      <c r="AU65" s="75">
        <v>15.274520640734925</v>
      </c>
      <c r="AV65" s="75">
        <v>20.597767203907203</v>
      </c>
      <c r="AW65" s="75">
        <v>9.7163204889819177</v>
      </c>
      <c r="AX65" s="80">
        <v>56.199579317285881</v>
      </c>
      <c r="AY65" s="81">
        <v>0</v>
      </c>
      <c r="AZ65" s="83" t="s">
        <v>403</v>
      </c>
      <c r="BA65" s="80" t="s">
        <v>403</v>
      </c>
      <c r="BB65" s="84">
        <v>172.45644245956157</v>
      </c>
      <c r="BC65" s="85">
        <v>8.3725794525363995</v>
      </c>
      <c r="BD65" s="86">
        <v>0.33984299998852513</v>
      </c>
      <c r="BE65" s="84">
        <v>182.17276294854349</v>
      </c>
      <c r="BF65" s="87">
        <v>6.0095083445732849</v>
      </c>
      <c r="BG65" s="88">
        <v>0.35898999998882875</v>
      </c>
      <c r="BH65" s="89">
        <v>0</v>
      </c>
      <c r="BI65" s="90">
        <v>0.59000000001145769</v>
      </c>
      <c r="BJ65" s="90">
        <v>0.11074700000122023</v>
      </c>
      <c r="BK65" s="91">
        <v>0.70074700001267787</v>
      </c>
      <c r="BL65" s="92">
        <v>151.85867525565436</v>
      </c>
      <c r="BM65" s="95">
        <v>0</v>
      </c>
      <c r="BN65" t="s">
        <v>402</v>
      </c>
      <c r="BO65">
        <v>0.85994999999999999</v>
      </c>
    </row>
    <row r="66" spans="1:67">
      <c r="A66" s="61" t="str">
        <f t="shared" si="1"/>
        <v>UK</v>
      </c>
      <c r="B66" s="62" t="s">
        <v>64</v>
      </c>
      <c r="C66" s="62" t="s">
        <v>176</v>
      </c>
      <c r="D66" s="63" t="s">
        <v>97</v>
      </c>
      <c r="E66" s="64">
        <v>43831</v>
      </c>
      <c r="F66" s="64">
        <v>43921</v>
      </c>
      <c r="G66" s="65">
        <v>43995</v>
      </c>
      <c r="H66" s="66" t="s">
        <v>132</v>
      </c>
      <c r="I66" s="67">
        <v>3</v>
      </c>
      <c r="J66" s="68">
        <v>2020</v>
      </c>
      <c r="K66" s="69">
        <v>1</v>
      </c>
      <c r="L66" s="70">
        <v>3</v>
      </c>
      <c r="M66" s="71" t="s">
        <v>140</v>
      </c>
      <c r="N66" s="71" t="s">
        <v>18</v>
      </c>
      <c r="O66" s="71" t="s">
        <v>114</v>
      </c>
      <c r="P66" s="71" t="s">
        <v>102</v>
      </c>
      <c r="Q66" s="61" t="s">
        <v>474</v>
      </c>
      <c r="R66" s="63" t="s">
        <v>165</v>
      </c>
      <c r="S66" s="72" t="s">
        <v>543</v>
      </c>
      <c r="T66" s="61" t="s">
        <v>405</v>
      </c>
      <c r="U66" s="73" t="s">
        <v>544</v>
      </c>
      <c r="V66" s="62">
        <v>106868</v>
      </c>
      <c r="W66" s="62" t="s">
        <v>464</v>
      </c>
      <c r="X66" s="62" t="s">
        <v>402</v>
      </c>
      <c r="Y66" s="93">
        <v>1</v>
      </c>
      <c r="Z66" s="94">
        <v>1</v>
      </c>
      <c r="AA66" s="74">
        <v>0</v>
      </c>
      <c r="AB66" s="75">
        <v>0</v>
      </c>
      <c r="AC66" s="75">
        <v>0</v>
      </c>
      <c r="AD66" s="76">
        <v>0</v>
      </c>
      <c r="AE66" s="77">
        <v>12.741152032</v>
      </c>
      <c r="AF66" s="75">
        <v>26.483213564</v>
      </c>
      <c r="AG66" s="78">
        <v>1552.8578635967208</v>
      </c>
      <c r="AH66" s="79">
        <v>1863.4294362462933</v>
      </c>
      <c r="AI66" s="74">
        <v>931.71471813477524</v>
      </c>
      <c r="AJ66" s="75">
        <v>0</v>
      </c>
      <c r="AK66" s="75">
        <v>0</v>
      </c>
      <c r="AL66" s="80">
        <v>931.71471813477524</v>
      </c>
      <c r="AM66" s="74">
        <v>0</v>
      </c>
      <c r="AN66" s="74">
        <v>0</v>
      </c>
      <c r="AO66" s="81" t="s">
        <v>403</v>
      </c>
      <c r="AP66" s="82">
        <v>0</v>
      </c>
      <c r="AQ66" s="75">
        <v>0</v>
      </c>
      <c r="AR66" s="75">
        <v>0</v>
      </c>
      <c r="AS66" s="80">
        <v>0</v>
      </c>
      <c r="AT66" s="74">
        <v>31.678300416303276</v>
      </c>
      <c r="AU66" s="75">
        <v>46.741021693121688</v>
      </c>
      <c r="AV66" s="75">
        <v>61.493171397174251</v>
      </c>
      <c r="AW66" s="75">
        <v>29.007384890982035</v>
      </c>
      <c r="AX66" s="80">
        <v>168.91987839758124</v>
      </c>
      <c r="AY66" s="81">
        <v>0</v>
      </c>
      <c r="AZ66" s="83" t="s">
        <v>403</v>
      </c>
      <c r="BA66" s="80" t="s">
        <v>403</v>
      </c>
      <c r="BB66" s="84">
        <v>513.7164384615387</v>
      </c>
      <c r="BC66" s="85">
        <v>8.3540404046415002</v>
      </c>
      <c r="BD66" s="86">
        <v>0.33082000001704698</v>
      </c>
      <c r="BE66" s="84">
        <v>542.72382335252064</v>
      </c>
      <c r="BF66" s="87">
        <v>5.9969114623392246</v>
      </c>
      <c r="BG66" s="88">
        <v>0.34950000001639991</v>
      </c>
      <c r="BH66" s="89">
        <v>0</v>
      </c>
      <c r="BI66" s="90">
        <v>0.59999999998502296</v>
      </c>
      <c r="BJ66" s="90">
        <v>0.1087799999971214</v>
      </c>
      <c r="BK66" s="91">
        <v>0.70877999998214436</v>
      </c>
      <c r="BL66" s="92">
        <v>452.22326706436434</v>
      </c>
      <c r="BM66" s="95">
        <v>0</v>
      </c>
      <c r="BN66" t="s">
        <v>402</v>
      </c>
      <c r="BO66">
        <v>0.85994999999999999</v>
      </c>
    </row>
    <row r="67" spans="1:67">
      <c r="A67" s="61" t="str">
        <f t="shared" si="1"/>
        <v>UK</v>
      </c>
      <c r="B67" s="62" t="s">
        <v>64</v>
      </c>
      <c r="C67" s="62" t="s">
        <v>176</v>
      </c>
      <c r="D67" s="63" t="s">
        <v>97</v>
      </c>
      <c r="E67" s="64">
        <v>43831</v>
      </c>
      <c r="F67" s="64">
        <v>43921</v>
      </c>
      <c r="G67" s="65">
        <v>43995</v>
      </c>
      <c r="H67" s="66" t="s">
        <v>132</v>
      </c>
      <c r="I67" s="67">
        <v>3</v>
      </c>
      <c r="J67" s="68">
        <v>2020</v>
      </c>
      <c r="K67" s="69">
        <v>1</v>
      </c>
      <c r="L67" s="70">
        <v>3</v>
      </c>
      <c r="M67" s="71" t="s">
        <v>140</v>
      </c>
      <c r="N67" s="71" t="s">
        <v>18</v>
      </c>
      <c r="O67" s="71" t="s">
        <v>114</v>
      </c>
      <c r="P67" s="71" t="s">
        <v>102</v>
      </c>
      <c r="Q67" s="61" t="s">
        <v>474</v>
      </c>
      <c r="R67" s="63" t="s">
        <v>112</v>
      </c>
      <c r="S67" s="72" t="s">
        <v>543</v>
      </c>
      <c r="T67" s="61" t="s">
        <v>405</v>
      </c>
      <c r="U67" s="73" t="s">
        <v>545</v>
      </c>
      <c r="V67" s="62">
        <v>107590</v>
      </c>
      <c r="W67" s="62" t="s">
        <v>464</v>
      </c>
      <c r="X67" s="62" t="s">
        <v>402</v>
      </c>
      <c r="Y67" s="93">
        <v>1</v>
      </c>
      <c r="Z67" s="94">
        <v>1</v>
      </c>
      <c r="AA67" s="74">
        <v>0</v>
      </c>
      <c r="AB67" s="75">
        <v>0</v>
      </c>
      <c r="AC67" s="75">
        <v>0</v>
      </c>
      <c r="AD67" s="76">
        <v>0</v>
      </c>
      <c r="AE67" s="77">
        <v>64.502103825000006</v>
      </c>
      <c r="AF67" s="75">
        <v>145.55653004999999</v>
      </c>
      <c r="AG67" s="78">
        <v>8593.0722430373862</v>
      </c>
      <c r="AH67" s="79">
        <v>10311.686691668121</v>
      </c>
      <c r="AI67" s="74">
        <v>5155.8433457759174</v>
      </c>
      <c r="AJ67" s="75">
        <v>0</v>
      </c>
      <c r="AK67" s="75">
        <v>0</v>
      </c>
      <c r="AL67" s="80">
        <v>5155.8433457759174</v>
      </c>
      <c r="AM67" s="74">
        <v>0</v>
      </c>
      <c r="AN67" s="74">
        <v>0</v>
      </c>
      <c r="AO67" s="81" t="s">
        <v>403</v>
      </c>
      <c r="AP67" s="82">
        <v>0</v>
      </c>
      <c r="AQ67" s="75">
        <v>0</v>
      </c>
      <c r="AR67" s="75">
        <v>0</v>
      </c>
      <c r="AS67" s="80">
        <v>0</v>
      </c>
      <c r="AT67" s="74">
        <v>175.29867376010233</v>
      </c>
      <c r="AU67" s="75">
        <v>258.65147451596022</v>
      </c>
      <c r="AV67" s="75">
        <v>340.285660829118</v>
      </c>
      <c r="AW67" s="75">
        <v>160.51858949938949</v>
      </c>
      <c r="AX67" s="80">
        <v>934.75439860457004</v>
      </c>
      <c r="AY67" s="81">
        <v>0</v>
      </c>
      <c r="AZ67" s="83" t="s">
        <v>403</v>
      </c>
      <c r="BA67" s="80" t="s">
        <v>403</v>
      </c>
      <c r="BB67" s="84">
        <v>2842.7601594860171</v>
      </c>
      <c r="BC67" s="85">
        <v>8.354040404052089</v>
      </c>
      <c r="BD67" s="86">
        <v>0.33082000000516565</v>
      </c>
      <c r="BE67" s="84">
        <v>3003.2787489854063</v>
      </c>
      <c r="BF67" s="87">
        <v>5.9969114619442152</v>
      </c>
      <c r="BG67" s="88">
        <v>0.34950000000510179</v>
      </c>
      <c r="BH67" s="89">
        <v>0</v>
      </c>
      <c r="BI67" s="90">
        <v>0.59999999999458697</v>
      </c>
      <c r="BJ67" s="90">
        <v>0.10878000000081033</v>
      </c>
      <c r="BK67" s="91">
        <v>0.70877999999539731</v>
      </c>
      <c r="BL67" s="92">
        <v>2502.4744986568985</v>
      </c>
      <c r="BM67" s="95">
        <v>0</v>
      </c>
      <c r="BN67" t="s">
        <v>402</v>
      </c>
      <c r="BO67">
        <v>0.85994999999999999</v>
      </c>
    </row>
    <row r="68" spans="1:67">
      <c r="A68" s="61" t="str">
        <f t="shared" si="1"/>
        <v>UK</v>
      </c>
      <c r="B68" s="62" t="s">
        <v>64</v>
      </c>
      <c r="C68" s="62" t="s">
        <v>176</v>
      </c>
      <c r="D68" s="63" t="s">
        <v>97</v>
      </c>
      <c r="E68" s="64">
        <v>43831</v>
      </c>
      <c r="F68" s="64">
        <v>43921</v>
      </c>
      <c r="G68" s="65">
        <v>43995</v>
      </c>
      <c r="H68" s="66" t="s">
        <v>132</v>
      </c>
      <c r="I68" s="67">
        <v>3</v>
      </c>
      <c r="J68" s="68">
        <v>2020</v>
      </c>
      <c r="K68" s="69">
        <v>1</v>
      </c>
      <c r="L68" s="70">
        <v>3</v>
      </c>
      <c r="M68" s="71" t="s">
        <v>140</v>
      </c>
      <c r="N68" s="71" t="s">
        <v>18</v>
      </c>
      <c r="O68" s="71" t="s">
        <v>114</v>
      </c>
      <c r="P68" s="71" t="s">
        <v>102</v>
      </c>
      <c r="Q68" s="61" t="s">
        <v>474</v>
      </c>
      <c r="R68" s="63" t="s">
        <v>165</v>
      </c>
      <c r="S68" s="72" t="s">
        <v>543</v>
      </c>
      <c r="T68" s="61" t="s">
        <v>405</v>
      </c>
      <c r="U68" s="73" t="s">
        <v>546</v>
      </c>
      <c r="V68" s="62">
        <v>106865</v>
      </c>
      <c r="W68" s="62" t="s">
        <v>464</v>
      </c>
      <c r="X68" s="62" t="s">
        <v>402</v>
      </c>
      <c r="Y68" s="93">
        <v>1</v>
      </c>
      <c r="Z68" s="94">
        <v>1</v>
      </c>
      <c r="AA68" s="74">
        <v>0</v>
      </c>
      <c r="AB68" s="75">
        <v>0</v>
      </c>
      <c r="AC68" s="75">
        <v>0</v>
      </c>
      <c r="AD68" s="76">
        <v>0</v>
      </c>
      <c r="AE68" s="77">
        <v>0.5</v>
      </c>
      <c r="AF68" s="75">
        <v>1.5</v>
      </c>
      <c r="AG68" s="78">
        <v>43.122662169893594</v>
      </c>
      <c r="AH68" s="79">
        <v>51.747194604337459</v>
      </c>
      <c r="AI68" s="74">
        <v>25.873597302168729</v>
      </c>
      <c r="AJ68" s="75">
        <v>0</v>
      </c>
      <c r="AK68" s="75">
        <v>0</v>
      </c>
      <c r="AL68" s="80">
        <v>25.873597302168729</v>
      </c>
      <c r="AM68" s="74">
        <v>0</v>
      </c>
      <c r="AN68" s="74">
        <v>0</v>
      </c>
      <c r="AO68" s="81" t="s">
        <v>403</v>
      </c>
      <c r="AP68" s="82">
        <v>0</v>
      </c>
      <c r="AQ68" s="75">
        <v>0</v>
      </c>
      <c r="AR68" s="75">
        <v>0</v>
      </c>
      <c r="AS68" s="80">
        <v>0</v>
      </c>
      <c r="AT68" s="74">
        <v>0.87970230827373674</v>
      </c>
      <c r="AU68" s="75">
        <v>1.2979921312867027</v>
      </c>
      <c r="AV68" s="75">
        <v>1.7076574219431362</v>
      </c>
      <c r="AW68" s="75">
        <v>0.80553132937961514</v>
      </c>
      <c r="AX68" s="80">
        <v>4.6908831908831905</v>
      </c>
      <c r="AY68" s="81">
        <v>0</v>
      </c>
      <c r="AZ68" s="83" t="s">
        <v>403</v>
      </c>
      <c r="BA68" s="80" t="s">
        <v>403</v>
      </c>
      <c r="BB68" s="84">
        <v>14.265839098784813</v>
      </c>
      <c r="BC68" s="85">
        <v>8.3540404038134159</v>
      </c>
      <c r="BD68" s="86">
        <v>0.33081999999398493</v>
      </c>
      <c r="BE68" s="84">
        <v>15.071370428164428</v>
      </c>
      <c r="BF68" s="87">
        <v>5.996911461676727</v>
      </c>
      <c r="BG68" s="88">
        <v>0.34949999999505171</v>
      </c>
      <c r="BH68" s="89">
        <v>0</v>
      </c>
      <c r="BI68" s="90">
        <v>0.60000000000539333</v>
      </c>
      <c r="BJ68" s="90">
        <v>0.1087800000009778</v>
      </c>
      <c r="BK68" s="91">
        <v>0.70878000000637109</v>
      </c>
      <c r="BL68" s="92">
        <v>12.558181676841674</v>
      </c>
      <c r="BM68" s="95">
        <v>0</v>
      </c>
      <c r="BN68" t="s">
        <v>402</v>
      </c>
      <c r="BO68">
        <v>0.85994999999999999</v>
      </c>
    </row>
    <row r="69" spans="1:67">
      <c r="A69" s="61" t="str">
        <f t="shared" si="1"/>
        <v>UK</v>
      </c>
      <c r="B69" s="62" t="s">
        <v>64</v>
      </c>
      <c r="C69" s="62" t="s">
        <v>176</v>
      </c>
      <c r="D69" s="63" t="s">
        <v>97</v>
      </c>
      <c r="E69" s="64">
        <v>43831</v>
      </c>
      <c r="F69" s="64">
        <v>43921</v>
      </c>
      <c r="G69" s="65">
        <v>43995</v>
      </c>
      <c r="H69" s="66" t="s">
        <v>132</v>
      </c>
      <c r="I69" s="67">
        <v>3</v>
      </c>
      <c r="J69" s="68">
        <v>2020</v>
      </c>
      <c r="K69" s="69">
        <v>1</v>
      </c>
      <c r="L69" s="70">
        <v>3</v>
      </c>
      <c r="M69" s="71" t="s">
        <v>140</v>
      </c>
      <c r="N69" s="71" t="s">
        <v>18</v>
      </c>
      <c r="O69" s="71" t="s">
        <v>114</v>
      </c>
      <c r="P69" s="71" t="s">
        <v>102</v>
      </c>
      <c r="Q69" s="61" t="s">
        <v>474</v>
      </c>
      <c r="R69" s="63" t="s">
        <v>106</v>
      </c>
      <c r="S69" s="72" t="s">
        <v>543</v>
      </c>
      <c r="T69" s="61" t="s">
        <v>405</v>
      </c>
      <c r="U69" s="73" t="s">
        <v>547</v>
      </c>
      <c r="V69" s="62">
        <v>107587</v>
      </c>
      <c r="W69" s="62" t="s">
        <v>464</v>
      </c>
      <c r="X69" s="62" t="s">
        <v>402</v>
      </c>
      <c r="Y69" s="93">
        <v>1</v>
      </c>
      <c r="Z69" s="94">
        <v>1</v>
      </c>
      <c r="AA69" s="74">
        <v>0</v>
      </c>
      <c r="AB69" s="75">
        <v>0</v>
      </c>
      <c r="AC69" s="75">
        <v>0</v>
      </c>
      <c r="AD69" s="76">
        <v>0</v>
      </c>
      <c r="AE69" s="77">
        <v>10.875617072000001</v>
      </c>
      <c r="AF69" s="75">
        <v>22.573717561999999</v>
      </c>
      <c r="AG69" s="78">
        <v>1522.0488426071283</v>
      </c>
      <c r="AH69" s="79">
        <v>1826.4586110820396</v>
      </c>
      <c r="AI69" s="74">
        <v>913.2293055526485</v>
      </c>
      <c r="AJ69" s="75">
        <v>0</v>
      </c>
      <c r="AK69" s="75">
        <v>0</v>
      </c>
      <c r="AL69" s="80">
        <v>913.2293055526485</v>
      </c>
      <c r="AM69" s="74">
        <v>0</v>
      </c>
      <c r="AN69" s="74">
        <v>0</v>
      </c>
      <c r="AO69" s="81" t="s">
        <v>403</v>
      </c>
      <c r="AP69" s="82">
        <v>0</v>
      </c>
      <c r="AQ69" s="75">
        <v>0</v>
      </c>
      <c r="AR69" s="75">
        <v>0</v>
      </c>
      <c r="AS69" s="80">
        <v>0</v>
      </c>
      <c r="AT69" s="74">
        <v>31.049796388162104</v>
      </c>
      <c r="AU69" s="75">
        <v>45.813670162218735</v>
      </c>
      <c r="AV69" s="75">
        <v>60.273134165939879</v>
      </c>
      <c r="AW69" s="75">
        <v>28.431872379789521</v>
      </c>
      <c r="AX69" s="80">
        <v>165.56847309611024</v>
      </c>
      <c r="AY69" s="81">
        <v>0</v>
      </c>
      <c r="AZ69" s="83" t="s">
        <v>403</v>
      </c>
      <c r="BA69" s="80" t="s">
        <v>403</v>
      </c>
      <c r="BB69" s="84">
        <v>503.52419812430946</v>
      </c>
      <c r="BC69" s="85">
        <v>8.3540404044369261</v>
      </c>
      <c r="BD69" s="86">
        <v>0.33082000000855377</v>
      </c>
      <c r="BE69" s="84">
        <v>531.95607050409899</v>
      </c>
      <c r="BF69" s="87">
        <v>5.9969114621491384</v>
      </c>
      <c r="BG69" s="88">
        <v>0.34950000000848042</v>
      </c>
      <c r="BH69" s="89">
        <v>0</v>
      </c>
      <c r="BI69" s="90">
        <v>0.59999999999235998</v>
      </c>
      <c r="BJ69" s="90">
        <v>0.10877999999823056</v>
      </c>
      <c r="BK69" s="91">
        <v>0.70877999999059049</v>
      </c>
      <c r="BL69" s="92">
        <v>443.25106395836951</v>
      </c>
      <c r="BM69" s="95">
        <v>0</v>
      </c>
      <c r="BN69" t="s">
        <v>402</v>
      </c>
      <c r="BO69">
        <v>0.85994999999999999</v>
      </c>
    </row>
    <row r="70" spans="1:67">
      <c r="A70" s="61" t="str">
        <f t="shared" si="1"/>
        <v>UK</v>
      </c>
      <c r="B70" s="62" t="s">
        <v>64</v>
      </c>
      <c r="C70" s="62" t="s">
        <v>176</v>
      </c>
      <c r="D70" s="63" t="s">
        <v>97</v>
      </c>
      <c r="E70" s="64">
        <v>43831</v>
      </c>
      <c r="F70" s="64">
        <v>43921</v>
      </c>
      <c r="G70" s="65">
        <v>43995</v>
      </c>
      <c r="H70" s="66" t="s">
        <v>132</v>
      </c>
      <c r="I70" s="67">
        <v>3</v>
      </c>
      <c r="J70" s="68">
        <v>2020</v>
      </c>
      <c r="K70" s="69">
        <v>1</v>
      </c>
      <c r="L70" s="70">
        <v>3</v>
      </c>
      <c r="M70" s="71" t="s">
        <v>140</v>
      </c>
      <c r="N70" s="71" t="s">
        <v>18</v>
      </c>
      <c r="O70" s="71" t="s">
        <v>114</v>
      </c>
      <c r="P70" s="71" t="s">
        <v>102</v>
      </c>
      <c r="Q70" s="61" t="s">
        <v>474</v>
      </c>
      <c r="R70" s="63" t="s">
        <v>165</v>
      </c>
      <c r="S70" s="72" t="s">
        <v>543</v>
      </c>
      <c r="T70" s="61" t="s">
        <v>405</v>
      </c>
      <c r="U70" s="73" t="s">
        <v>548</v>
      </c>
      <c r="V70" s="62">
        <v>106867</v>
      </c>
      <c r="W70" s="62" t="s">
        <v>464</v>
      </c>
      <c r="X70" s="62" t="s">
        <v>402</v>
      </c>
      <c r="Y70" s="93">
        <v>1</v>
      </c>
      <c r="Z70" s="94">
        <v>1</v>
      </c>
      <c r="AA70" s="74">
        <v>0</v>
      </c>
      <c r="AB70" s="75">
        <v>0</v>
      </c>
      <c r="AC70" s="75">
        <v>0</v>
      </c>
      <c r="AD70" s="76">
        <v>0</v>
      </c>
      <c r="AE70" s="77">
        <v>19.643594206</v>
      </c>
      <c r="AF70" s="75">
        <v>36.078542556000002</v>
      </c>
      <c r="AG70" s="78">
        <v>2351.1717758009186</v>
      </c>
      <c r="AH70" s="79">
        <v>2821.4061309378453</v>
      </c>
      <c r="AI70" s="74">
        <v>1410.7030654107796</v>
      </c>
      <c r="AJ70" s="75">
        <v>0</v>
      </c>
      <c r="AK70" s="75">
        <v>0</v>
      </c>
      <c r="AL70" s="80">
        <v>1410.7030654107796</v>
      </c>
      <c r="AM70" s="74">
        <v>0</v>
      </c>
      <c r="AN70" s="74">
        <v>0</v>
      </c>
      <c r="AO70" s="81" t="s">
        <v>403</v>
      </c>
      <c r="AP70" s="82">
        <v>0</v>
      </c>
      <c r="AQ70" s="75">
        <v>0</v>
      </c>
      <c r="AR70" s="75">
        <v>0</v>
      </c>
      <c r="AS70" s="80">
        <v>0</v>
      </c>
      <c r="AT70" s="74">
        <v>47.963904225827086</v>
      </c>
      <c r="AU70" s="75">
        <v>70.770270450607597</v>
      </c>
      <c r="AV70" s="75">
        <v>93.106402321065175</v>
      </c>
      <c r="AW70" s="75">
        <v>43.919888771440199</v>
      </c>
      <c r="AX70" s="80">
        <v>255.76046576894004</v>
      </c>
      <c r="AY70" s="81">
        <v>0</v>
      </c>
      <c r="AZ70" s="83" t="s">
        <v>403</v>
      </c>
      <c r="BA70" s="80" t="s">
        <v>403</v>
      </c>
      <c r="BB70" s="84">
        <v>777.81464694226429</v>
      </c>
      <c r="BC70" s="85">
        <v>8.354040404870041</v>
      </c>
      <c r="BD70" s="86">
        <v>0.33082000003053985</v>
      </c>
      <c r="BE70" s="84">
        <v>821.73453571370442</v>
      </c>
      <c r="BF70" s="87">
        <v>5.9969114624795461</v>
      </c>
      <c r="BG70" s="88">
        <v>0.34950000003031823</v>
      </c>
      <c r="BH70" s="89">
        <v>0</v>
      </c>
      <c r="BI70" s="90">
        <v>0.59999999997032472</v>
      </c>
      <c r="BJ70" s="90">
        <v>0.10877999999885848</v>
      </c>
      <c r="BK70" s="91">
        <v>0.70877999996918317</v>
      </c>
      <c r="BL70" s="92">
        <v>684.7082446211989</v>
      </c>
      <c r="BM70" s="95">
        <v>0</v>
      </c>
      <c r="BN70" t="s">
        <v>402</v>
      </c>
      <c r="BO70">
        <v>0.85994999999999999</v>
      </c>
    </row>
    <row r="71" spans="1:67">
      <c r="A71" s="61" t="str">
        <f t="shared" si="1"/>
        <v>UK</v>
      </c>
      <c r="B71" s="62" t="s">
        <v>64</v>
      </c>
      <c r="C71" s="62" t="s">
        <v>176</v>
      </c>
      <c r="D71" s="63" t="s">
        <v>97</v>
      </c>
      <c r="E71" s="64">
        <v>43831</v>
      </c>
      <c r="F71" s="64">
        <v>43921</v>
      </c>
      <c r="G71" s="65">
        <v>43995</v>
      </c>
      <c r="H71" s="66" t="s">
        <v>132</v>
      </c>
      <c r="I71" s="67">
        <v>3</v>
      </c>
      <c r="J71" s="68">
        <v>2020</v>
      </c>
      <c r="K71" s="69">
        <v>1</v>
      </c>
      <c r="L71" s="70">
        <v>3</v>
      </c>
      <c r="M71" s="71" t="s">
        <v>140</v>
      </c>
      <c r="N71" s="71" t="s">
        <v>18</v>
      </c>
      <c r="O71" s="71" t="s">
        <v>114</v>
      </c>
      <c r="P71" s="71" t="s">
        <v>102</v>
      </c>
      <c r="Q71" s="61" t="s">
        <v>474</v>
      </c>
      <c r="R71" s="63" t="s">
        <v>112</v>
      </c>
      <c r="S71" s="72" t="s">
        <v>543</v>
      </c>
      <c r="T71" s="61" t="s">
        <v>405</v>
      </c>
      <c r="U71" s="73" t="s">
        <v>549</v>
      </c>
      <c r="V71" s="62">
        <v>107591</v>
      </c>
      <c r="W71" s="62" t="s">
        <v>464</v>
      </c>
      <c r="X71" s="62" t="s">
        <v>402</v>
      </c>
      <c r="Y71" s="93">
        <v>1</v>
      </c>
      <c r="Z71" s="94">
        <v>1</v>
      </c>
      <c r="AA71" s="74">
        <v>0</v>
      </c>
      <c r="AB71" s="75">
        <v>0</v>
      </c>
      <c r="AC71" s="75">
        <v>0</v>
      </c>
      <c r="AD71" s="76">
        <v>0</v>
      </c>
      <c r="AE71" s="77">
        <v>85.844494347999998</v>
      </c>
      <c r="AF71" s="75">
        <v>158.50842876999999</v>
      </c>
      <c r="AG71" s="78">
        <v>9159.6689885458454</v>
      </c>
      <c r="AH71" s="79">
        <v>10991.602786208501</v>
      </c>
      <c r="AI71" s="74">
        <v>5495.8013931042506</v>
      </c>
      <c r="AJ71" s="75">
        <v>0</v>
      </c>
      <c r="AK71" s="75">
        <v>0</v>
      </c>
      <c r="AL71" s="80">
        <v>5495.8013931042506</v>
      </c>
      <c r="AM71" s="74">
        <v>0</v>
      </c>
      <c r="AN71" s="74">
        <v>0</v>
      </c>
      <c r="AO71" s="81" t="s">
        <v>403</v>
      </c>
      <c r="AP71" s="82">
        <v>0</v>
      </c>
      <c r="AQ71" s="75">
        <v>0</v>
      </c>
      <c r="AR71" s="75">
        <v>0</v>
      </c>
      <c r="AS71" s="80">
        <v>0</v>
      </c>
      <c r="AT71" s="74">
        <v>186.85724736321879</v>
      </c>
      <c r="AU71" s="75">
        <v>275.70603656026515</v>
      </c>
      <c r="AV71" s="75">
        <v>362.72289194720622</v>
      </c>
      <c r="AW71" s="75">
        <v>171.10261671027388</v>
      </c>
      <c r="AX71" s="80">
        <v>996.38879258096404</v>
      </c>
      <c r="AY71" s="81">
        <v>0</v>
      </c>
      <c r="AZ71" s="83" t="s">
        <v>403</v>
      </c>
      <c r="BA71" s="80" t="s">
        <v>403</v>
      </c>
      <c r="BB71" s="84">
        <v>3030.2016948078381</v>
      </c>
      <c r="BC71" s="85">
        <v>8.3540404040693392</v>
      </c>
      <c r="BD71" s="86">
        <v>0.33082000000186707</v>
      </c>
      <c r="BE71" s="84">
        <v>3201.3043115181117</v>
      </c>
      <c r="BF71" s="87">
        <v>5.9969114618915169</v>
      </c>
      <c r="BG71" s="88">
        <v>0.34950000000232961</v>
      </c>
      <c r="BH71" s="89">
        <v>0</v>
      </c>
      <c r="BI71" s="90">
        <v>0.59999999999746101</v>
      </c>
      <c r="BJ71" s="90">
        <v>0.10878000000075844</v>
      </c>
      <c r="BK71" s="91">
        <v>0.70877999999821939</v>
      </c>
      <c r="BL71" s="92">
        <v>2667.4788028606308</v>
      </c>
      <c r="BM71" s="95">
        <v>0</v>
      </c>
      <c r="BN71" t="s">
        <v>402</v>
      </c>
      <c r="BO71">
        <v>0.85994999999999999</v>
      </c>
    </row>
    <row r="72" spans="1:67">
      <c r="A72" s="61" t="str">
        <f t="shared" si="1"/>
        <v>UK</v>
      </c>
      <c r="B72" s="62" t="s">
        <v>64</v>
      </c>
      <c r="C72" s="62" t="s">
        <v>176</v>
      </c>
      <c r="D72" s="63" t="s">
        <v>97</v>
      </c>
      <c r="E72" s="64">
        <v>43831</v>
      </c>
      <c r="F72" s="64">
        <v>43921</v>
      </c>
      <c r="G72" s="65">
        <v>43995</v>
      </c>
      <c r="H72" s="66" t="s">
        <v>132</v>
      </c>
      <c r="I72" s="67">
        <v>3</v>
      </c>
      <c r="J72" s="68">
        <v>2020</v>
      </c>
      <c r="K72" s="69">
        <v>1</v>
      </c>
      <c r="L72" s="70">
        <v>3</v>
      </c>
      <c r="M72" s="71" t="s">
        <v>140</v>
      </c>
      <c r="N72" s="71" t="s">
        <v>18</v>
      </c>
      <c r="O72" s="71" t="s">
        <v>114</v>
      </c>
      <c r="P72" s="71" t="s">
        <v>102</v>
      </c>
      <c r="Q72" s="61" t="s">
        <v>474</v>
      </c>
      <c r="R72" s="63" t="s">
        <v>165</v>
      </c>
      <c r="S72" s="72" t="s">
        <v>543</v>
      </c>
      <c r="T72" s="61" t="s">
        <v>405</v>
      </c>
      <c r="U72" s="73" t="s">
        <v>550</v>
      </c>
      <c r="V72" s="62">
        <v>106864</v>
      </c>
      <c r="W72" s="62" t="s">
        <v>464</v>
      </c>
      <c r="X72" s="62" t="s">
        <v>402</v>
      </c>
      <c r="Y72" s="93">
        <v>1</v>
      </c>
      <c r="Z72" s="94">
        <v>1</v>
      </c>
      <c r="AA72" s="74">
        <v>0</v>
      </c>
      <c r="AB72" s="75">
        <v>0</v>
      </c>
      <c r="AC72" s="75">
        <v>0</v>
      </c>
      <c r="AD72" s="76">
        <v>0</v>
      </c>
      <c r="AE72" s="77">
        <v>2</v>
      </c>
      <c r="AF72" s="75">
        <v>2</v>
      </c>
      <c r="AG72" s="78">
        <v>82.892417112622837</v>
      </c>
      <c r="AH72" s="79">
        <v>99.470900536077679</v>
      </c>
      <c r="AI72" s="74">
        <v>49.735450268038839</v>
      </c>
      <c r="AJ72" s="75">
        <v>0</v>
      </c>
      <c r="AK72" s="75">
        <v>0</v>
      </c>
      <c r="AL72" s="80">
        <v>49.735450268038839</v>
      </c>
      <c r="AM72" s="74">
        <v>0</v>
      </c>
      <c r="AN72" s="74">
        <v>0</v>
      </c>
      <c r="AO72" s="81" t="s">
        <v>403</v>
      </c>
      <c r="AP72" s="82">
        <v>0</v>
      </c>
      <c r="AQ72" s="75">
        <v>0</v>
      </c>
      <c r="AR72" s="75">
        <v>0</v>
      </c>
      <c r="AS72" s="80">
        <v>0</v>
      </c>
      <c r="AT72" s="74">
        <v>1.6910053091458805</v>
      </c>
      <c r="AU72" s="75">
        <v>2.4950617551020411</v>
      </c>
      <c r="AV72" s="75">
        <v>3.2825397176580031</v>
      </c>
      <c r="AW72" s="75">
        <v>1.5484303516483515</v>
      </c>
      <c r="AX72" s="80">
        <v>9.0170371335542772</v>
      </c>
      <c r="AY72" s="81">
        <v>0</v>
      </c>
      <c r="AZ72" s="83" t="s">
        <v>403</v>
      </c>
      <c r="BA72" s="80" t="s">
        <v>403</v>
      </c>
      <c r="BB72" s="84">
        <v>27.422469428687727</v>
      </c>
      <c r="BC72" s="85">
        <v>8.3540404038897247</v>
      </c>
      <c r="BD72" s="86">
        <v>0.33081999999384554</v>
      </c>
      <c r="BE72" s="84">
        <v>28.970899780336076</v>
      </c>
      <c r="BF72" s="87">
        <v>5.9969114618207113</v>
      </c>
      <c r="BG72" s="88">
        <v>0.34949999999365916</v>
      </c>
      <c r="BH72" s="89">
        <v>0</v>
      </c>
      <c r="BI72" s="90">
        <v>0.60000000000561138</v>
      </c>
      <c r="BJ72" s="90">
        <v>0.10878000000052074</v>
      </c>
      <c r="BK72" s="91">
        <v>0.70878000000613217</v>
      </c>
      <c r="BL72" s="92">
        <v>24.139929711029723</v>
      </c>
      <c r="BM72" s="95">
        <v>0</v>
      </c>
      <c r="BN72" t="s">
        <v>402</v>
      </c>
      <c r="BO72">
        <v>0.85994999999999999</v>
      </c>
    </row>
    <row r="73" spans="1:67">
      <c r="A73" s="61" t="str">
        <f t="shared" si="1"/>
        <v>UK</v>
      </c>
      <c r="B73" s="62" t="s">
        <v>64</v>
      </c>
      <c r="C73" s="62" t="s">
        <v>176</v>
      </c>
      <c r="D73" s="63" t="s">
        <v>97</v>
      </c>
      <c r="E73" s="64">
        <v>43831</v>
      </c>
      <c r="F73" s="64">
        <v>43921</v>
      </c>
      <c r="G73" s="65">
        <v>43995</v>
      </c>
      <c r="H73" s="66" t="s">
        <v>132</v>
      </c>
      <c r="I73" s="67">
        <v>3</v>
      </c>
      <c r="J73" s="68">
        <v>2020</v>
      </c>
      <c r="K73" s="69">
        <v>1</v>
      </c>
      <c r="L73" s="70">
        <v>3</v>
      </c>
      <c r="M73" s="71" t="s">
        <v>140</v>
      </c>
      <c r="N73" s="71" t="s">
        <v>18</v>
      </c>
      <c r="O73" s="71" t="s">
        <v>114</v>
      </c>
      <c r="P73" s="71" t="s">
        <v>102</v>
      </c>
      <c r="Q73" s="61" t="s">
        <v>474</v>
      </c>
      <c r="R73" s="63" t="s">
        <v>106</v>
      </c>
      <c r="S73" s="72" t="s">
        <v>543</v>
      </c>
      <c r="T73" s="61" t="s">
        <v>405</v>
      </c>
      <c r="U73" s="73" t="s">
        <v>551</v>
      </c>
      <c r="V73" s="62">
        <v>107588</v>
      </c>
      <c r="W73" s="62" t="s">
        <v>464</v>
      </c>
      <c r="X73" s="62" t="s">
        <v>402</v>
      </c>
      <c r="Y73" s="93">
        <v>1</v>
      </c>
      <c r="Z73" s="94">
        <v>1</v>
      </c>
      <c r="AA73" s="74">
        <v>0</v>
      </c>
      <c r="AB73" s="75">
        <v>0</v>
      </c>
      <c r="AC73" s="75">
        <v>0</v>
      </c>
      <c r="AD73" s="76">
        <v>0</v>
      </c>
      <c r="AE73" s="77">
        <v>18.999041454</v>
      </c>
      <c r="AF73" s="75">
        <v>29.310129581000002</v>
      </c>
      <c r="AG73" s="78">
        <v>1154.9445838246411</v>
      </c>
      <c r="AH73" s="79">
        <v>1385.9335005523576</v>
      </c>
      <c r="AI73" s="74">
        <v>692.96675028780749</v>
      </c>
      <c r="AJ73" s="75">
        <v>0</v>
      </c>
      <c r="AK73" s="75">
        <v>0</v>
      </c>
      <c r="AL73" s="80">
        <v>692.96675028780749</v>
      </c>
      <c r="AM73" s="74">
        <v>0</v>
      </c>
      <c r="AN73" s="74">
        <v>0</v>
      </c>
      <c r="AO73" s="81" t="s">
        <v>403</v>
      </c>
      <c r="AP73" s="82">
        <v>0</v>
      </c>
      <c r="AQ73" s="75">
        <v>0</v>
      </c>
      <c r="AR73" s="75">
        <v>0</v>
      </c>
      <c r="AS73" s="80">
        <v>0</v>
      </c>
      <c r="AT73" s="74">
        <v>23.560869509855223</v>
      </c>
      <c r="AU73" s="75">
        <v>34.76383197278912</v>
      </c>
      <c r="AV73" s="75">
        <v>45.735805518925524</v>
      </c>
      <c r="AW73" s="75">
        <v>21.574364825861966</v>
      </c>
      <c r="AX73" s="80">
        <v>125.63487182743184</v>
      </c>
      <c r="AY73" s="81">
        <v>0</v>
      </c>
      <c r="AZ73" s="83" t="s">
        <v>403</v>
      </c>
      <c r="BA73" s="80" t="s">
        <v>403</v>
      </c>
      <c r="BB73" s="84">
        <v>382.07876722832725</v>
      </c>
      <c r="BC73" s="85">
        <v>8.3540404043003615</v>
      </c>
      <c r="BD73" s="86">
        <v>0.33082000000645873</v>
      </c>
      <c r="BE73" s="84">
        <v>403.6531320541892</v>
      </c>
      <c r="BF73" s="87">
        <v>5.9969114620647836</v>
      </c>
      <c r="BG73" s="88">
        <v>0.34950000000647402</v>
      </c>
      <c r="BH73" s="89">
        <v>0</v>
      </c>
      <c r="BI73" s="90">
        <v>0.59999999999395892</v>
      </c>
      <c r="BJ73" s="90">
        <v>0.10877999999912323</v>
      </c>
      <c r="BK73" s="91">
        <v>0.70877999999308217</v>
      </c>
      <c r="BL73" s="92">
        <v>336.34296170940172</v>
      </c>
      <c r="BM73" s="95">
        <v>0</v>
      </c>
      <c r="BN73" t="s">
        <v>402</v>
      </c>
      <c r="BO73">
        <v>0.85994999999999999</v>
      </c>
    </row>
    <row r="74" spans="1:67">
      <c r="A74" s="61" t="str">
        <f t="shared" si="1"/>
        <v>UK</v>
      </c>
      <c r="B74" s="62" t="s">
        <v>64</v>
      </c>
      <c r="C74" s="62" t="s">
        <v>176</v>
      </c>
      <c r="D74" s="63" t="s">
        <v>97</v>
      </c>
      <c r="E74" s="64">
        <v>43831</v>
      </c>
      <c r="F74" s="64">
        <v>43921</v>
      </c>
      <c r="G74" s="65">
        <v>43995</v>
      </c>
      <c r="H74" s="66" t="s">
        <v>132</v>
      </c>
      <c r="I74" s="67">
        <v>3</v>
      </c>
      <c r="J74" s="68">
        <v>2020</v>
      </c>
      <c r="K74" s="69">
        <v>1</v>
      </c>
      <c r="L74" s="70">
        <v>3</v>
      </c>
      <c r="M74" s="71" t="s">
        <v>140</v>
      </c>
      <c r="N74" s="71" t="s">
        <v>18</v>
      </c>
      <c r="O74" s="71" t="s">
        <v>114</v>
      </c>
      <c r="P74" s="71" t="s">
        <v>102</v>
      </c>
      <c r="Q74" s="61" t="s">
        <v>474</v>
      </c>
      <c r="R74" s="63" t="s">
        <v>165</v>
      </c>
      <c r="S74" s="72" t="s">
        <v>543</v>
      </c>
      <c r="T74" s="61" t="s">
        <v>405</v>
      </c>
      <c r="U74" s="73" t="s">
        <v>552</v>
      </c>
      <c r="V74" s="62">
        <v>106869</v>
      </c>
      <c r="W74" s="62" t="s">
        <v>464</v>
      </c>
      <c r="X74" s="62" t="s">
        <v>402</v>
      </c>
      <c r="Y74" s="93">
        <v>1</v>
      </c>
      <c r="Z74" s="94">
        <v>1</v>
      </c>
      <c r="AA74" s="74">
        <v>0</v>
      </c>
      <c r="AB74" s="75">
        <v>0</v>
      </c>
      <c r="AC74" s="75">
        <v>0</v>
      </c>
      <c r="AD74" s="76">
        <v>0</v>
      </c>
      <c r="AE74" s="77">
        <v>4.920768765</v>
      </c>
      <c r="AF74" s="75">
        <v>8.8754173166000001</v>
      </c>
      <c r="AG74" s="78">
        <v>1047.5354495493925</v>
      </c>
      <c r="AH74" s="79">
        <v>1257.042539449968</v>
      </c>
      <c r="AI74" s="74">
        <v>628.52126972498399</v>
      </c>
      <c r="AJ74" s="75">
        <v>0</v>
      </c>
      <c r="AK74" s="75">
        <v>0</v>
      </c>
      <c r="AL74" s="80">
        <v>628.52126972498399</v>
      </c>
      <c r="AM74" s="74">
        <v>0</v>
      </c>
      <c r="AN74" s="74">
        <v>0</v>
      </c>
      <c r="AO74" s="81" t="s">
        <v>403</v>
      </c>
      <c r="AP74" s="82">
        <v>0</v>
      </c>
      <c r="AQ74" s="75">
        <v>0</v>
      </c>
      <c r="AR74" s="75">
        <v>0</v>
      </c>
      <c r="AS74" s="80">
        <v>0</v>
      </c>
      <c r="AT74" s="74">
        <v>21.3697231711146</v>
      </c>
      <c r="AU74" s="75">
        <v>31.530817031222742</v>
      </c>
      <c r="AV74" s="75">
        <v>41.482403802546656</v>
      </c>
      <c r="AW74" s="75">
        <v>19.567962197802199</v>
      </c>
      <c r="AX74" s="80">
        <v>113.9509062026862</v>
      </c>
      <c r="AY74" s="81">
        <v>0</v>
      </c>
      <c r="AZ74" s="83" t="s">
        <v>403</v>
      </c>
      <c r="BA74" s="80" t="s">
        <v>403</v>
      </c>
      <c r="BB74" s="84">
        <v>346.54567742426889</v>
      </c>
      <c r="BC74" s="85">
        <v>8.3540404040663141</v>
      </c>
      <c r="BD74" s="86">
        <v>0.33082000000414197</v>
      </c>
      <c r="BE74" s="84">
        <v>366.1136396220711</v>
      </c>
      <c r="BF74" s="87">
        <v>5.9969114619227515</v>
      </c>
      <c r="BG74" s="88">
        <v>0.34950000000435155</v>
      </c>
      <c r="BH74" s="89">
        <v>0</v>
      </c>
      <c r="BI74" s="90">
        <v>0.59999999999555953</v>
      </c>
      <c r="BJ74" s="90">
        <v>0.10878000000067137</v>
      </c>
      <c r="BK74" s="91">
        <v>0.70877999999623087</v>
      </c>
      <c r="BL74" s="92">
        <v>305.06327362172237</v>
      </c>
      <c r="BM74" s="95">
        <v>0</v>
      </c>
      <c r="BN74" t="s">
        <v>402</v>
      </c>
      <c r="BO74">
        <v>0.85994999999999999</v>
      </c>
    </row>
    <row r="75" spans="1:67">
      <c r="A75" s="61" t="str">
        <f t="shared" si="1"/>
        <v>UK</v>
      </c>
      <c r="B75" s="62" t="s">
        <v>64</v>
      </c>
      <c r="C75" s="62" t="s">
        <v>176</v>
      </c>
      <c r="D75" s="63" t="s">
        <v>97</v>
      </c>
      <c r="E75" s="64">
        <v>43831</v>
      </c>
      <c r="F75" s="64">
        <v>43921</v>
      </c>
      <c r="G75" s="65">
        <v>43995</v>
      </c>
      <c r="H75" s="66" t="s">
        <v>132</v>
      </c>
      <c r="I75" s="67">
        <v>3</v>
      </c>
      <c r="J75" s="68">
        <v>2020</v>
      </c>
      <c r="K75" s="69">
        <v>1</v>
      </c>
      <c r="L75" s="70">
        <v>3</v>
      </c>
      <c r="M75" s="71" t="s">
        <v>140</v>
      </c>
      <c r="N75" s="71" t="s">
        <v>18</v>
      </c>
      <c r="O75" s="71" t="s">
        <v>114</v>
      </c>
      <c r="P75" s="71" t="s">
        <v>102</v>
      </c>
      <c r="Q75" s="61" t="s">
        <v>474</v>
      </c>
      <c r="R75" s="63" t="s">
        <v>112</v>
      </c>
      <c r="S75" s="72" t="s">
        <v>543</v>
      </c>
      <c r="T75" s="61" t="s">
        <v>405</v>
      </c>
      <c r="U75" s="73" t="s">
        <v>553</v>
      </c>
      <c r="V75" s="62">
        <v>107592</v>
      </c>
      <c r="W75" s="62" t="s">
        <v>464</v>
      </c>
      <c r="X75" s="62" t="s">
        <v>402</v>
      </c>
      <c r="Y75" s="93">
        <v>1</v>
      </c>
      <c r="Z75" s="94">
        <v>1</v>
      </c>
      <c r="AA75" s="74">
        <v>0</v>
      </c>
      <c r="AB75" s="75">
        <v>0</v>
      </c>
      <c r="AC75" s="75">
        <v>0</v>
      </c>
      <c r="AD75" s="76">
        <v>0</v>
      </c>
      <c r="AE75" s="77">
        <v>19.365259376000001</v>
      </c>
      <c r="AF75" s="75">
        <v>42.602964294000003</v>
      </c>
      <c r="AG75" s="78">
        <v>3051.9886550380838</v>
      </c>
      <c r="AH75" s="79">
        <v>3662.3863860689576</v>
      </c>
      <c r="AI75" s="74">
        <v>1831.1931929763359</v>
      </c>
      <c r="AJ75" s="75">
        <v>0</v>
      </c>
      <c r="AK75" s="75">
        <v>0</v>
      </c>
      <c r="AL75" s="80">
        <v>1831.1931929763359</v>
      </c>
      <c r="AM75" s="74">
        <v>0</v>
      </c>
      <c r="AN75" s="74">
        <v>0</v>
      </c>
      <c r="AO75" s="81" t="s">
        <v>403</v>
      </c>
      <c r="AP75" s="82">
        <v>0</v>
      </c>
      <c r="AQ75" s="75">
        <v>0</v>
      </c>
      <c r="AR75" s="75">
        <v>0</v>
      </c>
      <c r="AS75" s="80">
        <v>0</v>
      </c>
      <c r="AT75" s="74">
        <v>62.260568562125705</v>
      </c>
      <c r="AU75" s="75">
        <v>91.864858516192797</v>
      </c>
      <c r="AV75" s="75">
        <v>120.85875074132217</v>
      </c>
      <c r="AW75" s="75">
        <v>57.011148076050937</v>
      </c>
      <c r="AX75" s="80">
        <v>331.99532589569156</v>
      </c>
      <c r="AY75" s="81">
        <v>0</v>
      </c>
      <c r="AZ75" s="83" t="s">
        <v>403</v>
      </c>
      <c r="BA75" s="80" t="s">
        <v>403</v>
      </c>
      <c r="BB75" s="84">
        <v>1009.6588869073787</v>
      </c>
      <c r="BC75" s="85">
        <v>8.3540404043095204</v>
      </c>
      <c r="BD75" s="86">
        <v>0.33082000001562256</v>
      </c>
      <c r="BE75" s="84">
        <v>1066.6700349834296</v>
      </c>
      <c r="BF75" s="87">
        <v>5.9969114621166275</v>
      </c>
      <c r="BG75" s="88">
        <v>0.34950000001560272</v>
      </c>
      <c r="BH75" s="89">
        <v>0</v>
      </c>
      <c r="BI75" s="90">
        <v>0.59999999998475928</v>
      </c>
      <c r="BJ75" s="90">
        <v>0.10878000000021258</v>
      </c>
      <c r="BK75" s="91">
        <v>0.70877999998497188</v>
      </c>
      <c r="BL75" s="92">
        <v>888.80013616605629</v>
      </c>
      <c r="BM75" s="95">
        <v>0</v>
      </c>
      <c r="BN75" t="s">
        <v>402</v>
      </c>
      <c r="BO75">
        <v>0.85994999999999999</v>
      </c>
    </row>
    <row r="76" spans="1:67">
      <c r="A76" s="61" t="str">
        <f t="shared" si="1"/>
        <v>UK</v>
      </c>
      <c r="B76" s="62" t="s">
        <v>64</v>
      </c>
      <c r="C76" s="62" t="s">
        <v>176</v>
      </c>
      <c r="D76" s="63" t="s">
        <v>97</v>
      </c>
      <c r="E76" s="64">
        <v>43831</v>
      </c>
      <c r="F76" s="64">
        <v>43921</v>
      </c>
      <c r="G76" s="65">
        <v>43995</v>
      </c>
      <c r="H76" s="66" t="s">
        <v>132</v>
      </c>
      <c r="I76" s="67">
        <v>3</v>
      </c>
      <c r="J76" s="68">
        <v>2020</v>
      </c>
      <c r="K76" s="69">
        <v>1</v>
      </c>
      <c r="L76" s="70">
        <v>3</v>
      </c>
      <c r="M76" s="71" t="s">
        <v>140</v>
      </c>
      <c r="N76" s="71" t="s">
        <v>18</v>
      </c>
      <c r="O76" s="71" t="s">
        <v>114</v>
      </c>
      <c r="P76" s="71" t="s">
        <v>102</v>
      </c>
      <c r="Q76" s="61" t="s">
        <v>474</v>
      </c>
      <c r="R76" s="63" t="s">
        <v>106</v>
      </c>
      <c r="S76" s="72" t="s">
        <v>543</v>
      </c>
      <c r="T76" s="61" t="s">
        <v>405</v>
      </c>
      <c r="U76" s="73" t="s">
        <v>554</v>
      </c>
      <c r="V76" s="62">
        <v>107589</v>
      </c>
      <c r="W76" s="62" t="s">
        <v>464</v>
      </c>
      <c r="X76" s="62" t="s">
        <v>402</v>
      </c>
      <c r="Y76" s="93">
        <v>1</v>
      </c>
      <c r="Z76" s="94">
        <v>1</v>
      </c>
      <c r="AA76" s="74">
        <v>0</v>
      </c>
      <c r="AB76" s="75">
        <v>0</v>
      </c>
      <c r="AC76" s="75">
        <v>0</v>
      </c>
      <c r="AD76" s="76">
        <v>0</v>
      </c>
      <c r="AE76" s="77">
        <v>4.9645833333000002</v>
      </c>
      <c r="AF76" s="75">
        <v>14.977083332999999</v>
      </c>
      <c r="AG76" s="78">
        <v>437.98775974184548</v>
      </c>
      <c r="AH76" s="79">
        <v>525.58531169254024</v>
      </c>
      <c r="AI76" s="74">
        <v>262.79265584045584</v>
      </c>
      <c r="AJ76" s="75">
        <v>0</v>
      </c>
      <c r="AK76" s="75">
        <v>0</v>
      </c>
      <c r="AL76" s="80">
        <v>262.79265584045584</v>
      </c>
      <c r="AM76" s="74">
        <v>0</v>
      </c>
      <c r="AN76" s="74">
        <v>0</v>
      </c>
      <c r="AO76" s="81" t="s">
        <v>403</v>
      </c>
      <c r="AP76" s="82">
        <v>0</v>
      </c>
      <c r="AQ76" s="75">
        <v>0</v>
      </c>
      <c r="AR76" s="75">
        <v>0</v>
      </c>
      <c r="AS76" s="80">
        <v>0</v>
      </c>
      <c r="AT76" s="74">
        <v>8.9349502986220131</v>
      </c>
      <c r="AU76" s="75">
        <v>13.183431568114425</v>
      </c>
      <c r="AV76" s="75">
        <v>17.344315285772431</v>
      </c>
      <c r="AW76" s="75">
        <v>8.1816113519390665</v>
      </c>
      <c r="AX76" s="80">
        <v>47.644308504447935</v>
      </c>
      <c r="AY76" s="81">
        <v>0</v>
      </c>
      <c r="AZ76" s="83" t="s">
        <v>403</v>
      </c>
      <c r="BA76" s="80" t="s">
        <v>403</v>
      </c>
      <c r="BB76" s="84">
        <v>144.89511068271412</v>
      </c>
      <c r="BC76" s="85">
        <v>8.3540404043261258</v>
      </c>
      <c r="BD76" s="86">
        <v>0.33082000001122586</v>
      </c>
      <c r="BE76" s="84">
        <v>153.07672203465319</v>
      </c>
      <c r="BF76" s="87">
        <v>5.9969114621092992</v>
      </c>
      <c r="BG76" s="88">
        <v>0.34950000001113773</v>
      </c>
      <c r="BH76" s="89">
        <v>0</v>
      </c>
      <c r="BI76" s="90">
        <v>0.59999999998937992</v>
      </c>
      <c r="BJ76" s="90">
        <v>0.10877999999938351</v>
      </c>
      <c r="BK76" s="91">
        <v>0.7087799999887634</v>
      </c>
      <c r="BL76" s="92">
        <v>127.55079539694168</v>
      </c>
      <c r="BM76" s="95">
        <v>0</v>
      </c>
      <c r="BN76" t="s">
        <v>402</v>
      </c>
      <c r="BO76">
        <v>0.85994999999999999</v>
      </c>
    </row>
    <row r="77" spans="1:67">
      <c r="A77" s="61" t="str">
        <f t="shared" si="1"/>
        <v>UK</v>
      </c>
      <c r="B77" s="62" t="s">
        <v>64</v>
      </c>
      <c r="C77" s="62" t="s">
        <v>176</v>
      </c>
      <c r="D77" s="63" t="s">
        <v>97</v>
      </c>
      <c r="E77" s="64">
        <v>43831</v>
      </c>
      <c r="F77" s="64">
        <v>43921</v>
      </c>
      <c r="G77" s="65">
        <v>43995</v>
      </c>
      <c r="H77" s="66" t="s">
        <v>132</v>
      </c>
      <c r="I77" s="67">
        <v>3</v>
      </c>
      <c r="J77" s="68">
        <v>2020</v>
      </c>
      <c r="K77" s="69">
        <v>1</v>
      </c>
      <c r="L77" s="70">
        <v>3</v>
      </c>
      <c r="M77" s="71" t="s">
        <v>140</v>
      </c>
      <c r="N77" s="71" t="s">
        <v>18</v>
      </c>
      <c r="O77" s="71" t="s">
        <v>114</v>
      </c>
      <c r="P77" s="71" t="s">
        <v>102</v>
      </c>
      <c r="Q77" s="61" t="s">
        <v>474</v>
      </c>
      <c r="R77" s="63" t="s">
        <v>165</v>
      </c>
      <c r="S77" s="72" t="s">
        <v>543</v>
      </c>
      <c r="T77" s="61" t="s">
        <v>405</v>
      </c>
      <c r="U77" s="73" t="s">
        <v>555</v>
      </c>
      <c r="V77" s="62">
        <v>107135</v>
      </c>
      <c r="W77" s="62" t="s">
        <v>556</v>
      </c>
      <c r="X77" s="62" t="s">
        <v>402</v>
      </c>
      <c r="Y77" s="93">
        <v>1</v>
      </c>
      <c r="Z77" s="94">
        <v>1</v>
      </c>
      <c r="AA77" s="74">
        <v>0</v>
      </c>
      <c r="AB77" s="75">
        <v>0</v>
      </c>
      <c r="AC77" s="75">
        <v>0</v>
      </c>
      <c r="AD77" s="76">
        <v>0</v>
      </c>
      <c r="AE77" s="77">
        <v>2.6271726925999999</v>
      </c>
      <c r="AF77" s="75">
        <v>8.2051650573000003</v>
      </c>
      <c r="AG77" s="78">
        <v>685.91228709808718</v>
      </c>
      <c r="AH77" s="79">
        <v>823.0947445200303</v>
      </c>
      <c r="AI77" s="74">
        <v>411.54737226582944</v>
      </c>
      <c r="AJ77" s="75">
        <v>0</v>
      </c>
      <c r="AK77" s="75">
        <v>0</v>
      </c>
      <c r="AL77" s="80">
        <v>411.54737226582944</v>
      </c>
      <c r="AM77" s="74">
        <v>0</v>
      </c>
      <c r="AN77" s="74">
        <v>0</v>
      </c>
      <c r="AO77" s="81" t="s">
        <v>403</v>
      </c>
      <c r="AP77" s="82">
        <v>0</v>
      </c>
      <c r="AQ77" s="75">
        <v>0</v>
      </c>
      <c r="AR77" s="75">
        <v>0</v>
      </c>
      <c r="AS77" s="80">
        <v>0</v>
      </c>
      <c r="AT77" s="74">
        <v>13.992610656433513</v>
      </c>
      <c r="AU77" s="75">
        <v>20.645959841851269</v>
      </c>
      <c r="AV77" s="75">
        <v>27.162126568986569</v>
      </c>
      <c r="AW77" s="75">
        <v>12.81284152334438</v>
      </c>
      <c r="AX77" s="80">
        <v>74.613538590615718</v>
      </c>
      <c r="AY77" s="81">
        <v>0</v>
      </c>
      <c r="AZ77" s="83" t="s">
        <v>403</v>
      </c>
      <c r="BA77" s="80" t="s">
        <v>403</v>
      </c>
      <c r="BB77" s="84">
        <v>226.91350281062859</v>
      </c>
      <c r="BC77" s="85">
        <v>8.3540404038068221</v>
      </c>
      <c r="BD77" s="86">
        <v>0.33081999998956046</v>
      </c>
      <c r="BE77" s="84">
        <v>239.72634433397297</v>
      </c>
      <c r="BF77" s="87">
        <v>5.9969114616995434</v>
      </c>
      <c r="BG77" s="88">
        <v>0.34949999999007381</v>
      </c>
      <c r="BH77" s="89">
        <v>0</v>
      </c>
      <c r="BI77" s="90">
        <v>0.60000000001017206</v>
      </c>
      <c r="BJ77" s="90">
        <v>0.10878000000012508</v>
      </c>
      <c r="BK77" s="91">
        <v>0.70878000001029717</v>
      </c>
      <c r="BL77" s="92">
        <v>199.75137624164199</v>
      </c>
      <c r="BM77" s="95">
        <v>0</v>
      </c>
      <c r="BN77" t="s">
        <v>402</v>
      </c>
      <c r="BO77">
        <v>0.85994999999999999</v>
      </c>
    </row>
    <row r="78" spans="1:67">
      <c r="A78" s="61" t="str">
        <f t="shared" si="1"/>
        <v>UK</v>
      </c>
      <c r="B78" s="62" t="s">
        <v>64</v>
      </c>
      <c r="C78" s="62" t="s">
        <v>176</v>
      </c>
      <c r="D78" s="63" t="s">
        <v>97</v>
      </c>
      <c r="E78" s="64">
        <v>43831</v>
      </c>
      <c r="F78" s="64">
        <v>43921</v>
      </c>
      <c r="G78" s="65">
        <v>43995</v>
      </c>
      <c r="H78" s="66" t="s">
        <v>132</v>
      </c>
      <c r="I78" s="67">
        <v>3</v>
      </c>
      <c r="J78" s="68">
        <v>2020</v>
      </c>
      <c r="K78" s="69">
        <v>1</v>
      </c>
      <c r="L78" s="70">
        <v>3</v>
      </c>
      <c r="M78" s="71" t="s">
        <v>140</v>
      </c>
      <c r="N78" s="71" t="s">
        <v>18</v>
      </c>
      <c r="O78" s="71" t="s">
        <v>114</v>
      </c>
      <c r="P78" s="71" t="s">
        <v>102</v>
      </c>
      <c r="Q78" s="61" t="s">
        <v>474</v>
      </c>
      <c r="R78" s="63" t="s">
        <v>165</v>
      </c>
      <c r="S78" s="72" t="s">
        <v>543</v>
      </c>
      <c r="T78" s="61" t="s">
        <v>405</v>
      </c>
      <c r="U78" s="73" t="s">
        <v>557</v>
      </c>
      <c r="V78" s="62">
        <v>107132</v>
      </c>
      <c r="W78" s="62" t="s">
        <v>556</v>
      </c>
      <c r="X78" s="62" t="s">
        <v>402</v>
      </c>
      <c r="Y78" s="93">
        <v>1</v>
      </c>
      <c r="Z78" s="94">
        <v>1</v>
      </c>
      <c r="AA78" s="74">
        <v>0</v>
      </c>
      <c r="AB78" s="75">
        <v>0</v>
      </c>
      <c r="AC78" s="75">
        <v>0</v>
      </c>
      <c r="AD78" s="76">
        <v>0</v>
      </c>
      <c r="AE78" s="77">
        <v>15.639583332999999</v>
      </c>
      <c r="AF78" s="75">
        <v>39.493749999999999</v>
      </c>
      <c r="AG78" s="78">
        <v>1295.9769158672016</v>
      </c>
      <c r="AH78" s="79">
        <v>1555.1722989708703</v>
      </c>
      <c r="AI78" s="74">
        <v>777.58614949706373</v>
      </c>
      <c r="AJ78" s="75">
        <v>0</v>
      </c>
      <c r="AK78" s="75">
        <v>0</v>
      </c>
      <c r="AL78" s="80">
        <v>777.58614949706373</v>
      </c>
      <c r="AM78" s="74">
        <v>0</v>
      </c>
      <c r="AN78" s="74">
        <v>0</v>
      </c>
      <c r="AO78" s="81" t="s">
        <v>403</v>
      </c>
      <c r="AP78" s="82">
        <v>0</v>
      </c>
      <c r="AQ78" s="75">
        <v>0</v>
      </c>
      <c r="AR78" s="75">
        <v>0</v>
      </c>
      <c r="AS78" s="80">
        <v>0</v>
      </c>
      <c r="AT78" s="74">
        <v>26.437929083086228</v>
      </c>
      <c r="AU78" s="75">
        <v>39.008905166579453</v>
      </c>
      <c r="AV78" s="75">
        <v>51.320685866620153</v>
      </c>
      <c r="AW78" s="75">
        <v>24.208848787720214</v>
      </c>
      <c r="AX78" s="80">
        <v>140.97636890400605</v>
      </c>
      <c r="AY78" s="81">
        <v>0</v>
      </c>
      <c r="AZ78" s="83" t="s">
        <v>403</v>
      </c>
      <c r="BA78" s="80" t="s">
        <v>403</v>
      </c>
      <c r="BB78" s="84">
        <v>428.73508333275197</v>
      </c>
      <c r="BC78" s="85">
        <v>8.3540404048186847</v>
      </c>
      <c r="BD78" s="86">
        <v>0.33082000001972595</v>
      </c>
      <c r="BE78" s="84">
        <v>452.94393212047214</v>
      </c>
      <c r="BF78" s="87">
        <v>5.9969114624280735</v>
      </c>
      <c r="BG78" s="88">
        <v>0.3495000000192019</v>
      </c>
      <c r="BH78" s="89">
        <v>0</v>
      </c>
      <c r="BI78" s="90">
        <v>0.59999999998205433</v>
      </c>
      <c r="BJ78" s="90">
        <v>0.10877999999689182</v>
      </c>
      <c r="BK78" s="91">
        <v>0.70877999997894614</v>
      </c>
      <c r="BL78" s="92">
        <v>377.41439746613173</v>
      </c>
      <c r="BM78" s="95">
        <v>0</v>
      </c>
      <c r="BN78" t="s">
        <v>402</v>
      </c>
      <c r="BO78">
        <v>0.85994999999999999</v>
      </c>
    </row>
    <row r="79" spans="1:67">
      <c r="A79" s="61" t="str">
        <f t="shared" si="1"/>
        <v>UK</v>
      </c>
      <c r="B79" s="62" t="s">
        <v>64</v>
      </c>
      <c r="C79" s="62" t="s">
        <v>176</v>
      </c>
      <c r="D79" s="63" t="s">
        <v>97</v>
      </c>
      <c r="E79" s="64">
        <v>43831</v>
      </c>
      <c r="F79" s="64">
        <v>43921</v>
      </c>
      <c r="G79" s="65">
        <v>43995</v>
      </c>
      <c r="H79" s="66" t="s">
        <v>132</v>
      </c>
      <c r="I79" s="67">
        <v>3</v>
      </c>
      <c r="J79" s="68">
        <v>2020</v>
      </c>
      <c r="K79" s="69">
        <v>1</v>
      </c>
      <c r="L79" s="70">
        <v>3</v>
      </c>
      <c r="M79" s="71" t="s">
        <v>140</v>
      </c>
      <c r="N79" s="71" t="s">
        <v>18</v>
      </c>
      <c r="O79" s="71" t="s">
        <v>114</v>
      </c>
      <c r="P79" s="71" t="s">
        <v>102</v>
      </c>
      <c r="Q79" s="61" t="s">
        <v>474</v>
      </c>
      <c r="R79" s="63" t="s">
        <v>165</v>
      </c>
      <c r="S79" s="72" t="s">
        <v>543</v>
      </c>
      <c r="T79" s="61" t="s">
        <v>405</v>
      </c>
      <c r="U79" s="73" t="s">
        <v>558</v>
      </c>
      <c r="V79" s="62">
        <v>107129</v>
      </c>
      <c r="W79" s="62" t="s">
        <v>556</v>
      </c>
      <c r="X79" s="62" t="s">
        <v>402</v>
      </c>
      <c r="Y79" s="93">
        <v>1</v>
      </c>
      <c r="Z79" s="94">
        <v>1</v>
      </c>
      <c r="AA79" s="74">
        <v>0</v>
      </c>
      <c r="AB79" s="75">
        <v>0</v>
      </c>
      <c r="AC79" s="75">
        <v>0</v>
      </c>
      <c r="AD79" s="76">
        <v>0</v>
      </c>
      <c r="AE79" s="77">
        <v>0.55737704919999997</v>
      </c>
      <c r="AF79" s="75">
        <v>0.55737704919999997</v>
      </c>
      <c r="AG79" s="78">
        <v>48.765960051165763</v>
      </c>
      <c r="AH79" s="79">
        <v>58.519152061166345</v>
      </c>
      <c r="AI79" s="74">
        <v>29.259576030001746</v>
      </c>
      <c r="AJ79" s="75">
        <v>0</v>
      </c>
      <c r="AK79" s="75">
        <v>0</v>
      </c>
      <c r="AL79" s="80">
        <v>29.259576030001746</v>
      </c>
      <c r="AM79" s="74">
        <v>0</v>
      </c>
      <c r="AN79" s="74">
        <v>0</v>
      </c>
      <c r="AO79" s="81" t="s">
        <v>403</v>
      </c>
      <c r="AP79" s="82">
        <v>0</v>
      </c>
      <c r="AQ79" s="75">
        <v>0</v>
      </c>
      <c r="AR79" s="75">
        <v>0</v>
      </c>
      <c r="AS79" s="80">
        <v>0</v>
      </c>
      <c r="AT79" s="74">
        <v>0.99482558509215646</v>
      </c>
      <c r="AU79" s="75">
        <v>1.4678553975231119</v>
      </c>
      <c r="AV79" s="75">
        <v>1.9311320180243037</v>
      </c>
      <c r="AW79" s="75">
        <v>0.91094813372870509</v>
      </c>
      <c r="AX79" s="80">
        <v>5.3047611343682766</v>
      </c>
      <c r="AY79" s="81">
        <v>0</v>
      </c>
      <c r="AZ79" s="83" t="s">
        <v>403</v>
      </c>
      <c r="BA79" s="80" t="s">
        <v>403</v>
      </c>
      <c r="BB79" s="84">
        <v>16.132754904820047</v>
      </c>
      <c r="BC79" s="85">
        <v>8.3540404044075114</v>
      </c>
      <c r="BD79" s="86">
        <v>0.33082000001421868</v>
      </c>
      <c r="BE79" s="84">
        <v>17.043703038548749</v>
      </c>
      <c r="BF79" s="87">
        <v>5.9969114622035242</v>
      </c>
      <c r="BG79" s="88">
        <v>0.34950000001366355</v>
      </c>
      <c r="BH79" s="89">
        <v>0</v>
      </c>
      <c r="BI79" s="90">
        <v>0.59999999998569264</v>
      </c>
      <c r="BJ79" s="90">
        <v>0.10878000000005054</v>
      </c>
      <c r="BK79" s="91">
        <v>0.70877999998574315</v>
      </c>
      <c r="BL79" s="92">
        <v>14.201622886795739</v>
      </c>
      <c r="BM79" s="95">
        <v>0</v>
      </c>
      <c r="BN79" t="s">
        <v>402</v>
      </c>
      <c r="BO79">
        <v>0.85994999999999999</v>
      </c>
    </row>
    <row r="80" spans="1:67">
      <c r="A80" s="61" t="str">
        <f t="shared" si="1"/>
        <v>UK</v>
      </c>
      <c r="B80" s="62" t="s">
        <v>64</v>
      </c>
      <c r="C80" s="62" t="s">
        <v>176</v>
      </c>
      <c r="D80" s="63" t="s">
        <v>97</v>
      </c>
      <c r="E80" s="64">
        <v>43831</v>
      </c>
      <c r="F80" s="64">
        <v>43921</v>
      </c>
      <c r="G80" s="65">
        <v>43995</v>
      </c>
      <c r="H80" s="66" t="s">
        <v>132</v>
      </c>
      <c r="I80" s="67">
        <v>3</v>
      </c>
      <c r="J80" s="68">
        <v>2020</v>
      </c>
      <c r="K80" s="69">
        <v>1</v>
      </c>
      <c r="L80" s="70">
        <v>3</v>
      </c>
      <c r="M80" s="71" t="s">
        <v>140</v>
      </c>
      <c r="N80" s="71" t="s">
        <v>18</v>
      </c>
      <c r="O80" s="71" t="s">
        <v>114</v>
      </c>
      <c r="P80" s="71" t="s">
        <v>102</v>
      </c>
      <c r="Q80" s="61" t="s">
        <v>474</v>
      </c>
      <c r="R80" s="63" t="s">
        <v>165</v>
      </c>
      <c r="S80" s="72" t="s">
        <v>543</v>
      </c>
      <c r="T80" s="61" t="s">
        <v>405</v>
      </c>
      <c r="U80" s="73" t="s">
        <v>559</v>
      </c>
      <c r="V80" s="62">
        <v>107126</v>
      </c>
      <c r="W80" s="62" t="s">
        <v>556</v>
      </c>
      <c r="X80" s="62" t="s">
        <v>402</v>
      </c>
      <c r="Y80" s="93">
        <v>1</v>
      </c>
      <c r="Z80" s="94">
        <v>1</v>
      </c>
      <c r="AA80" s="74">
        <v>0</v>
      </c>
      <c r="AB80" s="75">
        <v>0</v>
      </c>
      <c r="AC80" s="75">
        <v>0</v>
      </c>
      <c r="AD80" s="76">
        <v>0</v>
      </c>
      <c r="AE80" s="77">
        <v>16.616666667000001</v>
      </c>
      <c r="AF80" s="75">
        <v>52.545833332999997</v>
      </c>
      <c r="AG80" s="78">
        <v>1377.6753381010526</v>
      </c>
      <c r="AH80" s="79">
        <v>1653.2104057212628</v>
      </c>
      <c r="AI80" s="74">
        <v>826.60520284900281</v>
      </c>
      <c r="AJ80" s="75">
        <v>0</v>
      </c>
      <c r="AK80" s="75">
        <v>0</v>
      </c>
      <c r="AL80" s="80">
        <v>826.60520284900281</v>
      </c>
      <c r="AM80" s="74">
        <v>0</v>
      </c>
      <c r="AN80" s="74">
        <v>0</v>
      </c>
      <c r="AO80" s="81" t="s">
        <v>403</v>
      </c>
      <c r="AP80" s="82">
        <v>0</v>
      </c>
      <c r="AQ80" s="75">
        <v>0</v>
      </c>
      <c r="AR80" s="75">
        <v>0</v>
      </c>
      <c r="AS80" s="80">
        <v>0</v>
      </c>
      <c r="AT80" s="74">
        <v>28.104576897494042</v>
      </c>
      <c r="AU80" s="75">
        <v>41.468027676027681</v>
      </c>
      <c r="AV80" s="75">
        <v>54.555943388569105</v>
      </c>
      <c r="AW80" s="75">
        <v>25.734975316006746</v>
      </c>
      <c r="AX80" s="80">
        <v>149.86352327809757</v>
      </c>
      <c r="AY80" s="81">
        <v>0</v>
      </c>
      <c r="AZ80" s="83" t="s">
        <v>403</v>
      </c>
      <c r="BA80" s="80" t="s">
        <v>403</v>
      </c>
      <c r="BB80" s="84">
        <v>455.76255536252131</v>
      </c>
      <c r="BC80" s="85">
        <v>8.3540404042947127</v>
      </c>
      <c r="BD80" s="86">
        <v>0.3308200000086603</v>
      </c>
      <c r="BE80" s="84">
        <v>481.49753067852805</v>
      </c>
      <c r="BF80" s="87">
        <v>5.9969114620566302</v>
      </c>
      <c r="BG80" s="88">
        <v>0.34950000000886289</v>
      </c>
      <c r="BH80" s="89">
        <v>0</v>
      </c>
      <c r="BI80" s="90">
        <v>0.59999999999155917</v>
      </c>
      <c r="BJ80" s="90">
        <v>0.10877999999961172</v>
      </c>
      <c r="BK80" s="91">
        <v>0.70877999999117092</v>
      </c>
      <c r="BL80" s="92">
        <v>401.20661197395225</v>
      </c>
      <c r="BM80" s="95">
        <v>0</v>
      </c>
      <c r="BN80" t="s">
        <v>402</v>
      </c>
      <c r="BO80">
        <v>0.85994999999999999</v>
      </c>
    </row>
    <row r="81" spans="1:67">
      <c r="A81" s="61" t="str">
        <f t="shared" si="1"/>
        <v>UK</v>
      </c>
      <c r="B81" s="62" t="s">
        <v>64</v>
      </c>
      <c r="C81" s="62" t="s">
        <v>176</v>
      </c>
      <c r="D81" s="63" t="s">
        <v>97</v>
      </c>
      <c r="E81" s="64">
        <v>43831</v>
      </c>
      <c r="F81" s="64">
        <v>43921</v>
      </c>
      <c r="G81" s="65">
        <v>43995</v>
      </c>
      <c r="H81" s="66" t="s">
        <v>132</v>
      </c>
      <c r="I81" s="67">
        <v>3</v>
      </c>
      <c r="J81" s="68">
        <v>2020</v>
      </c>
      <c r="K81" s="69">
        <v>1</v>
      </c>
      <c r="L81" s="70">
        <v>3</v>
      </c>
      <c r="M81" s="71" t="s">
        <v>140</v>
      </c>
      <c r="N81" s="71" t="s">
        <v>18</v>
      </c>
      <c r="O81" s="71" t="s">
        <v>114</v>
      </c>
      <c r="P81" s="71" t="s">
        <v>102</v>
      </c>
      <c r="Q81" s="61" t="s">
        <v>474</v>
      </c>
      <c r="R81" s="63" t="s">
        <v>165</v>
      </c>
      <c r="S81" s="72" t="s">
        <v>543</v>
      </c>
      <c r="T81" s="61" t="s">
        <v>405</v>
      </c>
      <c r="U81" s="73" t="s">
        <v>560</v>
      </c>
      <c r="V81" s="62">
        <v>107133</v>
      </c>
      <c r="W81" s="62" t="s">
        <v>556</v>
      </c>
      <c r="X81" s="62" t="s">
        <v>402</v>
      </c>
      <c r="Y81" s="93">
        <v>1</v>
      </c>
      <c r="Z81" s="94">
        <v>1</v>
      </c>
      <c r="AA81" s="74">
        <v>0</v>
      </c>
      <c r="AB81" s="75">
        <v>0</v>
      </c>
      <c r="AC81" s="75">
        <v>0</v>
      </c>
      <c r="AD81" s="76">
        <v>0</v>
      </c>
      <c r="AE81" s="77">
        <v>1.2909836066</v>
      </c>
      <c r="AF81" s="75">
        <v>2.2131147540999998</v>
      </c>
      <c r="AG81" s="78">
        <v>244.37360044188614</v>
      </c>
      <c r="AH81" s="79">
        <v>293.24832054189199</v>
      </c>
      <c r="AI81" s="74">
        <v>146.62416026513171</v>
      </c>
      <c r="AJ81" s="75">
        <v>0</v>
      </c>
      <c r="AK81" s="75">
        <v>0</v>
      </c>
      <c r="AL81" s="80">
        <v>146.62416026513171</v>
      </c>
      <c r="AM81" s="74">
        <v>0</v>
      </c>
      <c r="AN81" s="74">
        <v>0</v>
      </c>
      <c r="AO81" s="81" t="s">
        <v>403</v>
      </c>
      <c r="AP81" s="82">
        <v>0</v>
      </c>
      <c r="AQ81" s="75">
        <v>0</v>
      </c>
      <c r="AR81" s="75">
        <v>0</v>
      </c>
      <c r="AS81" s="80">
        <v>0</v>
      </c>
      <c r="AT81" s="74">
        <v>4.9852214491540199</v>
      </c>
      <c r="AU81" s="75">
        <v>7.3556453734519449</v>
      </c>
      <c r="AV81" s="75">
        <v>9.677194577708006</v>
      </c>
      <c r="AW81" s="75">
        <v>4.5648988563288562</v>
      </c>
      <c r="AX81" s="80">
        <v>26.582960256642824</v>
      </c>
      <c r="AY81" s="81">
        <v>0</v>
      </c>
      <c r="AZ81" s="83" t="s">
        <v>403</v>
      </c>
      <c r="BA81" s="80" t="s">
        <v>403</v>
      </c>
      <c r="BB81" s="84">
        <v>80.84367449781962</v>
      </c>
      <c r="BC81" s="85">
        <v>8.3540404038219762</v>
      </c>
      <c r="BD81" s="86">
        <v>0.33081999999850575</v>
      </c>
      <c r="BE81" s="84">
        <v>85.408573354148473</v>
      </c>
      <c r="BF81" s="87">
        <v>5.9969114617681436</v>
      </c>
      <c r="BG81" s="88">
        <v>0.34949999999881032</v>
      </c>
      <c r="BH81" s="89">
        <v>0</v>
      </c>
      <c r="BI81" s="90">
        <v>0.60000000000000009</v>
      </c>
      <c r="BJ81" s="90">
        <v>0.1087800000023507</v>
      </c>
      <c r="BK81" s="91">
        <v>0.70878000000235075</v>
      </c>
      <c r="BL81" s="92">
        <v>71.166479920111613</v>
      </c>
      <c r="BM81" s="95">
        <v>0</v>
      </c>
      <c r="BN81" t="s">
        <v>402</v>
      </c>
      <c r="BO81">
        <v>0.85994999999999999</v>
      </c>
    </row>
    <row r="82" spans="1:67">
      <c r="A82" s="61" t="str">
        <f t="shared" si="1"/>
        <v>UK</v>
      </c>
      <c r="B82" s="62" t="s">
        <v>64</v>
      </c>
      <c r="C82" s="62" t="s">
        <v>176</v>
      </c>
      <c r="D82" s="63" t="s">
        <v>97</v>
      </c>
      <c r="E82" s="64">
        <v>43831</v>
      </c>
      <c r="F82" s="64">
        <v>43921</v>
      </c>
      <c r="G82" s="65">
        <v>43995</v>
      </c>
      <c r="H82" s="66" t="s">
        <v>132</v>
      </c>
      <c r="I82" s="67">
        <v>3</v>
      </c>
      <c r="J82" s="68">
        <v>2020</v>
      </c>
      <c r="K82" s="69">
        <v>1</v>
      </c>
      <c r="L82" s="70">
        <v>3</v>
      </c>
      <c r="M82" s="71" t="s">
        <v>140</v>
      </c>
      <c r="N82" s="71" t="s">
        <v>18</v>
      </c>
      <c r="O82" s="71" t="s">
        <v>114</v>
      </c>
      <c r="P82" s="71" t="s">
        <v>102</v>
      </c>
      <c r="Q82" s="61" t="s">
        <v>474</v>
      </c>
      <c r="R82" s="63" t="s">
        <v>165</v>
      </c>
      <c r="S82" s="72" t="s">
        <v>543</v>
      </c>
      <c r="T82" s="61" t="s">
        <v>405</v>
      </c>
      <c r="U82" s="73" t="s">
        <v>561</v>
      </c>
      <c r="V82" s="62">
        <v>107130</v>
      </c>
      <c r="W82" s="62" t="s">
        <v>556</v>
      </c>
      <c r="X82" s="62" t="s">
        <v>402</v>
      </c>
      <c r="Y82" s="93">
        <v>1</v>
      </c>
      <c r="Z82" s="94">
        <v>1</v>
      </c>
      <c r="AA82" s="74">
        <v>0</v>
      </c>
      <c r="AB82" s="75">
        <v>0</v>
      </c>
      <c r="AC82" s="75">
        <v>0</v>
      </c>
      <c r="AD82" s="76">
        <v>0</v>
      </c>
      <c r="AE82" s="77">
        <v>19.966666666999998</v>
      </c>
      <c r="AF82" s="75">
        <v>50.591666666999998</v>
      </c>
      <c r="AG82" s="78">
        <v>506.59530783185068</v>
      </c>
      <c r="AH82" s="79">
        <v>607.91436939356947</v>
      </c>
      <c r="AI82" s="74">
        <v>303.95718469678474</v>
      </c>
      <c r="AJ82" s="75">
        <v>0</v>
      </c>
      <c r="AK82" s="75">
        <v>0</v>
      </c>
      <c r="AL82" s="80">
        <v>303.95718469678474</v>
      </c>
      <c r="AM82" s="74">
        <v>0</v>
      </c>
      <c r="AN82" s="74">
        <v>0</v>
      </c>
      <c r="AO82" s="81" t="s">
        <v>403</v>
      </c>
      <c r="AP82" s="82">
        <v>0</v>
      </c>
      <c r="AQ82" s="75">
        <v>0</v>
      </c>
      <c r="AR82" s="75">
        <v>0</v>
      </c>
      <c r="AS82" s="80">
        <v>0</v>
      </c>
      <c r="AT82" s="74">
        <v>10.334544279667423</v>
      </c>
      <c r="AU82" s="75">
        <v>15.24851876504448</v>
      </c>
      <c r="AV82" s="75">
        <v>20.061174190359903</v>
      </c>
      <c r="AW82" s="75">
        <v>9.4632003502529223</v>
      </c>
      <c r="AX82" s="80">
        <v>55.107437585324732</v>
      </c>
      <c r="AY82" s="81">
        <v>0</v>
      </c>
      <c r="AZ82" s="83" t="s">
        <v>403</v>
      </c>
      <c r="BA82" s="80" t="s">
        <v>403</v>
      </c>
      <c r="BB82" s="84">
        <v>167.59185974010114</v>
      </c>
      <c r="BC82" s="85">
        <v>8.3540404041072982</v>
      </c>
      <c r="BD82" s="86">
        <v>0.33082000000625411</v>
      </c>
      <c r="BE82" s="84">
        <v>177.05506009035406</v>
      </c>
      <c r="BF82" s="87">
        <v>5.9969114619787298</v>
      </c>
      <c r="BG82" s="88">
        <v>0.34950000000616321</v>
      </c>
      <c r="BH82" s="89">
        <v>0</v>
      </c>
      <c r="BI82" s="90">
        <v>0.59999999999540921</v>
      </c>
      <c r="BJ82" s="90">
        <v>0.10877999999876828</v>
      </c>
      <c r="BK82" s="91">
        <v>0.70877999999417751</v>
      </c>
      <c r="BL82" s="92">
        <v>147.53068554974124</v>
      </c>
      <c r="BM82" s="95">
        <v>0</v>
      </c>
      <c r="BN82" t="s">
        <v>402</v>
      </c>
      <c r="BO82">
        <v>0.85994999999999999</v>
      </c>
    </row>
    <row r="83" spans="1:67">
      <c r="A83" s="61" t="str">
        <f t="shared" si="1"/>
        <v>UK</v>
      </c>
      <c r="B83" s="62" t="s">
        <v>64</v>
      </c>
      <c r="C83" s="62" t="s">
        <v>176</v>
      </c>
      <c r="D83" s="63" t="s">
        <v>97</v>
      </c>
      <c r="E83" s="64">
        <v>43831</v>
      </c>
      <c r="F83" s="64">
        <v>43921</v>
      </c>
      <c r="G83" s="65">
        <v>43995</v>
      </c>
      <c r="H83" s="66" t="s">
        <v>132</v>
      </c>
      <c r="I83" s="67">
        <v>3</v>
      </c>
      <c r="J83" s="68">
        <v>2020</v>
      </c>
      <c r="K83" s="69">
        <v>1</v>
      </c>
      <c r="L83" s="70">
        <v>3</v>
      </c>
      <c r="M83" s="71" t="s">
        <v>140</v>
      </c>
      <c r="N83" s="71" t="s">
        <v>18</v>
      </c>
      <c r="O83" s="71" t="s">
        <v>114</v>
      </c>
      <c r="P83" s="71" t="s">
        <v>102</v>
      </c>
      <c r="Q83" s="61" t="s">
        <v>474</v>
      </c>
      <c r="R83" s="63" t="s">
        <v>165</v>
      </c>
      <c r="S83" s="72" t="s">
        <v>543</v>
      </c>
      <c r="T83" s="61" t="s">
        <v>405</v>
      </c>
      <c r="U83" s="73" t="s">
        <v>562</v>
      </c>
      <c r="V83" s="62">
        <v>107124</v>
      </c>
      <c r="W83" s="62" t="s">
        <v>556</v>
      </c>
      <c r="X83" s="62" t="s">
        <v>402</v>
      </c>
      <c r="Y83" s="93">
        <v>1</v>
      </c>
      <c r="Z83" s="94">
        <v>1</v>
      </c>
      <c r="AA83" s="74">
        <v>0</v>
      </c>
      <c r="AB83" s="75">
        <v>0</v>
      </c>
      <c r="AC83" s="75">
        <v>0</v>
      </c>
      <c r="AD83" s="76">
        <v>0</v>
      </c>
      <c r="AE83" s="77">
        <v>32.652083333</v>
      </c>
      <c r="AF83" s="75">
        <v>76.891666666999996</v>
      </c>
      <c r="AG83" s="78">
        <v>551.81894779929064</v>
      </c>
      <c r="AH83" s="79">
        <v>662.18273736845163</v>
      </c>
      <c r="AI83" s="74">
        <v>331.09136868422581</v>
      </c>
      <c r="AJ83" s="75">
        <v>0</v>
      </c>
      <c r="AK83" s="75">
        <v>0</v>
      </c>
      <c r="AL83" s="80">
        <v>331.09136868422581</v>
      </c>
      <c r="AM83" s="74">
        <v>0</v>
      </c>
      <c r="AN83" s="74">
        <v>0</v>
      </c>
      <c r="AO83" s="81" t="s">
        <v>403</v>
      </c>
      <c r="AP83" s="82">
        <v>0</v>
      </c>
      <c r="AQ83" s="75">
        <v>0</v>
      </c>
      <c r="AR83" s="75">
        <v>0</v>
      </c>
      <c r="AS83" s="80">
        <v>0</v>
      </c>
      <c r="AT83" s="74">
        <v>11.257106535147392</v>
      </c>
      <c r="AU83" s="75">
        <v>16.609750328507474</v>
      </c>
      <c r="AV83" s="75">
        <v>21.852030333158908</v>
      </c>
      <c r="AW83" s="75">
        <v>10.307977944996802</v>
      </c>
      <c r="AX83" s="80">
        <v>60.026865141810575</v>
      </c>
      <c r="AY83" s="81">
        <v>0</v>
      </c>
      <c r="AZ83" s="83" t="s">
        <v>403</v>
      </c>
      <c r="BA83" s="80" t="s">
        <v>403</v>
      </c>
      <c r="BB83" s="84">
        <v>182.55274430641316</v>
      </c>
      <c r="BC83" s="85">
        <v>8.3540404037149028</v>
      </c>
      <c r="BD83" s="86">
        <v>0.33081999999175787</v>
      </c>
      <c r="BE83" s="84">
        <v>192.86072225140998</v>
      </c>
      <c r="BF83" s="87">
        <v>5.9969114616928838</v>
      </c>
      <c r="BG83" s="88">
        <v>0.34949999999195008</v>
      </c>
      <c r="BH83" s="89">
        <v>0</v>
      </c>
      <c r="BI83" s="90">
        <v>0.60000000000842924</v>
      </c>
      <c r="BJ83" s="90">
        <v>0.10878000000036921</v>
      </c>
      <c r="BK83" s="91">
        <v>0.70878000000879848</v>
      </c>
      <c r="BL83" s="92">
        <v>160.70071397325427</v>
      </c>
      <c r="BM83" s="95">
        <v>0</v>
      </c>
      <c r="BN83" t="s">
        <v>402</v>
      </c>
      <c r="BO83">
        <v>0.85994999999999999</v>
      </c>
    </row>
    <row r="84" spans="1:67">
      <c r="A84" s="61" t="str">
        <f t="shared" si="1"/>
        <v>UK</v>
      </c>
      <c r="B84" s="62" t="s">
        <v>64</v>
      </c>
      <c r="C84" s="62" t="s">
        <v>176</v>
      </c>
      <c r="D84" s="63" t="s">
        <v>97</v>
      </c>
      <c r="E84" s="64">
        <v>43831</v>
      </c>
      <c r="F84" s="64">
        <v>43921</v>
      </c>
      <c r="G84" s="65">
        <v>43995</v>
      </c>
      <c r="H84" s="66" t="s">
        <v>132</v>
      </c>
      <c r="I84" s="67">
        <v>3</v>
      </c>
      <c r="J84" s="68">
        <v>2020</v>
      </c>
      <c r="K84" s="69">
        <v>1</v>
      </c>
      <c r="L84" s="70">
        <v>3</v>
      </c>
      <c r="M84" s="71" t="s">
        <v>140</v>
      </c>
      <c r="N84" s="71" t="s">
        <v>18</v>
      </c>
      <c r="O84" s="71" t="s">
        <v>114</v>
      </c>
      <c r="P84" s="71" t="s">
        <v>102</v>
      </c>
      <c r="Q84" s="61" t="s">
        <v>474</v>
      </c>
      <c r="R84" s="63" t="s">
        <v>165</v>
      </c>
      <c r="S84" s="72" t="s">
        <v>543</v>
      </c>
      <c r="T84" s="61" t="s">
        <v>405</v>
      </c>
      <c r="U84" s="73" t="s">
        <v>563</v>
      </c>
      <c r="V84" s="62">
        <v>107134</v>
      </c>
      <c r="W84" s="62" t="s">
        <v>556</v>
      </c>
      <c r="X84" s="62" t="s">
        <v>402</v>
      </c>
      <c r="Y84" s="93">
        <v>1</v>
      </c>
      <c r="Z84" s="94">
        <v>1</v>
      </c>
      <c r="AA84" s="74">
        <v>0</v>
      </c>
      <c r="AB84" s="75">
        <v>0</v>
      </c>
      <c r="AC84" s="75">
        <v>0</v>
      </c>
      <c r="AD84" s="76">
        <v>0</v>
      </c>
      <c r="AE84" s="77">
        <v>0.92213114750000003</v>
      </c>
      <c r="AF84" s="75">
        <v>1.4754098361000001</v>
      </c>
      <c r="AG84" s="78">
        <v>97.504953707773709</v>
      </c>
      <c r="AH84" s="79">
        <v>117.00594445025872</v>
      </c>
      <c r="AI84" s="74">
        <v>58.502972225129362</v>
      </c>
      <c r="AJ84" s="75">
        <v>0</v>
      </c>
      <c r="AK84" s="75">
        <v>0</v>
      </c>
      <c r="AL84" s="80">
        <v>58.502972225129362</v>
      </c>
      <c r="AM84" s="74">
        <v>0</v>
      </c>
      <c r="AN84" s="74">
        <v>0</v>
      </c>
      <c r="AO84" s="81" t="s">
        <v>403</v>
      </c>
      <c r="AP84" s="82">
        <v>0</v>
      </c>
      <c r="AQ84" s="75">
        <v>0</v>
      </c>
      <c r="AR84" s="75">
        <v>0</v>
      </c>
      <c r="AS84" s="80">
        <v>0</v>
      </c>
      <c r="AT84" s="74">
        <v>1.98910105564277</v>
      </c>
      <c r="AU84" s="75">
        <v>2.9348991065759633</v>
      </c>
      <c r="AV84" s="75">
        <v>3.8611961668701671</v>
      </c>
      <c r="AW84" s="75">
        <v>1.8213925352636782</v>
      </c>
      <c r="AX84" s="80">
        <v>10.606588864352579</v>
      </c>
      <c r="AY84" s="81">
        <v>0</v>
      </c>
      <c r="AZ84" s="83" t="s">
        <v>403</v>
      </c>
      <c r="BA84" s="80" t="s">
        <v>403</v>
      </c>
      <c r="BB84" s="84">
        <v>32.256588785161938</v>
      </c>
      <c r="BC84" s="85">
        <v>8.3540404038338956</v>
      </c>
      <c r="BD84" s="86">
        <v>0.33081999999544887</v>
      </c>
      <c r="BE84" s="84">
        <v>34.077981320425614</v>
      </c>
      <c r="BF84" s="87">
        <v>5.9969114617831014</v>
      </c>
      <c r="BG84" s="88">
        <v>0.3494999999954741</v>
      </c>
      <c r="BH84" s="89">
        <v>0</v>
      </c>
      <c r="BI84" s="90">
        <v>0.60000000000477038</v>
      </c>
      <c r="BJ84" s="90">
        <v>0.10878000000021491</v>
      </c>
      <c r="BK84" s="91">
        <v>0.70878000000498531</v>
      </c>
      <c r="BL84" s="92">
        <v>28.395392618291766</v>
      </c>
      <c r="BM84" s="95">
        <v>0</v>
      </c>
      <c r="BN84" t="s">
        <v>402</v>
      </c>
      <c r="BO84">
        <v>0.85994999999999999</v>
      </c>
    </row>
    <row r="85" spans="1:67">
      <c r="A85" s="61" t="str">
        <f t="shared" si="1"/>
        <v>UK</v>
      </c>
      <c r="B85" s="62" t="s">
        <v>64</v>
      </c>
      <c r="C85" s="62" t="s">
        <v>176</v>
      </c>
      <c r="D85" s="63" t="s">
        <v>97</v>
      </c>
      <c r="E85" s="64">
        <v>43831</v>
      </c>
      <c r="F85" s="64">
        <v>43921</v>
      </c>
      <c r="G85" s="65">
        <v>43995</v>
      </c>
      <c r="H85" s="66" t="s">
        <v>132</v>
      </c>
      <c r="I85" s="67">
        <v>3</v>
      </c>
      <c r="J85" s="68">
        <v>2020</v>
      </c>
      <c r="K85" s="69">
        <v>1</v>
      </c>
      <c r="L85" s="70">
        <v>3</v>
      </c>
      <c r="M85" s="71" t="s">
        <v>140</v>
      </c>
      <c r="N85" s="71" t="s">
        <v>18</v>
      </c>
      <c r="O85" s="71" t="s">
        <v>114</v>
      </c>
      <c r="P85" s="71" t="s">
        <v>102</v>
      </c>
      <c r="Q85" s="61" t="s">
        <v>474</v>
      </c>
      <c r="R85" s="63" t="s">
        <v>165</v>
      </c>
      <c r="S85" s="72" t="s">
        <v>543</v>
      </c>
      <c r="T85" s="61" t="s">
        <v>405</v>
      </c>
      <c r="U85" s="73" t="s">
        <v>564</v>
      </c>
      <c r="V85" s="62">
        <v>107131</v>
      </c>
      <c r="W85" s="62" t="s">
        <v>556</v>
      </c>
      <c r="X85" s="62" t="s">
        <v>402</v>
      </c>
      <c r="Y85" s="93">
        <v>1</v>
      </c>
      <c r="Z85" s="94">
        <v>1</v>
      </c>
      <c r="AA85" s="74">
        <v>0</v>
      </c>
      <c r="AB85" s="75">
        <v>0</v>
      </c>
      <c r="AC85" s="75">
        <v>0</v>
      </c>
      <c r="AD85" s="76">
        <v>0</v>
      </c>
      <c r="AE85" s="77">
        <v>10.083333333000001</v>
      </c>
      <c r="AF85" s="75">
        <v>18.866666667000001</v>
      </c>
      <c r="AG85" s="78">
        <v>269.84603530437818</v>
      </c>
      <c r="AH85" s="79">
        <v>323.81524236292807</v>
      </c>
      <c r="AI85" s="74">
        <v>161.90762117564975</v>
      </c>
      <c r="AJ85" s="75">
        <v>0</v>
      </c>
      <c r="AK85" s="75">
        <v>0</v>
      </c>
      <c r="AL85" s="80">
        <v>161.90762117564975</v>
      </c>
      <c r="AM85" s="74">
        <v>0</v>
      </c>
      <c r="AN85" s="74">
        <v>0</v>
      </c>
      <c r="AO85" s="81" t="s">
        <v>403</v>
      </c>
      <c r="AP85" s="82">
        <v>0</v>
      </c>
      <c r="AQ85" s="75">
        <v>0</v>
      </c>
      <c r="AR85" s="75">
        <v>0</v>
      </c>
      <c r="AS85" s="80">
        <v>0</v>
      </c>
      <c r="AT85" s="74">
        <v>5.5048591201814059</v>
      </c>
      <c r="AU85" s="75">
        <v>8.1223656625385203</v>
      </c>
      <c r="AV85" s="75">
        <v>10.685902997848713</v>
      </c>
      <c r="AW85" s="75">
        <v>5.0407239394150825</v>
      </c>
      <c r="AX85" s="80">
        <v>29.353851719983723</v>
      </c>
      <c r="AY85" s="81">
        <v>0</v>
      </c>
      <c r="AZ85" s="83" t="s">
        <v>403</v>
      </c>
      <c r="BA85" s="80" t="s">
        <v>403</v>
      </c>
      <c r="BB85" s="84">
        <v>89.270465406593416</v>
      </c>
      <c r="BC85" s="85">
        <v>8.3540404048740999</v>
      </c>
      <c r="BD85" s="86">
        <v>0.33082000002667827</v>
      </c>
      <c r="BE85" s="84">
        <v>94.31118934600849</v>
      </c>
      <c r="BF85" s="87">
        <v>5.9969114624662971</v>
      </c>
      <c r="BG85" s="88">
        <v>0.34950000002641624</v>
      </c>
      <c r="BH85" s="89">
        <v>0</v>
      </c>
      <c r="BI85" s="90">
        <v>0.59999999997414399</v>
      </c>
      <c r="BJ85" s="90">
        <v>0.10877999999841934</v>
      </c>
      <c r="BK85" s="91">
        <v>0.70877999997256336</v>
      </c>
      <c r="BL85" s="92">
        <v>78.584562408744716</v>
      </c>
      <c r="BM85" s="95">
        <v>0</v>
      </c>
      <c r="BN85" t="s">
        <v>402</v>
      </c>
      <c r="BO85">
        <v>0.85994999999999999</v>
      </c>
    </row>
    <row r="86" spans="1:67">
      <c r="A86" s="61" t="str">
        <f t="shared" si="1"/>
        <v>UK</v>
      </c>
      <c r="B86" s="62" t="s">
        <v>64</v>
      </c>
      <c r="C86" s="62" t="s">
        <v>176</v>
      </c>
      <c r="D86" s="63" t="s">
        <v>97</v>
      </c>
      <c r="E86" s="64">
        <v>43831</v>
      </c>
      <c r="F86" s="64">
        <v>43921</v>
      </c>
      <c r="G86" s="65">
        <v>43995</v>
      </c>
      <c r="H86" s="66" t="s">
        <v>132</v>
      </c>
      <c r="I86" s="67">
        <v>3</v>
      </c>
      <c r="J86" s="68">
        <v>2020</v>
      </c>
      <c r="K86" s="69">
        <v>1</v>
      </c>
      <c r="L86" s="70">
        <v>3</v>
      </c>
      <c r="M86" s="71" t="s">
        <v>140</v>
      </c>
      <c r="N86" s="71" t="s">
        <v>18</v>
      </c>
      <c r="O86" s="71" t="s">
        <v>114</v>
      </c>
      <c r="P86" s="71" t="s">
        <v>102</v>
      </c>
      <c r="Q86" s="61" t="s">
        <v>474</v>
      </c>
      <c r="R86" s="63" t="s">
        <v>165</v>
      </c>
      <c r="S86" s="72" t="s">
        <v>543</v>
      </c>
      <c r="T86" s="61" t="s">
        <v>405</v>
      </c>
      <c r="U86" s="73" t="s">
        <v>565</v>
      </c>
      <c r="V86" s="62">
        <v>107128</v>
      </c>
      <c r="W86" s="62" t="s">
        <v>556</v>
      </c>
      <c r="X86" s="62" t="s">
        <v>402</v>
      </c>
      <c r="Y86" s="93">
        <v>1</v>
      </c>
      <c r="Z86" s="94">
        <v>1</v>
      </c>
      <c r="AA86" s="74">
        <v>0</v>
      </c>
      <c r="AB86" s="75">
        <v>0</v>
      </c>
      <c r="AC86" s="75">
        <v>0</v>
      </c>
      <c r="AD86" s="76">
        <v>0</v>
      </c>
      <c r="AE86" s="77">
        <v>0.2481248596</v>
      </c>
      <c r="AF86" s="75">
        <v>0.2481248596</v>
      </c>
      <c r="AG86" s="78">
        <v>10.057549591487877</v>
      </c>
      <c r="AH86" s="79">
        <v>12.069059509273796</v>
      </c>
      <c r="AI86" s="74">
        <v>6.0345297548694692</v>
      </c>
      <c r="AJ86" s="75">
        <v>0</v>
      </c>
      <c r="AK86" s="75">
        <v>0</v>
      </c>
      <c r="AL86" s="80">
        <v>6.0345297548694692</v>
      </c>
      <c r="AM86" s="74">
        <v>0</v>
      </c>
      <c r="AN86" s="74">
        <v>0</v>
      </c>
      <c r="AO86" s="81" t="s">
        <v>403</v>
      </c>
      <c r="AP86" s="82">
        <v>0</v>
      </c>
      <c r="AQ86" s="75">
        <v>0</v>
      </c>
      <c r="AR86" s="75">
        <v>0</v>
      </c>
      <c r="AS86" s="80">
        <v>0</v>
      </c>
      <c r="AT86" s="74">
        <v>0.20517401162858306</v>
      </c>
      <c r="AU86" s="75">
        <v>0.30273224268852839</v>
      </c>
      <c r="AV86" s="75">
        <v>0.39827896377696376</v>
      </c>
      <c r="AW86" s="75">
        <v>0.18787502633874062</v>
      </c>
      <c r="AX86" s="80">
        <v>1.0940602444328158</v>
      </c>
      <c r="AY86" s="81">
        <v>0</v>
      </c>
      <c r="AZ86" s="83" t="s">
        <v>403</v>
      </c>
      <c r="BA86" s="80" t="s">
        <v>403</v>
      </c>
      <c r="BB86" s="84">
        <v>3.3272385559625555</v>
      </c>
      <c r="BC86" s="85">
        <v>8.3540404052718422</v>
      </c>
      <c r="BD86" s="86">
        <v>0.33082000001059264</v>
      </c>
      <c r="BE86" s="84">
        <v>3.5151135823012964</v>
      </c>
      <c r="BF86" s="87">
        <v>5.9969114628178639</v>
      </c>
      <c r="BG86" s="88">
        <v>0.34950000000758469</v>
      </c>
      <c r="BH86" s="89">
        <v>0</v>
      </c>
      <c r="BI86" s="90">
        <v>0.59999999999768761</v>
      </c>
      <c r="BJ86" s="90">
        <v>0.10877999998715041</v>
      </c>
      <c r="BK86" s="91">
        <v>0.70877999998483798</v>
      </c>
      <c r="BL86" s="92">
        <v>2.928959592185592</v>
      </c>
      <c r="BM86" s="95">
        <v>0</v>
      </c>
      <c r="BN86" t="s">
        <v>402</v>
      </c>
      <c r="BO86">
        <v>0.85994999999999999</v>
      </c>
    </row>
    <row r="87" spans="1:67">
      <c r="A87" s="61" t="str">
        <f t="shared" si="1"/>
        <v>UK</v>
      </c>
      <c r="B87" s="62" t="s">
        <v>64</v>
      </c>
      <c r="C87" s="62" t="s">
        <v>176</v>
      </c>
      <c r="D87" s="63" t="s">
        <v>97</v>
      </c>
      <c r="E87" s="64">
        <v>43831</v>
      </c>
      <c r="F87" s="64">
        <v>43921</v>
      </c>
      <c r="G87" s="65">
        <v>43995</v>
      </c>
      <c r="H87" s="66" t="s">
        <v>132</v>
      </c>
      <c r="I87" s="67">
        <v>3</v>
      </c>
      <c r="J87" s="68">
        <v>2020</v>
      </c>
      <c r="K87" s="69">
        <v>1</v>
      </c>
      <c r="L87" s="70">
        <v>3</v>
      </c>
      <c r="M87" s="71" t="s">
        <v>140</v>
      </c>
      <c r="N87" s="71" t="s">
        <v>18</v>
      </c>
      <c r="O87" s="71" t="s">
        <v>114</v>
      </c>
      <c r="P87" s="71" t="s">
        <v>102</v>
      </c>
      <c r="Q87" s="61" t="s">
        <v>474</v>
      </c>
      <c r="R87" s="63" t="s">
        <v>165</v>
      </c>
      <c r="S87" s="72" t="s">
        <v>543</v>
      </c>
      <c r="T87" s="61" t="s">
        <v>405</v>
      </c>
      <c r="U87" s="73" t="s">
        <v>566</v>
      </c>
      <c r="V87" s="62">
        <v>107125</v>
      </c>
      <c r="W87" s="62" t="s">
        <v>556</v>
      </c>
      <c r="X87" s="62" t="s">
        <v>402</v>
      </c>
      <c r="Y87" s="93">
        <v>1</v>
      </c>
      <c r="Z87" s="94">
        <v>1</v>
      </c>
      <c r="AA87" s="74">
        <v>0</v>
      </c>
      <c r="AB87" s="75">
        <v>0</v>
      </c>
      <c r="AC87" s="75">
        <v>0</v>
      </c>
      <c r="AD87" s="76">
        <v>0</v>
      </c>
      <c r="AE87" s="77">
        <v>5.7827380952</v>
      </c>
      <c r="AF87" s="75">
        <v>11.524404762</v>
      </c>
      <c r="AG87" s="78">
        <v>145.50508887726031</v>
      </c>
      <c r="AH87" s="79">
        <v>174.6061066457352</v>
      </c>
      <c r="AI87" s="74">
        <v>87.303053325193332</v>
      </c>
      <c r="AJ87" s="75">
        <v>0</v>
      </c>
      <c r="AK87" s="75">
        <v>0</v>
      </c>
      <c r="AL87" s="80">
        <v>87.303053325193332</v>
      </c>
      <c r="AM87" s="74">
        <v>0</v>
      </c>
      <c r="AN87" s="74">
        <v>0</v>
      </c>
      <c r="AO87" s="81" t="s">
        <v>403</v>
      </c>
      <c r="AP87" s="82">
        <v>0</v>
      </c>
      <c r="AQ87" s="75">
        <v>0</v>
      </c>
      <c r="AR87" s="75">
        <v>0</v>
      </c>
      <c r="AS87" s="80">
        <v>0</v>
      </c>
      <c r="AT87" s="74">
        <v>2.9683038130123847</v>
      </c>
      <c r="AU87" s="75">
        <v>4.3797031751846038</v>
      </c>
      <c r="AV87" s="75">
        <v>5.7620015195069474</v>
      </c>
      <c r="AW87" s="75">
        <v>2.7180350601779173</v>
      </c>
      <c r="AX87" s="80">
        <v>15.828043567881853</v>
      </c>
      <c r="AY87" s="81">
        <v>0</v>
      </c>
      <c r="AZ87" s="83" t="s">
        <v>403</v>
      </c>
      <c r="BA87" s="80" t="s">
        <v>403</v>
      </c>
      <c r="BB87" s="84">
        <v>48.135993503692077</v>
      </c>
      <c r="BC87" s="85">
        <v>8.354040404316148</v>
      </c>
      <c r="BD87" s="86">
        <v>0.33082000000904999</v>
      </c>
      <c r="BE87" s="84">
        <v>50.854028563869988</v>
      </c>
      <c r="BF87" s="87">
        <v>5.9969114621153947</v>
      </c>
      <c r="BG87" s="88">
        <v>0.34950000000871112</v>
      </c>
      <c r="BH87" s="89">
        <v>0</v>
      </c>
      <c r="BI87" s="90">
        <v>0.59999999999200815</v>
      </c>
      <c r="BJ87" s="90">
        <v>0.1087799999987181</v>
      </c>
      <c r="BK87" s="91">
        <v>0.70877999999072627</v>
      </c>
      <c r="BL87" s="92">
        <v>42.373991984185125</v>
      </c>
      <c r="BM87" s="95">
        <v>0</v>
      </c>
      <c r="BN87" t="s">
        <v>402</v>
      </c>
      <c r="BO87">
        <v>0.85994999999999999</v>
      </c>
    </row>
    <row r="88" spans="1:67">
      <c r="A88" s="61" t="str">
        <f t="shared" si="1"/>
        <v>UK</v>
      </c>
      <c r="B88" s="62" t="s">
        <v>64</v>
      </c>
      <c r="C88" s="62" t="s">
        <v>176</v>
      </c>
      <c r="D88" s="63" t="s">
        <v>97</v>
      </c>
      <c r="E88" s="64">
        <v>43831</v>
      </c>
      <c r="F88" s="64">
        <v>43921</v>
      </c>
      <c r="G88" s="65">
        <v>43995</v>
      </c>
      <c r="H88" s="66" t="s">
        <v>132</v>
      </c>
      <c r="I88" s="67">
        <v>3</v>
      </c>
      <c r="J88" s="68">
        <v>2020</v>
      </c>
      <c r="K88" s="69">
        <v>1</v>
      </c>
      <c r="L88" s="70">
        <v>3</v>
      </c>
      <c r="M88" s="71" t="s">
        <v>140</v>
      </c>
      <c r="N88" s="71" t="s">
        <v>18</v>
      </c>
      <c r="O88" s="71" t="s">
        <v>114</v>
      </c>
      <c r="P88" s="71" t="s">
        <v>102</v>
      </c>
      <c r="Q88" s="61" t="s">
        <v>474</v>
      </c>
      <c r="R88" s="63" t="s">
        <v>165</v>
      </c>
      <c r="S88" s="72" t="s">
        <v>543</v>
      </c>
      <c r="T88" s="61" t="s">
        <v>405</v>
      </c>
      <c r="U88" s="73" t="s">
        <v>567</v>
      </c>
      <c r="V88" s="62">
        <v>106915</v>
      </c>
      <c r="W88" s="62" t="s">
        <v>568</v>
      </c>
      <c r="X88" s="62" t="s">
        <v>402</v>
      </c>
      <c r="Y88" s="93">
        <v>1</v>
      </c>
      <c r="Z88" s="94">
        <v>1</v>
      </c>
      <c r="AA88" s="74">
        <v>0</v>
      </c>
      <c r="AB88" s="75">
        <v>0</v>
      </c>
      <c r="AC88" s="75">
        <v>0</v>
      </c>
      <c r="AD88" s="76">
        <v>0</v>
      </c>
      <c r="AE88" s="77">
        <v>34.129546959999999</v>
      </c>
      <c r="AF88" s="75">
        <v>34.129546959999999</v>
      </c>
      <c r="AG88" s="78">
        <v>2782.289974533403</v>
      </c>
      <c r="AH88" s="79">
        <v>3338.7479694168269</v>
      </c>
      <c r="AI88" s="74">
        <v>1669.3739847665561</v>
      </c>
      <c r="AJ88" s="75">
        <v>0</v>
      </c>
      <c r="AK88" s="75">
        <v>0</v>
      </c>
      <c r="AL88" s="80">
        <v>1669.3739847665561</v>
      </c>
      <c r="AM88" s="74">
        <v>0</v>
      </c>
      <c r="AN88" s="74">
        <v>0</v>
      </c>
      <c r="AO88" s="81" t="s">
        <v>403</v>
      </c>
      <c r="AP88" s="82">
        <v>0</v>
      </c>
      <c r="AQ88" s="75">
        <v>0</v>
      </c>
      <c r="AR88" s="75">
        <v>0</v>
      </c>
      <c r="AS88" s="80">
        <v>0</v>
      </c>
      <c r="AT88" s="74">
        <v>56.758715479969766</v>
      </c>
      <c r="AU88" s="75">
        <v>83.746928233036797</v>
      </c>
      <c r="AV88" s="75">
        <v>110.17868299087156</v>
      </c>
      <c r="AW88" s="75">
        <v>51.973176724228153</v>
      </c>
      <c r="AX88" s="80">
        <v>302.65750342810628</v>
      </c>
      <c r="AY88" s="81">
        <v>0</v>
      </c>
      <c r="AZ88" s="83" t="s">
        <v>403</v>
      </c>
      <c r="BA88" s="80" t="s">
        <v>403</v>
      </c>
      <c r="BB88" s="84">
        <v>920.43716932961206</v>
      </c>
      <c r="BC88" s="85">
        <v>8.3540404036765565</v>
      </c>
      <c r="BD88" s="86">
        <v>0.33081999998363637</v>
      </c>
      <c r="BE88" s="84">
        <v>972.41034605384016</v>
      </c>
      <c r="BF88" s="87">
        <v>5.9969114616530579</v>
      </c>
      <c r="BG88" s="88">
        <v>0.34949999998361631</v>
      </c>
      <c r="BH88" s="89">
        <v>0</v>
      </c>
      <c r="BI88" s="90">
        <v>0.60000000001671794</v>
      </c>
      <c r="BJ88" s="90">
        <v>0.10877999999941153</v>
      </c>
      <c r="BK88" s="91">
        <v>0.70878000001612951</v>
      </c>
      <c r="BL88" s="92">
        <v>810.25848633874057</v>
      </c>
      <c r="BM88" s="95">
        <v>0</v>
      </c>
      <c r="BN88" t="s">
        <v>402</v>
      </c>
      <c r="BO88">
        <v>0.85994999999999999</v>
      </c>
    </row>
    <row r="89" spans="1:67">
      <c r="A89" s="61" t="str">
        <f t="shared" si="1"/>
        <v>UK</v>
      </c>
      <c r="B89" s="62" t="s">
        <v>64</v>
      </c>
      <c r="C89" s="62" t="s">
        <v>176</v>
      </c>
      <c r="D89" s="63" t="s">
        <v>97</v>
      </c>
      <c r="E89" s="64">
        <v>43831</v>
      </c>
      <c r="F89" s="64">
        <v>43921</v>
      </c>
      <c r="G89" s="65">
        <v>43995</v>
      </c>
      <c r="H89" s="66" t="s">
        <v>132</v>
      </c>
      <c r="I89" s="67">
        <v>3</v>
      </c>
      <c r="J89" s="68">
        <v>2020</v>
      </c>
      <c r="K89" s="69">
        <v>1</v>
      </c>
      <c r="L89" s="70">
        <v>3</v>
      </c>
      <c r="M89" s="71" t="s">
        <v>140</v>
      </c>
      <c r="N89" s="71" t="s">
        <v>18</v>
      </c>
      <c r="O89" s="71" t="s">
        <v>114</v>
      </c>
      <c r="P89" s="71" t="s">
        <v>102</v>
      </c>
      <c r="Q89" s="61" t="s">
        <v>474</v>
      </c>
      <c r="R89" s="63" t="s">
        <v>112</v>
      </c>
      <c r="S89" s="72" t="s">
        <v>543</v>
      </c>
      <c r="T89" s="61" t="s">
        <v>405</v>
      </c>
      <c r="U89" s="73" t="s">
        <v>569</v>
      </c>
      <c r="V89" s="62">
        <v>107595</v>
      </c>
      <c r="W89" s="62" t="s">
        <v>464</v>
      </c>
      <c r="X89" s="62" t="s">
        <v>402</v>
      </c>
      <c r="Y89" s="93">
        <v>1</v>
      </c>
      <c r="Z89" s="94">
        <v>1</v>
      </c>
      <c r="AA89" s="74">
        <v>0</v>
      </c>
      <c r="AB89" s="75">
        <v>0</v>
      </c>
      <c r="AC89" s="75">
        <v>0</v>
      </c>
      <c r="AD89" s="76">
        <v>0</v>
      </c>
      <c r="AE89" s="77">
        <v>237.20311606000001</v>
      </c>
      <c r="AF89" s="75">
        <v>237.20311606000001</v>
      </c>
      <c r="AG89" s="78">
        <v>20004.515602069889</v>
      </c>
      <c r="AH89" s="79">
        <v>24005.418722018723</v>
      </c>
      <c r="AI89" s="74">
        <v>12002.709361009362</v>
      </c>
      <c r="AJ89" s="75">
        <v>0</v>
      </c>
      <c r="AK89" s="75">
        <v>0</v>
      </c>
      <c r="AL89" s="80">
        <v>12002.709361009362</v>
      </c>
      <c r="AM89" s="74">
        <v>0</v>
      </c>
      <c r="AN89" s="74">
        <v>0</v>
      </c>
      <c r="AO89" s="81" t="s">
        <v>403</v>
      </c>
      <c r="AP89" s="82">
        <v>0</v>
      </c>
      <c r="AQ89" s="75">
        <v>0</v>
      </c>
      <c r="AR89" s="75">
        <v>0</v>
      </c>
      <c r="AS89" s="80">
        <v>0</v>
      </c>
      <c r="AT89" s="74">
        <v>408.09211828594687</v>
      </c>
      <c r="AU89" s="75">
        <v>602.13591962323403</v>
      </c>
      <c r="AV89" s="75">
        <v>792.17881783824646</v>
      </c>
      <c r="AW89" s="75">
        <v>373.68435145066576</v>
      </c>
      <c r="AX89" s="80">
        <v>2176.0912071980933</v>
      </c>
      <c r="AY89" s="81">
        <v>0</v>
      </c>
      <c r="AZ89" s="83" t="s">
        <v>403</v>
      </c>
      <c r="BA89" s="80" t="s">
        <v>403</v>
      </c>
      <c r="BB89" s="84">
        <v>6617.8938517006809</v>
      </c>
      <c r="BC89" s="85">
        <v>8.3540404043623102</v>
      </c>
      <c r="BD89" s="86">
        <v>0.33082000001119349</v>
      </c>
      <c r="BE89" s="84">
        <v>6991.5782031513463</v>
      </c>
      <c r="BF89" s="87">
        <v>5.9969114621020898</v>
      </c>
      <c r="BG89" s="88">
        <v>0.34950000001139342</v>
      </c>
      <c r="BH89" s="89">
        <v>0</v>
      </c>
      <c r="BI89" s="90">
        <v>0.59999999998837406</v>
      </c>
      <c r="BJ89" s="90">
        <v>0.10878000000024649</v>
      </c>
      <c r="BK89" s="91">
        <v>0.70877999998862051</v>
      </c>
      <c r="BL89" s="92">
        <v>5825.7150338624342</v>
      </c>
      <c r="BM89" s="95">
        <v>0</v>
      </c>
      <c r="BN89" t="s">
        <v>402</v>
      </c>
      <c r="BO89">
        <v>0.85994999999999999</v>
      </c>
    </row>
    <row r="90" spans="1:67">
      <c r="A90" s="61" t="str">
        <f t="shared" si="1"/>
        <v>UK</v>
      </c>
      <c r="B90" s="62" t="s">
        <v>64</v>
      </c>
      <c r="C90" s="62" t="s">
        <v>176</v>
      </c>
      <c r="D90" s="63" t="s">
        <v>97</v>
      </c>
      <c r="E90" s="64">
        <v>43831</v>
      </c>
      <c r="F90" s="64">
        <v>43921</v>
      </c>
      <c r="G90" s="65">
        <v>43995</v>
      </c>
      <c r="H90" s="66" t="s">
        <v>132</v>
      </c>
      <c r="I90" s="67">
        <v>3</v>
      </c>
      <c r="J90" s="68">
        <v>2020</v>
      </c>
      <c r="K90" s="69">
        <v>1</v>
      </c>
      <c r="L90" s="70">
        <v>3</v>
      </c>
      <c r="M90" s="71" t="s">
        <v>140</v>
      </c>
      <c r="N90" s="71" t="s">
        <v>18</v>
      </c>
      <c r="O90" s="71" t="s">
        <v>114</v>
      </c>
      <c r="P90" s="71" t="s">
        <v>102</v>
      </c>
      <c r="Q90" s="61" t="s">
        <v>171</v>
      </c>
      <c r="R90" s="63" t="s">
        <v>165</v>
      </c>
      <c r="S90" s="72" t="s">
        <v>570</v>
      </c>
      <c r="T90" s="61" t="s">
        <v>571</v>
      </c>
      <c r="U90" s="73" t="s">
        <v>572</v>
      </c>
      <c r="V90" s="62">
        <v>107968</v>
      </c>
      <c r="W90" s="62" t="s">
        <v>573</v>
      </c>
      <c r="X90" s="62" t="s">
        <v>402</v>
      </c>
      <c r="Y90" s="93">
        <v>1</v>
      </c>
      <c r="Z90" s="94">
        <v>1</v>
      </c>
      <c r="AA90" s="74">
        <v>494</v>
      </c>
      <c r="AB90" s="75">
        <v>1017</v>
      </c>
      <c r="AC90" s="75">
        <v>16579.45229373801</v>
      </c>
      <c r="AD90" s="76">
        <v>19895.342752485609</v>
      </c>
      <c r="AE90" s="77">
        <v>448.45257244999999</v>
      </c>
      <c r="AF90" s="75">
        <v>901.69872055999997</v>
      </c>
      <c r="AG90" s="78">
        <v>14262.103507180651</v>
      </c>
      <c r="AH90" s="79">
        <v>17114.524209547068</v>
      </c>
      <c r="AI90" s="74">
        <v>8842.5041747776031</v>
      </c>
      <c r="AJ90" s="75">
        <v>0</v>
      </c>
      <c r="AK90" s="75">
        <v>0</v>
      </c>
      <c r="AL90" s="80">
        <v>8842.5041747776031</v>
      </c>
      <c r="AM90" s="74">
        <v>1</v>
      </c>
      <c r="AN90" s="74">
        <v>0</v>
      </c>
      <c r="AO90" s="81">
        <v>0</v>
      </c>
      <c r="AP90" s="82">
        <v>9</v>
      </c>
      <c r="AQ90" s="75">
        <v>230.24594453165881</v>
      </c>
      <c r="AR90" s="75">
        <v>230.24594453165881</v>
      </c>
      <c r="AS90" s="80">
        <v>460.49188906331761</v>
      </c>
      <c r="AT90" s="74">
        <v>276.39956597476601</v>
      </c>
      <c r="AU90" s="75">
        <v>429.28931558811558</v>
      </c>
      <c r="AV90" s="75">
        <v>536.54033396127681</v>
      </c>
      <c r="AW90" s="75">
        <v>253.09528885400314</v>
      </c>
      <c r="AX90" s="80">
        <v>1495.3245043781617</v>
      </c>
      <c r="AY90" s="81">
        <v>9.9811608853238136E-3</v>
      </c>
      <c r="AZ90" s="83">
        <v>51.165765451479736</v>
      </c>
      <c r="BA90" s="80">
        <v>0.51069373679196206</v>
      </c>
      <c r="BB90" s="84">
        <v>4000.3232729228457</v>
      </c>
      <c r="BC90" s="85">
        <v>7.4557736291481804</v>
      </c>
      <c r="BD90" s="86">
        <v>0.28048620393960627</v>
      </c>
      <c r="BE90" s="84">
        <v>4253.4185617768489</v>
      </c>
      <c r="BF90" s="87">
        <v>5.3865586086556974</v>
      </c>
      <c r="BG90" s="88">
        <v>0.29823220394069833</v>
      </c>
      <c r="BH90" s="89">
        <v>3.2287796034537977E-2</v>
      </c>
      <c r="BI90" s="90">
        <v>0.62000000002282973</v>
      </c>
      <c r="BJ90" s="90">
        <v>0.10484600000450839</v>
      </c>
      <c r="BK90" s="91">
        <v>0.75713379606187614</v>
      </c>
      <c r="BL90" s="92">
        <v>3463.782938961569</v>
      </c>
      <c r="BM90" s="95">
        <v>0</v>
      </c>
      <c r="BN90" t="s">
        <v>402</v>
      </c>
      <c r="BO90">
        <v>0.85994999999999999</v>
      </c>
    </row>
    <row r="91" spans="1:67">
      <c r="A91" s="61" t="str">
        <f t="shared" si="1"/>
        <v>UK</v>
      </c>
      <c r="B91" s="62" t="s">
        <v>64</v>
      </c>
      <c r="C91" s="62" t="s">
        <v>176</v>
      </c>
      <c r="D91" s="63" t="s">
        <v>97</v>
      </c>
      <c r="E91" s="64">
        <v>43831</v>
      </c>
      <c r="F91" s="64">
        <v>43921</v>
      </c>
      <c r="G91" s="65">
        <v>43995</v>
      </c>
      <c r="H91" s="66" t="s">
        <v>132</v>
      </c>
      <c r="I91" s="67">
        <v>3</v>
      </c>
      <c r="J91" s="68">
        <v>2020</v>
      </c>
      <c r="K91" s="69">
        <v>1</v>
      </c>
      <c r="L91" s="70">
        <v>3</v>
      </c>
      <c r="M91" s="71" t="s">
        <v>140</v>
      </c>
      <c r="N91" s="71" t="s">
        <v>18</v>
      </c>
      <c r="O91" s="71" t="s">
        <v>114</v>
      </c>
      <c r="P91" s="71" t="s">
        <v>102</v>
      </c>
      <c r="Q91" s="61" t="s">
        <v>171</v>
      </c>
      <c r="R91" s="63" t="s">
        <v>165</v>
      </c>
      <c r="S91" s="72" t="s">
        <v>570</v>
      </c>
      <c r="T91" s="61" t="s">
        <v>571</v>
      </c>
      <c r="U91" s="73" t="s">
        <v>574</v>
      </c>
      <c r="V91" s="62">
        <v>107967</v>
      </c>
      <c r="W91" s="62" t="s">
        <v>573</v>
      </c>
      <c r="X91" s="62" t="s">
        <v>402</v>
      </c>
      <c r="Y91" s="93">
        <v>1</v>
      </c>
      <c r="Z91" s="94">
        <v>1</v>
      </c>
      <c r="AA91" s="74">
        <v>242</v>
      </c>
      <c r="AB91" s="75">
        <v>531</v>
      </c>
      <c r="AC91" s="75">
        <v>14996.026900401186</v>
      </c>
      <c r="AD91" s="76">
        <v>17995.232280946566</v>
      </c>
      <c r="AE91" s="77">
        <v>205.84097732999999</v>
      </c>
      <c r="AF91" s="75">
        <v>433.58995465999999</v>
      </c>
      <c r="AG91" s="78">
        <v>11972.740686086401</v>
      </c>
      <c r="AH91" s="79">
        <v>14367.288823768824</v>
      </c>
      <c r="AI91" s="74">
        <v>7423.099225536369</v>
      </c>
      <c r="AJ91" s="75">
        <v>0</v>
      </c>
      <c r="AK91" s="75">
        <v>0</v>
      </c>
      <c r="AL91" s="80">
        <v>7423.099225536369</v>
      </c>
      <c r="AM91" s="74">
        <v>2</v>
      </c>
      <c r="AN91" s="74">
        <v>0</v>
      </c>
      <c r="AO91" s="81">
        <v>0</v>
      </c>
      <c r="AP91" s="82">
        <v>19</v>
      </c>
      <c r="AQ91" s="75">
        <v>1451.2471655328798</v>
      </c>
      <c r="AR91" s="75">
        <v>1451.2471655328798</v>
      </c>
      <c r="AS91" s="80">
        <v>2902.4943310657595</v>
      </c>
      <c r="AT91" s="74">
        <v>232.03171450665738</v>
      </c>
      <c r="AU91" s="75">
        <v>360.37949465666605</v>
      </c>
      <c r="AV91" s="75">
        <v>450.41450462236173</v>
      </c>
      <c r="AW91" s="75">
        <v>212.46825622419908</v>
      </c>
      <c r="AX91" s="80">
        <v>1255.2939700098841</v>
      </c>
      <c r="AY91" s="81">
        <v>4.3820203387550501E-2</v>
      </c>
      <c r="AZ91" s="83">
        <v>152.76285952977682</v>
      </c>
      <c r="BA91" s="80">
        <v>6.6940995746586278</v>
      </c>
      <c r="BB91" s="84">
        <v>842.26766409674929</v>
      </c>
      <c r="BC91" s="85">
        <v>1.8699834384839062</v>
      </c>
      <c r="BD91" s="86">
        <v>7.0348776957606204E-2</v>
      </c>
      <c r="BE91" s="84">
        <v>1054.7359203209489</v>
      </c>
      <c r="BF91" s="87">
        <v>1.5911349376079058</v>
      </c>
      <c r="BG91" s="88">
        <v>8.8094776958350426E-2</v>
      </c>
      <c r="BH91" s="89">
        <v>0.24242522302673497</v>
      </c>
      <c r="BI91" s="90">
        <v>0.62000000001359756</v>
      </c>
      <c r="BJ91" s="90">
        <v>0.10484600000304603</v>
      </c>
      <c r="BK91" s="91">
        <v>0.96727122304337854</v>
      </c>
      <c r="BL91" s="92">
        <v>391.85315947438903</v>
      </c>
      <c r="BM91" s="95">
        <v>0</v>
      </c>
      <c r="BN91" t="s">
        <v>402</v>
      </c>
      <c r="BO91">
        <v>0.85994999999999999</v>
      </c>
    </row>
    <row r="92" spans="1:67">
      <c r="A92" s="61" t="str">
        <f t="shared" si="1"/>
        <v>UK</v>
      </c>
      <c r="B92" s="62" t="s">
        <v>64</v>
      </c>
      <c r="C92" s="62" t="s">
        <v>176</v>
      </c>
      <c r="D92" s="63" t="s">
        <v>97</v>
      </c>
      <c r="E92" s="64">
        <v>43831</v>
      </c>
      <c r="F92" s="64">
        <v>43921</v>
      </c>
      <c r="G92" s="65">
        <v>43995</v>
      </c>
      <c r="H92" s="66" t="s">
        <v>132</v>
      </c>
      <c r="I92" s="67">
        <v>3</v>
      </c>
      <c r="J92" s="68">
        <v>2020</v>
      </c>
      <c r="K92" s="69">
        <v>1</v>
      </c>
      <c r="L92" s="70">
        <v>3</v>
      </c>
      <c r="M92" s="71" t="s">
        <v>140</v>
      </c>
      <c r="N92" s="71" t="s">
        <v>18</v>
      </c>
      <c r="O92" s="71" t="s">
        <v>114</v>
      </c>
      <c r="P92" s="71" t="s">
        <v>102</v>
      </c>
      <c r="Q92" s="61" t="s">
        <v>171</v>
      </c>
      <c r="R92" s="63" t="s">
        <v>165</v>
      </c>
      <c r="S92" s="72" t="s">
        <v>570</v>
      </c>
      <c r="T92" s="61" t="s">
        <v>575</v>
      </c>
      <c r="U92" s="73" t="s">
        <v>576</v>
      </c>
      <c r="V92" s="62">
        <v>107943</v>
      </c>
      <c r="W92" s="62" t="s">
        <v>478</v>
      </c>
      <c r="X92" s="62" t="s">
        <v>402</v>
      </c>
      <c r="Y92" s="93">
        <v>1</v>
      </c>
      <c r="Z92" s="94">
        <v>1</v>
      </c>
      <c r="AA92" s="74">
        <v>66</v>
      </c>
      <c r="AB92" s="75">
        <v>144</v>
      </c>
      <c r="AC92" s="75">
        <v>2937.8646459677889</v>
      </c>
      <c r="AD92" s="76">
        <v>3525.4375750915751</v>
      </c>
      <c r="AE92" s="77">
        <v>43.465644904999998</v>
      </c>
      <c r="AF92" s="75">
        <v>93.524144581000002</v>
      </c>
      <c r="AG92" s="78">
        <v>1910.5977734752018</v>
      </c>
      <c r="AH92" s="79">
        <v>2292.7173281004711</v>
      </c>
      <c r="AI92" s="74">
        <v>1184.5706195709054</v>
      </c>
      <c r="AJ92" s="75">
        <v>0</v>
      </c>
      <c r="AK92" s="75">
        <v>0</v>
      </c>
      <c r="AL92" s="80">
        <v>1184.5706195709054</v>
      </c>
      <c r="AM92" s="74">
        <v>1</v>
      </c>
      <c r="AN92" s="74">
        <v>0</v>
      </c>
      <c r="AO92" s="81">
        <v>0</v>
      </c>
      <c r="AP92" s="82">
        <v>2</v>
      </c>
      <c r="AQ92" s="75">
        <v>668.3528112099541</v>
      </c>
      <c r="AR92" s="75">
        <v>668.3528112099541</v>
      </c>
      <c r="AS92" s="80">
        <v>1336.7056224199082</v>
      </c>
      <c r="AT92" s="74">
        <v>37.02738484911913</v>
      </c>
      <c r="AU92" s="75">
        <v>57.508992980987266</v>
      </c>
      <c r="AV92" s="75">
        <v>71.876688237688242</v>
      </c>
      <c r="AW92" s="75">
        <v>33.905468087679516</v>
      </c>
      <c r="AX92" s="80">
        <v>200.31853415547417</v>
      </c>
      <c r="AY92" s="81">
        <v>2.1384852103809696E-2</v>
      </c>
      <c r="AZ92" s="83">
        <v>668.3528112099541</v>
      </c>
      <c r="BA92" s="80">
        <v>14.292626020890312</v>
      </c>
      <c r="BB92" s="84">
        <v>-739.12031443339765</v>
      </c>
      <c r="BC92" s="85">
        <v>-10.283171533852654</v>
      </c>
      <c r="BD92" s="86">
        <v>-0.38685291310112108</v>
      </c>
      <c r="BE92" s="84">
        <v>-705.21484634571834</v>
      </c>
      <c r="BF92" s="87">
        <v>-6.6666711177317888</v>
      </c>
      <c r="BG92" s="88">
        <v>-0.36910691310133653</v>
      </c>
      <c r="BH92" s="89">
        <v>0.6996269130935725</v>
      </c>
      <c r="BI92" s="90">
        <v>0.62000000000852096</v>
      </c>
      <c r="BJ92" s="90">
        <v>0.1048459999987926</v>
      </c>
      <c r="BK92" s="91">
        <v>1.424472913100886</v>
      </c>
      <c r="BL92" s="92">
        <v>-810.99700267108574</v>
      </c>
      <c r="BM92" s="95">
        <v>0</v>
      </c>
      <c r="BN92" t="s">
        <v>402</v>
      </c>
      <c r="BO92">
        <v>0.85994999999999999</v>
      </c>
    </row>
    <row r="93" spans="1:67">
      <c r="A93" s="61" t="str">
        <f t="shared" si="1"/>
        <v>UK</v>
      </c>
      <c r="B93" s="62" t="s">
        <v>64</v>
      </c>
      <c r="C93" s="62" t="s">
        <v>176</v>
      </c>
      <c r="D93" s="63" t="s">
        <v>97</v>
      </c>
      <c r="E93" s="64">
        <v>43831</v>
      </c>
      <c r="F93" s="64">
        <v>43921</v>
      </c>
      <c r="G93" s="65">
        <v>43995</v>
      </c>
      <c r="H93" s="66" t="s">
        <v>132</v>
      </c>
      <c r="I93" s="67">
        <v>3</v>
      </c>
      <c r="J93" s="68">
        <v>2020</v>
      </c>
      <c r="K93" s="69">
        <v>1</v>
      </c>
      <c r="L93" s="70">
        <v>3</v>
      </c>
      <c r="M93" s="71" t="s">
        <v>140</v>
      </c>
      <c r="N93" s="71" t="s">
        <v>18</v>
      </c>
      <c r="O93" s="71" t="s">
        <v>114</v>
      </c>
      <c r="P93" s="71" t="s">
        <v>102</v>
      </c>
      <c r="Q93" s="61" t="s">
        <v>171</v>
      </c>
      <c r="R93" s="63" t="s">
        <v>165</v>
      </c>
      <c r="S93" s="72" t="s">
        <v>570</v>
      </c>
      <c r="T93" s="61" t="s">
        <v>575</v>
      </c>
      <c r="U93" s="73" t="s">
        <v>577</v>
      </c>
      <c r="V93" s="62">
        <v>107944</v>
      </c>
      <c r="W93" s="62" t="s">
        <v>478</v>
      </c>
      <c r="X93" s="62" t="s">
        <v>402</v>
      </c>
      <c r="Y93" s="93">
        <v>1</v>
      </c>
      <c r="Z93" s="94">
        <v>1</v>
      </c>
      <c r="AA93" s="74">
        <v>6</v>
      </c>
      <c r="AB93" s="75">
        <v>18</v>
      </c>
      <c r="AC93" s="75">
        <v>239.14181678004536</v>
      </c>
      <c r="AD93" s="76">
        <v>286.97018013838016</v>
      </c>
      <c r="AE93" s="77">
        <v>4.7299940962999996</v>
      </c>
      <c r="AF93" s="75">
        <v>11.775355900999999</v>
      </c>
      <c r="AG93" s="78">
        <v>176.84378758067331</v>
      </c>
      <c r="AH93" s="79">
        <v>212.2125451014594</v>
      </c>
      <c r="AI93" s="74">
        <v>109.64314830048258</v>
      </c>
      <c r="AJ93" s="75">
        <v>0</v>
      </c>
      <c r="AK93" s="75">
        <v>0</v>
      </c>
      <c r="AL93" s="80">
        <v>109.64314830048258</v>
      </c>
      <c r="AM93" s="74">
        <v>0</v>
      </c>
      <c r="AN93" s="74">
        <v>0</v>
      </c>
      <c r="AO93" s="81" t="s">
        <v>403</v>
      </c>
      <c r="AP93" s="82">
        <v>0</v>
      </c>
      <c r="AQ93" s="75">
        <v>0</v>
      </c>
      <c r="AR93" s="75">
        <v>0</v>
      </c>
      <c r="AS93" s="80">
        <v>0</v>
      </c>
      <c r="AT93" s="74">
        <v>3.4272326032908893</v>
      </c>
      <c r="AU93" s="75">
        <v>5.3229980061631492</v>
      </c>
      <c r="AV93" s="75">
        <v>6.6528632887958601</v>
      </c>
      <c r="AW93" s="75">
        <v>3.1382698544101397</v>
      </c>
      <c r="AX93" s="80">
        <v>18.54136375266004</v>
      </c>
      <c r="AY93" s="81">
        <v>0</v>
      </c>
      <c r="AZ93" s="83" t="s">
        <v>403</v>
      </c>
      <c r="BA93" s="80" t="s">
        <v>403</v>
      </c>
      <c r="BB93" s="84">
        <v>55.312138816326552</v>
      </c>
      <c r="BC93" s="85">
        <v>8.3140350876408604</v>
      </c>
      <c r="BD93" s="86">
        <v>0.31277399999756306</v>
      </c>
      <c r="BE93" s="84">
        <v>58.450408670736692</v>
      </c>
      <c r="BF93" s="87">
        <v>5.9697287143209801</v>
      </c>
      <c r="BG93" s="88">
        <v>0.33051999999758291</v>
      </c>
      <c r="BH93" s="89">
        <v>0</v>
      </c>
      <c r="BI93" s="90">
        <v>0.62000000000263011</v>
      </c>
      <c r="BJ93" s="90">
        <v>0.10484599999986861</v>
      </c>
      <c r="BK93" s="91">
        <v>0.72484600000249877</v>
      </c>
      <c r="BL93" s="92">
        <v>48.659275527530696</v>
      </c>
      <c r="BM93" s="95">
        <v>0</v>
      </c>
      <c r="BN93" t="s">
        <v>402</v>
      </c>
      <c r="BO93">
        <v>0.85994999999999999</v>
      </c>
    </row>
    <row r="94" spans="1:67">
      <c r="A94" s="61" t="str">
        <f t="shared" si="1"/>
        <v>UK</v>
      </c>
      <c r="B94" s="62" t="s">
        <v>64</v>
      </c>
      <c r="C94" s="62" t="s">
        <v>176</v>
      </c>
      <c r="D94" s="63" t="s">
        <v>97</v>
      </c>
      <c r="E94" s="64">
        <v>43831</v>
      </c>
      <c r="F94" s="64">
        <v>43921</v>
      </c>
      <c r="G94" s="65">
        <v>43995</v>
      </c>
      <c r="H94" s="66" t="s">
        <v>132</v>
      </c>
      <c r="I94" s="67">
        <v>3</v>
      </c>
      <c r="J94" s="68">
        <v>2020</v>
      </c>
      <c r="K94" s="69">
        <v>1</v>
      </c>
      <c r="L94" s="70">
        <v>3</v>
      </c>
      <c r="M94" s="71" t="s">
        <v>140</v>
      </c>
      <c r="N94" s="71" t="s">
        <v>18</v>
      </c>
      <c r="O94" s="71" t="s">
        <v>114</v>
      </c>
      <c r="P94" s="71" t="s">
        <v>102</v>
      </c>
      <c r="Q94" s="61" t="s">
        <v>171</v>
      </c>
      <c r="R94" s="63" t="s">
        <v>165</v>
      </c>
      <c r="S94" s="72" t="s">
        <v>570</v>
      </c>
      <c r="T94" s="61" t="s">
        <v>575</v>
      </c>
      <c r="U94" s="73" t="s">
        <v>578</v>
      </c>
      <c r="V94" s="62">
        <v>107359</v>
      </c>
      <c r="W94" s="62" t="s">
        <v>573</v>
      </c>
      <c r="X94" s="62" t="s">
        <v>402</v>
      </c>
      <c r="Y94" s="93">
        <v>1</v>
      </c>
      <c r="Z94" s="94">
        <v>1</v>
      </c>
      <c r="AA94" s="74">
        <v>118</v>
      </c>
      <c r="AB94" s="75">
        <v>204</v>
      </c>
      <c r="AC94" s="75">
        <v>2521.9489505203792</v>
      </c>
      <c r="AD94" s="76">
        <v>3026.3387406244551</v>
      </c>
      <c r="AE94" s="77">
        <v>99.981551727999999</v>
      </c>
      <c r="AF94" s="75">
        <v>163.01984916000001</v>
      </c>
      <c r="AG94" s="78">
        <v>2048.317139368568</v>
      </c>
      <c r="AH94" s="79">
        <v>2457.9805672422813</v>
      </c>
      <c r="AI94" s="74">
        <v>1269.9566264317691</v>
      </c>
      <c r="AJ94" s="75">
        <v>0</v>
      </c>
      <c r="AK94" s="75">
        <v>0</v>
      </c>
      <c r="AL94" s="80">
        <v>1269.9566264317691</v>
      </c>
      <c r="AM94" s="74">
        <v>2</v>
      </c>
      <c r="AN94" s="74">
        <v>0</v>
      </c>
      <c r="AO94" s="81">
        <v>0</v>
      </c>
      <c r="AP94" s="82">
        <v>18</v>
      </c>
      <c r="AQ94" s="75">
        <v>924.26304706087558</v>
      </c>
      <c r="AR94" s="75">
        <v>924.26304706087558</v>
      </c>
      <c r="AS94" s="80">
        <v>1848.5260941217512</v>
      </c>
      <c r="AT94" s="74">
        <v>39.696386160823302</v>
      </c>
      <c r="AU94" s="75">
        <v>61.654345894528753</v>
      </c>
      <c r="AV94" s="75">
        <v>77.057690782022206</v>
      </c>
      <c r="AW94" s="75">
        <v>36.349435954415952</v>
      </c>
      <c r="AX94" s="80">
        <v>214.7578587917902</v>
      </c>
      <c r="AY94" s="81">
        <v>0.11041600205588117</v>
      </c>
      <c r="AZ94" s="83">
        <v>102.69589411787507</v>
      </c>
      <c r="BA94" s="80">
        <v>11.339270056049848</v>
      </c>
      <c r="BB94" s="84">
        <v>-1207.8657491947206</v>
      </c>
      <c r="BC94" s="85">
        <v>-15.674824108231899</v>
      </c>
      <c r="BD94" s="86">
        <v>-0.58968688294385296</v>
      </c>
      <c r="BE94" s="84">
        <v>-1171.5163132403045</v>
      </c>
      <c r="BF94" s="87">
        <v>-10.330182475771091</v>
      </c>
      <c r="BG94" s="88">
        <v>-0.5719408829442526</v>
      </c>
      <c r="BH94" s="89">
        <v>0.9024608829331936</v>
      </c>
      <c r="BI94" s="90">
        <v>0.62000000001135414</v>
      </c>
      <c r="BJ94" s="90">
        <v>0.10484599999880552</v>
      </c>
      <c r="BK94" s="91">
        <v>1.6273068829433535</v>
      </c>
      <c r="BL94" s="92">
        <v>-1284.9234399767424</v>
      </c>
      <c r="BM94" s="95">
        <v>0</v>
      </c>
      <c r="BN94" t="s">
        <v>402</v>
      </c>
      <c r="BO94">
        <v>0.85994999999999999</v>
      </c>
    </row>
    <row r="95" spans="1:67">
      <c r="A95" s="61" t="str">
        <f t="shared" si="1"/>
        <v>UK</v>
      </c>
      <c r="B95" s="62" t="s">
        <v>64</v>
      </c>
      <c r="C95" s="62" t="s">
        <v>176</v>
      </c>
      <c r="D95" s="63" t="s">
        <v>97</v>
      </c>
      <c r="E95" s="64">
        <v>43831</v>
      </c>
      <c r="F95" s="64">
        <v>43921</v>
      </c>
      <c r="G95" s="65">
        <v>43995</v>
      </c>
      <c r="H95" s="66" t="s">
        <v>132</v>
      </c>
      <c r="I95" s="67">
        <v>3</v>
      </c>
      <c r="J95" s="68">
        <v>2020</v>
      </c>
      <c r="K95" s="69">
        <v>1</v>
      </c>
      <c r="L95" s="70">
        <v>3</v>
      </c>
      <c r="M95" s="71" t="s">
        <v>140</v>
      </c>
      <c r="N95" s="71" t="s">
        <v>18</v>
      </c>
      <c r="O95" s="71" t="s">
        <v>114</v>
      </c>
      <c r="P95" s="71" t="s">
        <v>102</v>
      </c>
      <c r="Q95" s="61" t="s">
        <v>171</v>
      </c>
      <c r="R95" s="63" t="s">
        <v>165</v>
      </c>
      <c r="S95" s="72" t="s">
        <v>570</v>
      </c>
      <c r="T95" s="61" t="s">
        <v>575</v>
      </c>
      <c r="U95" s="73" t="s">
        <v>579</v>
      </c>
      <c r="V95" s="62">
        <v>107362</v>
      </c>
      <c r="W95" s="62" t="s">
        <v>573</v>
      </c>
      <c r="X95" s="62" t="s">
        <v>402</v>
      </c>
      <c r="Y95" s="93">
        <v>1</v>
      </c>
      <c r="Z95" s="94">
        <v>1</v>
      </c>
      <c r="AA95" s="74">
        <v>67</v>
      </c>
      <c r="AB95" s="75">
        <v>131</v>
      </c>
      <c r="AC95" s="75">
        <v>1311.1227396941683</v>
      </c>
      <c r="AD95" s="76">
        <v>1573.347287633002</v>
      </c>
      <c r="AE95" s="77">
        <v>39.736627231</v>
      </c>
      <c r="AF95" s="75">
        <v>72.028374549000006</v>
      </c>
      <c r="AG95" s="78">
        <v>743.63853703122277</v>
      </c>
      <c r="AH95" s="79">
        <v>892.36624443281596</v>
      </c>
      <c r="AI95" s="74">
        <v>461.05589295889297</v>
      </c>
      <c r="AJ95" s="75">
        <v>0</v>
      </c>
      <c r="AK95" s="75">
        <v>0</v>
      </c>
      <c r="AL95" s="80">
        <v>461.05589295889297</v>
      </c>
      <c r="AM95" s="74">
        <v>1</v>
      </c>
      <c r="AN95" s="74">
        <v>0</v>
      </c>
      <c r="AO95" s="81">
        <v>0</v>
      </c>
      <c r="AP95" s="82">
        <v>5</v>
      </c>
      <c r="AQ95" s="75">
        <v>356.99749985464274</v>
      </c>
      <c r="AR95" s="75">
        <v>356.99749985464274</v>
      </c>
      <c r="AS95" s="80">
        <v>713.99499970928548</v>
      </c>
      <c r="AT95" s="74">
        <v>14.411714847374848</v>
      </c>
      <c r="AU95" s="75">
        <v>22.383519963951393</v>
      </c>
      <c r="AV95" s="75">
        <v>27.975681762893192</v>
      </c>
      <c r="AW95" s="75">
        <v>13.196609478458049</v>
      </c>
      <c r="AX95" s="80">
        <v>77.967526052677471</v>
      </c>
      <c r="AY95" s="81">
        <v>6.9417087797789503E-2</v>
      </c>
      <c r="AZ95" s="83">
        <v>142.79899994185709</v>
      </c>
      <c r="BA95" s="80">
        <v>9.9126907164004319</v>
      </c>
      <c r="BB95" s="84">
        <v>-481.40419992673992</v>
      </c>
      <c r="BC95" s="85">
        <v>-17.207952392612363</v>
      </c>
      <c r="BD95" s="86">
        <v>-0.64736316900495361</v>
      </c>
      <c r="BE95" s="84">
        <v>-468.20759044828196</v>
      </c>
      <c r="BF95" s="87">
        <v>-11.371909998976189</v>
      </c>
      <c r="BG95" s="88">
        <v>-0.62961716900454767</v>
      </c>
      <c r="BH95" s="89">
        <v>0.96013716900648916</v>
      </c>
      <c r="BI95" s="90">
        <v>0.6199999999993745</v>
      </c>
      <c r="BJ95" s="90">
        <v>0.10484599999879228</v>
      </c>
      <c r="BK95" s="91">
        <v>1.6849831690046559</v>
      </c>
      <c r="BL95" s="92">
        <v>-509.37988168963307</v>
      </c>
      <c r="BM95" s="95">
        <v>0</v>
      </c>
      <c r="BN95" t="s">
        <v>402</v>
      </c>
      <c r="BO95">
        <v>0.85994999999999999</v>
      </c>
    </row>
    <row r="96" spans="1:67">
      <c r="A96" s="61" t="str">
        <f t="shared" si="1"/>
        <v>UK</v>
      </c>
      <c r="B96" s="62" t="s">
        <v>64</v>
      </c>
      <c r="C96" s="62" t="s">
        <v>176</v>
      </c>
      <c r="D96" s="63" t="s">
        <v>97</v>
      </c>
      <c r="E96" s="64">
        <v>43831</v>
      </c>
      <c r="F96" s="64">
        <v>43921</v>
      </c>
      <c r="G96" s="65">
        <v>43995</v>
      </c>
      <c r="H96" s="66" t="s">
        <v>132</v>
      </c>
      <c r="I96" s="67">
        <v>3</v>
      </c>
      <c r="J96" s="68">
        <v>2020</v>
      </c>
      <c r="K96" s="69">
        <v>1</v>
      </c>
      <c r="L96" s="70">
        <v>3</v>
      </c>
      <c r="M96" s="71" t="s">
        <v>140</v>
      </c>
      <c r="N96" s="71" t="s">
        <v>18</v>
      </c>
      <c r="O96" s="71" t="s">
        <v>114</v>
      </c>
      <c r="P96" s="71" t="s">
        <v>102</v>
      </c>
      <c r="Q96" s="61" t="s">
        <v>171</v>
      </c>
      <c r="R96" s="63" t="s">
        <v>165</v>
      </c>
      <c r="S96" s="72" t="s">
        <v>570</v>
      </c>
      <c r="T96" s="61" t="s">
        <v>580</v>
      </c>
      <c r="U96" s="73" t="s">
        <v>581</v>
      </c>
      <c r="V96" s="62">
        <v>107363</v>
      </c>
      <c r="W96" s="62" t="s">
        <v>573</v>
      </c>
      <c r="X96" s="62" t="s">
        <v>402</v>
      </c>
      <c r="Y96" s="93">
        <v>1</v>
      </c>
      <c r="Z96" s="94">
        <v>1</v>
      </c>
      <c r="AA96" s="74">
        <v>3036</v>
      </c>
      <c r="AB96" s="75">
        <v>5018</v>
      </c>
      <c r="AC96" s="75">
        <v>67591.139019710448</v>
      </c>
      <c r="AD96" s="76">
        <v>81109.366823652541</v>
      </c>
      <c r="AE96" s="77">
        <v>2460.7902494</v>
      </c>
      <c r="AF96" s="75">
        <v>3918.4485083999998</v>
      </c>
      <c r="AG96" s="78">
        <v>53526.052929821504</v>
      </c>
      <c r="AH96" s="79">
        <v>64231.263516483516</v>
      </c>
      <c r="AI96" s="74">
        <v>33186.152817024245</v>
      </c>
      <c r="AJ96" s="75">
        <v>0</v>
      </c>
      <c r="AK96" s="75">
        <v>0</v>
      </c>
      <c r="AL96" s="80">
        <v>33186.152817024245</v>
      </c>
      <c r="AM96" s="74">
        <v>9</v>
      </c>
      <c r="AN96" s="74">
        <v>0</v>
      </c>
      <c r="AO96" s="81">
        <v>0</v>
      </c>
      <c r="AP96" s="82">
        <v>118</v>
      </c>
      <c r="AQ96" s="75">
        <v>2034.9206485260772</v>
      </c>
      <c r="AR96" s="75">
        <v>2136.089321123321</v>
      </c>
      <c r="AS96" s="80">
        <v>4171.009969649398</v>
      </c>
      <c r="AT96" s="74">
        <v>1037.3349057852199</v>
      </c>
      <c r="AU96" s="75">
        <v>1611.1341931507645</v>
      </c>
      <c r="AV96" s="75">
        <v>2013.6501112855399</v>
      </c>
      <c r="AW96" s="75">
        <v>949.8733352985638</v>
      </c>
      <c r="AX96" s="80">
        <v>5611.9925455200882</v>
      </c>
      <c r="AY96" s="81">
        <v>3.0113959580441788E-2</v>
      </c>
      <c r="AZ96" s="83">
        <v>35.347542115672866</v>
      </c>
      <c r="BA96" s="80">
        <v>1.0644544545393364</v>
      </c>
      <c r="BB96" s="84">
        <v>12570.547708913313</v>
      </c>
      <c r="BC96" s="85">
        <v>6.242667302756046</v>
      </c>
      <c r="BD96" s="86">
        <v>0.23484914393733969</v>
      </c>
      <c r="BE96" s="84">
        <v>13520.421044211878</v>
      </c>
      <c r="BF96" s="87">
        <v>4.5622790870091317</v>
      </c>
      <c r="BG96" s="88">
        <v>0.25259514393745092</v>
      </c>
      <c r="BH96" s="89">
        <v>7.7924856053145697E-2</v>
      </c>
      <c r="BI96" s="90">
        <v>0.62000000000999356</v>
      </c>
      <c r="BJ96" s="90">
        <v>0.10484600000074773</v>
      </c>
      <c r="BK96" s="91">
        <v>0.80277085606388698</v>
      </c>
      <c r="BL96" s="92">
        <v>10556.897597627772</v>
      </c>
      <c r="BM96" s="95">
        <v>0</v>
      </c>
      <c r="BN96" t="s">
        <v>402</v>
      </c>
      <c r="BO96">
        <v>0.85994999999999999</v>
      </c>
    </row>
    <row r="97" spans="1:67">
      <c r="A97" s="61" t="str">
        <f t="shared" si="1"/>
        <v>UK</v>
      </c>
      <c r="B97" s="62" t="s">
        <v>64</v>
      </c>
      <c r="C97" s="62" t="s">
        <v>176</v>
      </c>
      <c r="D97" s="63" t="s">
        <v>97</v>
      </c>
      <c r="E97" s="64">
        <v>43831</v>
      </c>
      <c r="F97" s="64">
        <v>43921</v>
      </c>
      <c r="G97" s="65">
        <v>43995</v>
      </c>
      <c r="H97" s="66" t="s">
        <v>132</v>
      </c>
      <c r="I97" s="67">
        <v>3</v>
      </c>
      <c r="J97" s="68">
        <v>2020</v>
      </c>
      <c r="K97" s="69">
        <v>1</v>
      </c>
      <c r="L97" s="70">
        <v>3</v>
      </c>
      <c r="M97" s="71" t="s">
        <v>140</v>
      </c>
      <c r="N97" s="71" t="s">
        <v>18</v>
      </c>
      <c r="O97" s="71" t="s">
        <v>114</v>
      </c>
      <c r="P97" s="71" t="s">
        <v>102</v>
      </c>
      <c r="Q97" s="61" t="s">
        <v>171</v>
      </c>
      <c r="R97" s="63" t="s">
        <v>165</v>
      </c>
      <c r="S97" s="72" t="s">
        <v>570</v>
      </c>
      <c r="T97" s="61" t="s">
        <v>580</v>
      </c>
      <c r="U97" s="73" t="s">
        <v>582</v>
      </c>
      <c r="V97" s="62">
        <v>107364</v>
      </c>
      <c r="W97" s="62" t="s">
        <v>573</v>
      </c>
      <c r="X97" s="62" t="s">
        <v>402</v>
      </c>
      <c r="Y97" s="93">
        <v>1</v>
      </c>
      <c r="Z97" s="94">
        <v>1</v>
      </c>
      <c r="AA97" s="74">
        <v>8152</v>
      </c>
      <c r="AB97" s="75">
        <v>13049</v>
      </c>
      <c r="AC97" s="75">
        <v>106089.01680330253</v>
      </c>
      <c r="AD97" s="76">
        <v>127306.82016396303</v>
      </c>
      <c r="AE97" s="77">
        <v>6645.4703743</v>
      </c>
      <c r="AF97" s="75">
        <v>10335.803844</v>
      </c>
      <c r="AG97" s="78">
        <v>89260.480919820926</v>
      </c>
      <c r="AH97" s="79">
        <v>107112.57710448281</v>
      </c>
      <c r="AI97" s="74">
        <v>55341.498170823885</v>
      </c>
      <c r="AJ97" s="75">
        <v>0</v>
      </c>
      <c r="AK97" s="75">
        <v>0</v>
      </c>
      <c r="AL97" s="80">
        <v>55341.498170823885</v>
      </c>
      <c r="AM97" s="74">
        <v>22</v>
      </c>
      <c r="AN97" s="74">
        <v>5</v>
      </c>
      <c r="AO97" s="81">
        <v>0.22727272727272727</v>
      </c>
      <c r="AP97" s="82">
        <v>294</v>
      </c>
      <c r="AQ97" s="75">
        <v>3520.2976903308336</v>
      </c>
      <c r="AR97" s="75">
        <v>4904.0990741322166</v>
      </c>
      <c r="AS97" s="80">
        <v>8424.3967644630502</v>
      </c>
      <c r="AT97" s="74">
        <v>1729.8681202395487</v>
      </c>
      <c r="AU97" s="75">
        <v>2686.740475725333</v>
      </c>
      <c r="AV97" s="75">
        <v>3357.9792921681496</v>
      </c>
      <c r="AW97" s="75">
        <v>1584.0164944473518</v>
      </c>
      <c r="AX97" s="80">
        <v>9358.6043825803827</v>
      </c>
      <c r="AY97" s="81">
        <v>2.8444812269794464E-2</v>
      </c>
      <c r="AZ97" s="83">
        <v>28.654410763479763</v>
      </c>
      <c r="BA97" s="80">
        <v>0.81506933486875977</v>
      </c>
      <c r="BB97" s="84">
        <v>19493.960894121759</v>
      </c>
      <c r="BC97" s="85">
        <v>5.8052653688448075</v>
      </c>
      <c r="BD97" s="86">
        <v>0.21839408317363196</v>
      </c>
      <c r="BE97" s="84">
        <v>21077.97738856911</v>
      </c>
      <c r="BF97" s="87">
        <v>4.265073929373834</v>
      </c>
      <c r="BG97" s="88">
        <v>0.23614008317412724</v>
      </c>
      <c r="BH97" s="89">
        <v>9.4379916819295931E-2</v>
      </c>
      <c r="BI97" s="90">
        <v>0.62000000000599265</v>
      </c>
      <c r="BJ97" s="90">
        <v>0.10484600000068157</v>
      </c>
      <c r="BK97" s="91">
        <v>0.81922591682597012</v>
      </c>
      <c r="BL97" s="92">
        <v>16135.981601953608</v>
      </c>
      <c r="BM97" s="95">
        <v>0</v>
      </c>
      <c r="BN97" t="s">
        <v>402</v>
      </c>
      <c r="BO97">
        <v>0.85994999999999999</v>
      </c>
    </row>
    <row r="98" spans="1:67">
      <c r="A98" s="61" t="str">
        <f t="shared" ref="A98:A161" si="2">B98</f>
        <v>UK</v>
      </c>
      <c r="B98" s="62" t="s">
        <v>64</v>
      </c>
      <c r="C98" s="62" t="s">
        <v>176</v>
      </c>
      <c r="D98" s="63" t="s">
        <v>97</v>
      </c>
      <c r="E98" s="64">
        <v>43831</v>
      </c>
      <c r="F98" s="64">
        <v>43921</v>
      </c>
      <c r="G98" s="65">
        <v>43995</v>
      </c>
      <c r="H98" s="66" t="s">
        <v>132</v>
      </c>
      <c r="I98" s="67">
        <v>3</v>
      </c>
      <c r="J98" s="68">
        <v>2020</v>
      </c>
      <c r="K98" s="69">
        <v>1</v>
      </c>
      <c r="L98" s="70">
        <v>3</v>
      </c>
      <c r="M98" s="71" t="s">
        <v>140</v>
      </c>
      <c r="N98" s="71" t="s">
        <v>18</v>
      </c>
      <c r="O98" s="71" t="s">
        <v>114</v>
      </c>
      <c r="P98" s="71" t="s">
        <v>102</v>
      </c>
      <c r="Q98" s="61" t="s">
        <v>171</v>
      </c>
      <c r="R98" s="63" t="s">
        <v>165</v>
      </c>
      <c r="S98" s="72" t="s">
        <v>570</v>
      </c>
      <c r="T98" s="61" t="s">
        <v>580</v>
      </c>
      <c r="U98" s="73" t="s">
        <v>583</v>
      </c>
      <c r="V98" s="62">
        <v>107365</v>
      </c>
      <c r="W98" s="62" t="s">
        <v>573</v>
      </c>
      <c r="X98" s="62" t="s">
        <v>402</v>
      </c>
      <c r="Y98" s="93">
        <v>1</v>
      </c>
      <c r="Z98" s="94">
        <v>1</v>
      </c>
      <c r="AA98" s="74">
        <v>483</v>
      </c>
      <c r="AB98" s="75">
        <v>699</v>
      </c>
      <c r="AC98" s="75">
        <v>7766.9244336298625</v>
      </c>
      <c r="AD98" s="76">
        <v>9320.3093203093213</v>
      </c>
      <c r="AE98" s="77">
        <v>413.87494243999998</v>
      </c>
      <c r="AF98" s="75">
        <v>565.82930281999995</v>
      </c>
      <c r="AG98" s="78">
        <v>6733.1782064073486</v>
      </c>
      <c r="AH98" s="79">
        <v>8079.8138477818475</v>
      </c>
      <c r="AI98" s="74">
        <v>4174.5704879353452</v>
      </c>
      <c r="AJ98" s="75">
        <v>0</v>
      </c>
      <c r="AK98" s="75">
        <v>0</v>
      </c>
      <c r="AL98" s="80">
        <v>4174.5704879353452</v>
      </c>
      <c r="AM98" s="74">
        <v>0</v>
      </c>
      <c r="AN98" s="74">
        <v>0</v>
      </c>
      <c r="AO98" s="81" t="s">
        <v>403</v>
      </c>
      <c r="AP98" s="82">
        <v>1</v>
      </c>
      <c r="AQ98" s="75">
        <v>0</v>
      </c>
      <c r="AR98" s="75">
        <v>0</v>
      </c>
      <c r="AS98" s="80">
        <v>0</v>
      </c>
      <c r="AT98" s="74">
        <v>130.48899363916507</v>
      </c>
      <c r="AU98" s="75">
        <v>202.66866401534972</v>
      </c>
      <c r="AV98" s="75">
        <v>253.30216412582126</v>
      </c>
      <c r="AW98" s="75">
        <v>119.48698045235189</v>
      </c>
      <c r="AX98" s="80">
        <v>705.9468022326879</v>
      </c>
      <c r="AY98" s="81">
        <v>1.7673174489482339E-3</v>
      </c>
      <c r="AZ98" s="83">
        <v>0</v>
      </c>
      <c r="BA98" s="80">
        <v>0</v>
      </c>
      <c r="BB98" s="84">
        <v>2105.9630803651371</v>
      </c>
      <c r="BC98" s="85">
        <v>8.3140350878291542</v>
      </c>
      <c r="BD98" s="86">
        <v>0.31277400000509198</v>
      </c>
      <c r="BE98" s="84">
        <v>2225.4500608174894</v>
      </c>
      <c r="BF98" s="87">
        <v>5.9697287144336819</v>
      </c>
      <c r="BG98" s="88">
        <v>0.33052000000530696</v>
      </c>
      <c r="BH98" s="89">
        <v>0</v>
      </c>
      <c r="BI98" s="90">
        <v>0.61999999999447353</v>
      </c>
      <c r="BJ98" s="90">
        <v>0.10484600000054997</v>
      </c>
      <c r="BK98" s="91">
        <v>0.72484599999502353</v>
      </c>
      <c r="BL98" s="92">
        <v>1852.6609162393152</v>
      </c>
      <c r="BM98" s="95">
        <v>0</v>
      </c>
      <c r="BN98" t="s">
        <v>402</v>
      </c>
      <c r="BO98">
        <v>0.85994999999999999</v>
      </c>
    </row>
    <row r="99" spans="1:67">
      <c r="A99" s="61" t="str">
        <f t="shared" si="2"/>
        <v>UK</v>
      </c>
      <c r="B99" s="62" t="s">
        <v>64</v>
      </c>
      <c r="C99" s="62" t="s">
        <v>176</v>
      </c>
      <c r="D99" s="63" t="s">
        <v>97</v>
      </c>
      <c r="E99" s="64">
        <v>43831</v>
      </c>
      <c r="F99" s="64">
        <v>43921</v>
      </c>
      <c r="G99" s="65">
        <v>43995</v>
      </c>
      <c r="H99" s="66" t="s">
        <v>132</v>
      </c>
      <c r="I99" s="67">
        <v>3</v>
      </c>
      <c r="J99" s="68">
        <v>2020</v>
      </c>
      <c r="K99" s="69">
        <v>1</v>
      </c>
      <c r="L99" s="70">
        <v>3</v>
      </c>
      <c r="M99" s="71" t="s">
        <v>140</v>
      </c>
      <c r="N99" s="71" t="s">
        <v>18</v>
      </c>
      <c r="O99" s="71" t="s">
        <v>114</v>
      </c>
      <c r="P99" s="71" t="s">
        <v>102</v>
      </c>
      <c r="Q99" s="61" t="s">
        <v>171</v>
      </c>
      <c r="R99" s="63" t="s">
        <v>165</v>
      </c>
      <c r="S99" s="72" t="s">
        <v>570</v>
      </c>
      <c r="T99" s="61" t="s">
        <v>580</v>
      </c>
      <c r="U99" s="73" t="s">
        <v>584</v>
      </c>
      <c r="V99" s="62">
        <v>107366</v>
      </c>
      <c r="W99" s="62" t="s">
        <v>573</v>
      </c>
      <c r="X99" s="62" t="s">
        <v>402</v>
      </c>
      <c r="Y99" s="93">
        <v>1</v>
      </c>
      <c r="Z99" s="94">
        <v>1</v>
      </c>
      <c r="AA99" s="74">
        <v>4</v>
      </c>
      <c r="AB99" s="75">
        <v>7</v>
      </c>
      <c r="AC99" s="75">
        <v>418.62899005756151</v>
      </c>
      <c r="AD99" s="76">
        <v>502.35478806907378</v>
      </c>
      <c r="AE99" s="77">
        <v>20.675000000000001</v>
      </c>
      <c r="AF99" s="75">
        <v>36.630000000000003</v>
      </c>
      <c r="AG99" s="78">
        <v>1671.2018140589571</v>
      </c>
      <c r="AH99" s="79">
        <v>2005.4421768707482</v>
      </c>
      <c r="AI99" s="74">
        <v>1036.1451247165533</v>
      </c>
      <c r="AJ99" s="75">
        <v>0</v>
      </c>
      <c r="AK99" s="75">
        <v>0</v>
      </c>
      <c r="AL99" s="80">
        <v>1036.1451247165533</v>
      </c>
      <c r="AM99" s="74">
        <v>0</v>
      </c>
      <c r="AN99" s="74">
        <v>0</v>
      </c>
      <c r="AO99" s="81" t="s">
        <v>403</v>
      </c>
      <c r="AP99" s="82">
        <v>3</v>
      </c>
      <c r="AQ99" s="75">
        <v>0</v>
      </c>
      <c r="AR99" s="75">
        <v>0</v>
      </c>
      <c r="AS99" s="80">
        <v>0</v>
      </c>
      <c r="AT99" s="74">
        <v>32.387891156462587</v>
      </c>
      <c r="AU99" s="75">
        <v>50.303174603174604</v>
      </c>
      <c r="AV99" s="75">
        <v>62.870612244897956</v>
      </c>
      <c r="AW99" s="75">
        <v>29.657147392290248</v>
      </c>
      <c r="AX99" s="80">
        <v>175.21882539682539</v>
      </c>
      <c r="AY99" s="81">
        <v>8.1900081900081897E-2</v>
      </c>
      <c r="AZ99" s="83">
        <v>0</v>
      </c>
      <c r="BA99" s="80">
        <v>0</v>
      </c>
      <c r="BB99" s="84">
        <v>522.70847619047663</v>
      </c>
      <c r="BC99" s="85">
        <v>8.3140350877193061</v>
      </c>
      <c r="BD99" s="86">
        <v>0.31277400000000022</v>
      </c>
      <c r="BE99" s="84">
        <v>552.36562358276683</v>
      </c>
      <c r="BF99" s="87">
        <v>5.9697287143734465</v>
      </c>
      <c r="BG99" s="88">
        <v>0.3305200000000002</v>
      </c>
      <c r="BH99" s="89">
        <v>0</v>
      </c>
      <c r="BI99" s="90">
        <v>0.61999999999999988</v>
      </c>
      <c r="BJ99" s="90">
        <v>0.10484599999999998</v>
      </c>
      <c r="BK99" s="91">
        <v>0.72484599999999988</v>
      </c>
      <c r="BL99" s="92">
        <v>459.83786394557842</v>
      </c>
      <c r="BM99" s="95">
        <v>0</v>
      </c>
      <c r="BN99" t="s">
        <v>402</v>
      </c>
      <c r="BO99">
        <v>0.85994999999999999</v>
      </c>
    </row>
    <row r="100" spans="1:67">
      <c r="A100" s="61" t="str">
        <f t="shared" si="2"/>
        <v>UK</v>
      </c>
      <c r="B100" s="62" t="s">
        <v>64</v>
      </c>
      <c r="C100" s="62" t="s">
        <v>176</v>
      </c>
      <c r="D100" s="63" t="s">
        <v>97</v>
      </c>
      <c r="E100" s="64">
        <v>43831</v>
      </c>
      <c r="F100" s="64">
        <v>43921</v>
      </c>
      <c r="G100" s="65">
        <v>43995</v>
      </c>
      <c r="H100" s="66" t="s">
        <v>132</v>
      </c>
      <c r="I100" s="67">
        <v>3</v>
      </c>
      <c r="J100" s="68">
        <v>2020</v>
      </c>
      <c r="K100" s="69">
        <v>1</v>
      </c>
      <c r="L100" s="70">
        <v>3</v>
      </c>
      <c r="M100" s="71" t="s">
        <v>140</v>
      </c>
      <c r="N100" s="71" t="s">
        <v>18</v>
      </c>
      <c r="O100" s="71" t="s">
        <v>114</v>
      </c>
      <c r="P100" s="71" t="s">
        <v>102</v>
      </c>
      <c r="Q100" s="61" t="s">
        <v>474</v>
      </c>
      <c r="R100" s="63" t="s">
        <v>165</v>
      </c>
      <c r="S100" s="72" t="s">
        <v>585</v>
      </c>
      <c r="T100" s="61" t="s">
        <v>586</v>
      </c>
      <c r="U100" s="73" t="s">
        <v>587</v>
      </c>
      <c r="V100" s="62">
        <v>108005</v>
      </c>
      <c r="W100" s="62" t="s">
        <v>437</v>
      </c>
      <c r="X100" s="62" t="s">
        <v>402</v>
      </c>
      <c r="Y100" s="93">
        <v>1</v>
      </c>
      <c r="Z100" s="94">
        <v>1</v>
      </c>
      <c r="AA100" s="74">
        <v>603</v>
      </c>
      <c r="AB100" s="75">
        <v>1056</v>
      </c>
      <c r="AC100" s="75">
        <v>8650.3770121518701</v>
      </c>
      <c r="AD100" s="76">
        <v>10380.452414675272</v>
      </c>
      <c r="AE100" s="77">
        <v>594.12833333000003</v>
      </c>
      <c r="AF100" s="75">
        <v>1038.4920833000001</v>
      </c>
      <c r="AG100" s="78">
        <v>8532.472557241701</v>
      </c>
      <c r="AH100" s="79">
        <v>10238.967068666783</v>
      </c>
      <c r="AI100" s="74">
        <v>5119.4835342752485</v>
      </c>
      <c r="AJ100" s="75">
        <v>0</v>
      </c>
      <c r="AK100" s="75">
        <v>0</v>
      </c>
      <c r="AL100" s="80">
        <v>5119.4835342752485</v>
      </c>
      <c r="AM100" s="74">
        <v>16</v>
      </c>
      <c r="AN100" s="74">
        <v>4</v>
      </c>
      <c r="AO100" s="81">
        <v>0.25</v>
      </c>
      <c r="AP100" s="82">
        <v>75</v>
      </c>
      <c r="AQ100" s="75">
        <v>5403.2443175766039</v>
      </c>
      <c r="AR100" s="75">
        <v>13216.733517064944</v>
      </c>
      <c r="AS100" s="80">
        <v>18619.977834641548</v>
      </c>
      <c r="AT100" s="74">
        <v>174.06244016512588</v>
      </c>
      <c r="AU100" s="75">
        <v>256.82742396650968</v>
      </c>
      <c r="AV100" s="75">
        <v>337.88591326239896</v>
      </c>
      <c r="AW100" s="75">
        <v>159.38658737135881</v>
      </c>
      <c r="AX100" s="80">
        <v>928.16236476539336</v>
      </c>
      <c r="AY100" s="81">
        <v>7.2220097972893221E-2</v>
      </c>
      <c r="AZ100" s="83">
        <v>248.26637112855397</v>
      </c>
      <c r="BA100" s="80">
        <v>17.929821646278835</v>
      </c>
      <c r="BB100" s="84">
        <v>-15797.265263178087</v>
      </c>
      <c r="BC100" s="85">
        <v>-46.753252038980634</v>
      </c>
      <c r="BD100" s="86">
        <v>-1.8514287807196748</v>
      </c>
      <c r="BE100" s="84">
        <v>-15637.878675806729</v>
      </c>
      <c r="BF100" s="87">
        <v>-31.447302346051224</v>
      </c>
      <c r="BG100" s="88">
        <v>-1.8327487807194305</v>
      </c>
      <c r="BH100" s="89">
        <v>2.182248780728671</v>
      </c>
      <c r="BI100" s="90">
        <v>0.59999999999182274</v>
      </c>
      <c r="BJ100" s="90">
        <v>0.10877999999866875</v>
      </c>
      <c r="BK100" s="91">
        <v>2.8910287807191626</v>
      </c>
      <c r="BL100" s="92">
        <v>-16135.15117644049</v>
      </c>
      <c r="BM100" s="95">
        <v>0</v>
      </c>
      <c r="BN100" t="s">
        <v>402</v>
      </c>
      <c r="BO100">
        <v>0.85994999999999999</v>
      </c>
    </row>
    <row r="101" spans="1:67">
      <c r="A101" s="61" t="str">
        <f t="shared" si="2"/>
        <v>UK</v>
      </c>
      <c r="B101" s="62" t="s">
        <v>64</v>
      </c>
      <c r="C101" s="62" t="s">
        <v>176</v>
      </c>
      <c r="D101" s="63" t="s">
        <v>97</v>
      </c>
      <c r="E101" s="64">
        <v>43831</v>
      </c>
      <c r="F101" s="64">
        <v>43921</v>
      </c>
      <c r="G101" s="65">
        <v>43995</v>
      </c>
      <c r="H101" s="66" t="s">
        <v>132</v>
      </c>
      <c r="I101" s="67">
        <v>3</v>
      </c>
      <c r="J101" s="68">
        <v>2020</v>
      </c>
      <c r="K101" s="69">
        <v>1</v>
      </c>
      <c r="L101" s="70">
        <v>3</v>
      </c>
      <c r="M101" s="71" t="s">
        <v>140</v>
      </c>
      <c r="N101" s="71" t="s">
        <v>18</v>
      </c>
      <c r="O101" s="71" t="s">
        <v>114</v>
      </c>
      <c r="P101" s="71" t="s">
        <v>102</v>
      </c>
      <c r="Q101" s="61" t="s">
        <v>17</v>
      </c>
      <c r="R101" s="63" t="s">
        <v>106</v>
      </c>
      <c r="S101" s="72" t="s">
        <v>439</v>
      </c>
      <c r="T101" s="61" t="s">
        <v>588</v>
      </c>
      <c r="U101" s="73" t="s">
        <v>589</v>
      </c>
      <c r="V101" s="62">
        <v>107042</v>
      </c>
      <c r="W101" s="62" t="s">
        <v>418</v>
      </c>
      <c r="X101" s="62" t="s">
        <v>402</v>
      </c>
      <c r="Y101" s="93">
        <v>1</v>
      </c>
      <c r="Z101" s="94">
        <v>1</v>
      </c>
      <c r="AA101" s="74">
        <v>0</v>
      </c>
      <c r="AB101" s="75">
        <v>0</v>
      </c>
      <c r="AC101" s="75">
        <v>0</v>
      </c>
      <c r="AD101" s="76">
        <v>0</v>
      </c>
      <c r="AE101" s="77">
        <v>2.2549999999999999</v>
      </c>
      <c r="AF101" s="75">
        <v>4.2350000000000003</v>
      </c>
      <c r="AG101" s="78">
        <v>62.122702554799694</v>
      </c>
      <c r="AH101" s="79">
        <v>74.547243065294495</v>
      </c>
      <c r="AI101" s="74">
        <v>62.122702554799694</v>
      </c>
      <c r="AJ101" s="75">
        <v>0</v>
      </c>
      <c r="AK101" s="75">
        <v>0</v>
      </c>
      <c r="AL101" s="80">
        <v>62.122702554799694</v>
      </c>
      <c r="AM101" s="74">
        <v>0</v>
      </c>
      <c r="AN101" s="74">
        <v>0</v>
      </c>
      <c r="AO101" s="81" t="s">
        <v>403</v>
      </c>
      <c r="AP101" s="82">
        <v>0</v>
      </c>
      <c r="AQ101" s="75">
        <v>0</v>
      </c>
      <c r="AR101" s="75">
        <v>0</v>
      </c>
      <c r="AS101" s="80">
        <v>0</v>
      </c>
      <c r="AT101" s="74">
        <v>0</v>
      </c>
      <c r="AU101" s="75">
        <v>1.8698933469387755</v>
      </c>
      <c r="AV101" s="75">
        <v>0</v>
      </c>
      <c r="AW101" s="75">
        <v>0</v>
      </c>
      <c r="AX101" s="80">
        <v>1.8698933469387755</v>
      </c>
      <c r="AY101" s="81">
        <v>0</v>
      </c>
      <c r="AZ101" s="83" t="s">
        <v>403</v>
      </c>
      <c r="BA101" s="80" t="s">
        <v>403</v>
      </c>
      <c r="BB101" s="84">
        <v>-1.869893346938774</v>
      </c>
      <c r="BC101" s="85" t="s">
        <v>403</v>
      </c>
      <c r="BD101" s="86">
        <v>-3.0100000000632669E-2</v>
      </c>
      <c r="BE101" s="84">
        <v>-1.869893346938774</v>
      </c>
      <c r="BF101" s="87" t="s">
        <v>403</v>
      </c>
      <c r="BG101" s="88">
        <v>-3.0100000000632669E-2</v>
      </c>
      <c r="BH101" s="89">
        <v>0</v>
      </c>
      <c r="BI101" s="90">
        <v>1</v>
      </c>
      <c r="BJ101" s="90">
        <v>3.0100000000632694E-2</v>
      </c>
      <c r="BK101" s="91">
        <v>1.0301000000006326</v>
      </c>
      <c r="BL101" s="92">
        <v>-1.869893346938774</v>
      </c>
      <c r="BM101" s="95" t="s">
        <v>442</v>
      </c>
      <c r="BN101" t="s">
        <v>402</v>
      </c>
      <c r="BO101">
        <v>0.85994999999999999</v>
      </c>
    </row>
    <row r="102" spans="1:67">
      <c r="A102" s="61" t="str">
        <f t="shared" si="2"/>
        <v>UK</v>
      </c>
      <c r="B102" s="62" t="s">
        <v>64</v>
      </c>
      <c r="C102" s="62" t="s">
        <v>176</v>
      </c>
      <c r="D102" s="63" t="s">
        <v>97</v>
      </c>
      <c r="E102" s="64">
        <v>43831</v>
      </c>
      <c r="F102" s="64">
        <v>43921</v>
      </c>
      <c r="G102" s="65">
        <v>43995</v>
      </c>
      <c r="H102" s="66" t="s">
        <v>132</v>
      </c>
      <c r="I102" s="67">
        <v>3</v>
      </c>
      <c r="J102" s="68">
        <v>2020</v>
      </c>
      <c r="K102" s="69">
        <v>1</v>
      </c>
      <c r="L102" s="70">
        <v>3</v>
      </c>
      <c r="M102" s="71" t="s">
        <v>140</v>
      </c>
      <c r="N102" s="71" t="s">
        <v>18</v>
      </c>
      <c r="O102" s="71" t="s">
        <v>114</v>
      </c>
      <c r="P102" s="71" t="s">
        <v>102</v>
      </c>
      <c r="Q102" s="61" t="s">
        <v>17</v>
      </c>
      <c r="R102" s="63" t="s">
        <v>106</v>
      </c>
      <c r="S102" s="72" t="s">
        <v>439</v>
      </c>
      <c r="T102" s="61" t="s">
        <v>588</v>
      </c>
      <c r="U102" s="73" t="s">
        <v>590</v>
      </c>
      <c r="V102" s="62">
        <v>107043</v>
      </c>
      <c r="W102" s="62" t="s">
        <v>418</v>
      </c>
      <c r="X102" s="62" t="s">
        <v>402</v>
      </c>
      <c r="Y102" s="93">
        <v>1</v>
      </c>
      <c r="Z102" s="94">
        <v>1</v>
      </c>
      <c r="AA102" s="74">
        <v>0</v>
      </c>
      <c r="AB102" s="75">
        <v>0</v>
      </c>
      <c r="AC102" s="75">
        <v>0</v>
      </c>
      <c r="AD102" s="76">
        <v>0</v>
      </c>
      <c r="AE102" s="77">
        <v>3.4461231884000001</v>
      </c>
      <c r="AF102" s="75">
        <v>8.4575362319000007</v>
      </c>
      <c r="AG102" s="78">
        <v>805.36797647537639</v>
      </c>
      <c r="AH102" s="79">
        <v>966.4415717658004</v>
      </c>
      <c r="AI102" s="74">
        <v>805.36797647537639</v>
      </c>
      <c r="AJ102" s="75">
        <v>0</v>
      </c>
      <c r="AK102" s="75">
        <v>0</v>
      </c>
      <c r="AL102" s="80">
        <v>805.36797647537639</v>
      </c>
      <c r="AM102" s="74">
        <v>0</v>
      </c>
      <c r="AN102" s="74">
        <v>0</v>
      </c>
      <c r="AO102" s="81" t="s">
        <v>403</v>
      </c>
      <c r="AP102" s="82">
        <v>0</v>
      </c>
      <c r="AQ102" s="75">
        <v>0</v>
      </c>
      <c r="AR102" s="75">
        <v>0</v>
      </c>
      <c r="AS102" s="80">
        <v>0</v>
      </c>
      <c r="AT102" s="74">
        <v>0</v>
      </c>
      <c r="AU102" s="75">
        <v>24.241576091633231</v>
      </c>
      <c r="AV102" s="75">
        <v>0</v>
      </c>
      <c r="AW102" s="75">
        <v>0</v>
      </c>
      <c r="AX102" s="80">
        <v>24.241576091633231</v>
      </c>
      <c r="AY102" s="81">
        <v>0</v>
      </c>
      <c r="AZ102" s="83" t="s">
        <v>403</v>
      </c>
      <c r="BA102" s="80" t="s">
        <v>403</v>
      </c>
      <c r="BB102" s="84">
        <v>-24.241576091633192</v>
      </c>
      <c r="BC102" s="85" t="s">
        <v>403</v>
      </c>
      <c r="BD102" s="86">
        <v>-3.0099999999657751E-2</v>
      </c>
      <c r="BE102" s="84">
        <v>-24.241576091633192</v>
      </c>
      <c r="BF102" s="87" t="s">
        <v>403</v>
      </c>
      <c r="BG102" s="88">
        <v>-3.0099999999657751E-2</v>
      </c>
      <c r="BH102" s="89">
        <v>0</v>
      </c>
      <c r="BI102" s="90">
        <v>1</v>
      </c>
      <c r="BJ102" s="90">
        <v>3.00999999996578E-2</v>
      </c>
      <c r="BK102" s="91">
        <v>1.0300999999996578</v>
      </c>
      <c r="BL102" s="92">
        <v>-24.241576091633192</v>
      </c>
      <c r="BM102" s="95" t="s">
        <v>442</v>
      </c>
      <c r="BN102" t="s">
        <v>402</v>
      </c>
      <c r="BO102">
        <v>0.85994999999999999</v>
      </c>
    </row>
    <row r="103" spans="1:67">
      <c r="A103" s="61" t="str">
        <f t="shared" si="2"/>
        <v>UK</v>
      </c>
      <c r="B103" s="62" t="s">
        <v>64</v>
      </c>
      <c r="C103" s="62" t="s">
        <v>176</v>
      </c>
      <c r="D103" s="63" t="s">
        <v>97</v>
      </c>
      <c r="E103" s="64">
        <v>43831</v>
      </c>
      <c r="F103" s="64">
        <v>43921</v>
      </c>
      <c r="G103" s="65">
        <v>43995</v>
      </c>
      <c r="H103" s="66" t="s">
        <v>132</v>
      </c>
      <c r="I103" s="67">
        <v>3</v>
      </c>
      <c r="J103" s="68">
        <v>2020</v>
      </c>
      <c r="K103" s="69">
        <v>1</v>
      </c>
      <c r="L103" s="70">
        <v>3</v>
      </c>
      <c r="M103" s="71" t="s">
        <v>140</v>
      </c>
      <c r="N103" s="71" t="s">
        <v>18</v>
      </c>
      <c r="O103" s="71" t="s">
        <v>114</v>
      </c>
      <c r="P103" s="71" t="s">
        <v>102</v>
      </c>
      <c r="Q103" s="61" t="s">
        <v>17</v>
      </c>
      <c r="R103" s="63" t="s">
        <v>112</v>
      </c>
      <c r="S103" s="72" t="s">
        <v>439</v>
      </c>
      <c r="T103" s="61" t="s">
        <v>588</v>
      </c>
      <c r="U103" s="73" t="s">
        <v>591</v>
      </c>
      <c r="V103" s="62">
        <v>107046</v>
      </c>
      <c r="W103" s="62" t="s">
        <v>418</v>
      </c>
      <c r="X103" s="62" t="s">
        <v>402</v>
      </c>
      <c r="Y103" s="93">
        <v>1</v>
      </c>
      <c r="Z103" s="94">
        <v>1</v>
      </c>
      <c r="AA103" s="74">
        <v>0</v>
      </c>
      <c r="AB103" s="75">
        <v>0</v>
      </c>
      <c r="AC103" s="75">
        <v>0</v>
      </c>
      <c r="AD103" s="76">
        <v>0</v>
      </c>
      <c r="AE103" s="77">
        <v>2.5200819671999999</v>
      </c>
      <c r="AF103" s="75">
        <v>3.8424863388000001</v>
      </c>
      <c r="AG103" s="78">
        <v>396.66655574161285</v>
      </c>
      <c r="AH103" s="79">
        <v>475.99986689923833</v>
      </c>
      <c r="AI103" s="74">
        <v>396.66655574161285</v>
      </c>
      <c r="AJ103" s="75">
        <v>0</v>
      </c>
      <c r="AK103" s="75">
        <v>0</v>
      </c>
      <c r="AL103" s="80">
        <v>396.66655574161285</v>
      </c>
      <c r="AM103" s="74">
        <v>0</v>
      </c>
      <c r="AN103" s="74">
        <v>0</v>
      </c>
      <c r="AO103" s="81" t="s">
        <v>403</v>
      </c>
      <c r="AP103" s="82">
        <v>0</v>
      </c>
      <c r="AQ103" s="75">
        <v>0</v>
      </c>
      <c r="AR103" s="75">
        <v>0</v>
      </c>
      <c r="AS103" s="80">
        <v>0</v>
      </c>
      <c r="AT103" s="74">
        <v>0</v>
      </c>
      <c r="AU103" s="75">
        <v>11.939663328100471</v>
      </c>
      <c r="AV103" s="75">
        <v>0</v>
      </c>
      <c r="AW103" s="75">
        <v>0</v>
      </c>
      <c r="AX103" s="80">
        <v>11.939663328100471</v>
      </c>
      <c r="AY103" s="81">
        <v>0</v>
      </c>
      <c r="AZ103" s="83" t="s">
        <v>403</v>
      </c>
      <c r="BA103" s="80" t="s">
        <v>403</v>
      </c>
      <c r="BB103" s="84">
        <v>-11.939663328100494</v>
      </c>
      <c r="BC103" s="85" t="s">
        <v>403</v>
      </c>
      <c r="BD103" s="86">
        <v>-3.0100000000700705E-2</v>
      </c>
      <c r="BE103" s="84">
        <v>-11.939663328100494</v>
      </c>
      <c r="BF103" s="87" t="s">
        <v>403</v>
      </c>
      <c r="BG103" s="88">
        <v>-3.0100000000700705E-2</v>
      </c>
      <c r="BH103" s="89">
        <v>0</v>
      </c>
      <c r="BI103" s="90">
        <v>1</v>
      </c>
      <c r="BJ103" s="90">
        <v>3.010000000070065E-2</v>
      </c>
      <c r="BK103" s="91">
        <v>1.0301000000007006</v>
      </c>
      <c r="BL103" s="92">
        <v>-11.939663328100494</v>
      </c>
      <c r="BM103" s="95" t="s">
        <v>442</v>
      </c>
      <c r="BN103" t="s">
        <v>402</v>
      </c>
      <c r="BO103">
        <v>0.85994999999999999</v>
      </c>
    </row>
    <row r="104" spans="1:67">
      <c r="A104" s="61" t="str">
        <f t="shared" si="2"/>
        <v>UK</v>
      </c>
      <c r="B104" s="62" t="s">
        <v>64</v>
      </c>
      <c r="C104" s="62" t="s">
        <v>176</v>
      </c>
      <c r="D104" s="63" t="s">
        <v>97</v>
      </c>
      <c r="E104" s="64">
        <v>43831</v>
      </c>
      <c r="F104" s="64">
        <v>43921</v>
      </c>
      <c r="G104" s="65">
        <v>43995</v>
      </c>
      <c r="H104" s="66" t="s">
        <v>132</v>
      </c>
      <c r="I104" s="67">
        <v>3</v>
      </c>
      <c r="J104" s="68">
        <v>2020</v>
      </c>
      <c r="K104" s="69">
        <v>1</v>
      </c>
      <c r="L104" s="70">
        <v>3</v>
      </c>
      <c r="M104" s="71" t="s">
        <v>140</v>
      </c>
      <c r="N104" s="71" t="s">
        <v>18</v>
      </c>
      <c r="O104" s="71" t="s">
        <v>114</v>
      </c>
      <c r="P104" s="71" t="s">
        <v>102</v>
      </c>
      <c r="Q104" s="61" t="s">
        <v>17</v>
      </c>
      <c r="R104" s="63" t="s">
        <v>112</v>
      </c>
      <c r="S104" s="72" t="s">
        <v>439</v>
      </c>
      <c r="T104" s="61" t="s">
        <v>588</v>
      </c>
      <c r="U104" s="73" t="s">
        <v>592</v>
      </c>
      <c r="V104" s="62">
        <v>107047</v>
      </c>
      <c r="W104" s="62" t="s">
        <v>418</v>
      </c>
      <c r="X104" s="62" t="s">
        <v>402</v>
      </c>
      <c r="Y104" s="93">
        <v>1</v>
      </c>
      <c r="Z104" s="94">
        <v>1</v>
      </c>
      <c r="AA104" s="74">
        <v>0</v>
      </c>
      <c r="AB104" s="75">
        <v>0</v>
      </c>
      <c r="AC104" s="75">
        <v>0</v>
      </c>
      <c r="AD104" s="76">
        <v>0</v>
      </c>
      <c r="AE104" s="77">
        <v>3.1557376999999998E-2</v>
      </c>
      <c r="AF104" s="75">
        <v>6.3114754100000003E-2</v>
      </c>
      <c r="AG104" s="78">
        <v>9.3809148708645864</v>
      </c>
      <c r="AH104" s="79">
        <v>11.257097844990987</v>
      </c>
      <c r="AI104" s="74">
        <v>9.3809148708645864</v>
      </c>
      <c r="AJ104" s="75">
        <v>0</v>
      </c>
      <c r="AK104" s="75">
        <v>0</v>
      </c>
      <c r="AL104" s="80">
        <v>9.3809148708645864</v>
      </c>
      <c r="AM104" s="74">
        <v>0</v>
      </c>
      <c r="AN104" s="74">
        <v>0</v>
      </c>
      <c r="AO104" s="81" t="s">
        <v>403</v>
      </c>
      <c r="AP104" s="82">
        <v>0</v>
      </c>
      <c r="AQ104" s="75">
        <v>0</v>
      </c>
      <c r="AR104" s="75">
        <v>0</v>
      </c>
      <c r="AS104" s="80">
        <v>0</v>
      </c>
      <c r="AT104" s="74">
        <v>0</v>
      </c>
      <c r="AU104" s="75">
        <v>0.28236553764753763</v>
      </c>
      <c r="AV104" s="75">
        <v>0</v>
      </c>
      <c r="AW104" s="75">
        <v>0</v>
      </c>
      <c r="AX104" s="80">
        <v>0.28236553764753763</v>
      </c>
      <c r="AY104" s="81">
        <v>0</v>
      </c>
      <c r="AZ104" s="83" t="s">
        <v>403</v>
      </c>
      <c r="BA104" s="80" t="s">
        <v>403</v>
      </c>
      <c r="BB104" s="84">
        <v>-0.28236553764753758</v>
      </c>
      <c r="BC104" s="85" t="s">
        <v>403</v>
      </c>
      <c r="BD104" s="86">
        <v>-3.0100000003679121E-2</v>
      </c>
      <c r="BE104" s="84">
        <v>-0.28236553764753758</v>
      </c>
      <c r="BF104" s="87" t="s">
        <v>403</v>
      </c>
      <c r="BG104" s="88">
        <v>-3.0100000003679121E-2</v>
      </c>
      <c r="BH104" s="89">
        <v>0</v>
      </c>
      <c r="BI104" s="90">
        <v>1</v>
      </c>
      <c r="BJ104" s="90">
        <v>3.0100000003679128E-2</v>
      </c>
      <c r="BK104" s="91">
        <v>1.0301000000036791</v>
      </c>
      <c r="BL104" s="92">
        <v>-0.28236553764753758</v>
      </c>
      <c r="BM104" s="95" t="s">
        <v>442</v>
      </c>
      <c r="BN104" t="s">
        <v>402</v>
      </c>
      <c r="BO104">
        <v>0.85994999999999999</v>
      </c>
    </row>
    <row r="105" spans="1:67">
      <c r="A105" s="61" t="str">
        <f t="shared" si="2"/>
        <v>UK</v>
      </c>
      <c r="B105" s="62" t="s">
        <v>64</v>
      </c>
      <c r="C105" s="62" t="s">
        <v>176</v>
      </c>
      <c r="D105" s="63" t="s">
        <v>97</v>
      </c>
      <c r="E105" s="64">
        <v>43831</v>
      </c>
      <c r="F105" s="64">
        <v>43921</v>
      </c>
      <c r="G105" s="65">
        <v>43995</v>
      </c>
      <c r="H105" s="66" t="s">
        <v>132</v>
      </c>
      <c r="I105" s="67">
        <v>3</v>
      </c>
      <c r="J105" s="68">
        <v>2020</v>
      </c>
      <c r="K105" s="69">
        <v>1</v>
      </c>
      <c r="L105" s="70">
        <v>3</v>
      </c>
      <c r="M105" s="71" t="s">
        <v>140</v>
      </c>
      <c r="N105" s="71" t="s">
        <v>18</v>
      </c>
      <c r="O105" s="71" t="s">
        <v>114</v>
      </c>
      <c r="P105" s="71" t="s">
        <v>102</v>
      </c>
      <c r="Q105" s="61" t="s">
        <v>17</v>
      </c>
      <c r="R105" s="63" t="s">
        <v>112</v>
      </c>
      <c r="S105" s="72" t="s">
        <v>439</v>
      </c>
      <c r="T105" s="61" t="s">
        <v>588</v>
      </c>
      <c r="U105" s="73" t="s">
        <v>593</v>
      </c>
      <c r="V105" s="62">
        <v>107048</v>
      </c>
      <c r="W105" s="62" t="s">
        <v>418</v>
      </c>
      <c r="X105" s="62" t="s">
        <v>402</v>
      </c>
      <c r="Y105" s="93">
        <v>1</v>
      </c>
      <c r="Z105" s="94">
        <v>1</v>
      </c>
      <c r="AA105" s="74">
        <v>0</v>
      </c>
      <c r="AB105" s="75">
        <v>0</v>
      </c>
      <c r="AC105" s="75">
        <v>0</v>
      </c>
      <c r="AD105" s="76">
        <v>0</v>
      </c>
      <c r="AE105" s="77">
        <v>8.5655737699999998E-2</v>
      </c>
      <c r="AF105" s="75">
        <v>8.5655737699999998E-2</v>
      </c>
      <c r="AG105" s="78">
        <v>12.391751949531949</v>
      </c>
      <c r="AH105" s="79">
        <v>14.870102339670911</v>
      </c>
      <c r="AI105" s="74">
        <v>12.391751949531949</v>
      </c>
      <c r="AJ105" s="75">
        <v>0</v>
      </c>
      <c r="AK105" s="75">
        <v>0</v>
      </c>
      <c r="AL105" s="80">
        <v>12.391751949531949</v>
      </c>
      <c r="AM105" s="74">
        <v>0</v>
      </c>
      <c r="AN105" s="74">
        <v>0</v>
      </c>
      <c r="AO105" s="81" t="s">
        <v>403</v>
      </c>
      <c r="AP105" s="82">
        <v>0</v>
      </c>
      <c r="AQ105" s="75">
        <v>0</v>
      </c>
      <c r="AR105" s="75">
        <v>0</v>
      </c>
      <c r="AS105" s="80">
        <v>0</v>
      </c>
      <c r="AT105" s="74">
        <v>0</v>
      </c>
      <c r="AU105" s="75">
        <v>0.37299173370544797</v>
      </c>
      <c r="AV105" s="75">
        <v>0</v>
      </c>
      <c r="AW105" s="75">
        <v>0</v>
      </c>
      <c r="AX105" s="80">
        <v>0.37299173370544797</v>
      </c>
      <c r="AY105" s="81">
        <v>0</v>
      </c>
      <c r="AZ105" s="83" t="s">
        <v>403</v>
      </c>
      <c r="BA105" s="80" t="s">
        <v>403</v>
      </c>
      <c r="BB105" s="84">
        <v>-0.37299173370544736</v>
      </c>
      <c r="BC105" s="85" t="s">
        <v>403</v>
      </c>
      <c r="BD105" s="86">
        <v>-3.0100000001980001E-2</v>
      </c>
      <c r="BE105" s="84">
        <v>-0.37299173370544736</v>
      </c>
      <c r="BF105" s="87" t="s">
        <v>403</v>
      </c>
      <c r="BG105" s="88">
        <v>-3.0100000001980001E-2</v>
      </c>
      <c r="BH105" s="89">
        <v>0</v>
      </c>
      <c r="BI105" s="90">
        <v>1</v>
      </c>
      <c r="BJ105" s="90">
        <v>3.010000000198005E-2</v>
      </c>
      <c r="BK105" s="91">
        <v>1.03010000000198</v>
      </c>
      <c r="BL105" s="92">
        <v>-0.37299173370544736</v>
      </c>
      <c r="BM105" s="95" t="s">
        <v>442</v>
      </c>
      <c r="BN105" t="s">
        <v>402</v>
      </c>
      <c r="BO105">
        <v>0.85994999999999999</v>
      </c>
    </row>
    <row r="106" spans="1:67">
      <c r="A106" s="61" t="str">
        <f t="shared" si="2"/>
        <v>UK</v>
      </c>
      <c r="B106" s="62" t="s">
        <v>64</v>
      </c>
      <c r="C106" s="62" t="s">
        <v>176</v>
      </c>
      <c r="D106" s="63" t="s">
        <v>97</v>
      </c>
      <c r="E106" s="64">
        <v>43831</v>
      </c>
      <c r="F106" s="64">
        <v>43921</v>
      </c>
      <c r="G106" s="65">
        <v>43995</v>
      </c>
      <c r="H106" s="66" t="s">
        <v>132</v>
      </c>
      <c r="I106" s="67">
        <v>3</v>
      </c>
      <c r="J106" s="68">
        <v>2020</v>
      </c>
      <c r="K106" s="69">
        <v>1</v>
      </c>
      <c r="L106" s="70">
        <v>3</v>
      </c>
      <c r="M106" s="71" t="s">
        <v>140</v>
      </c>
      <c r="N106" s="71" t="s">
        <v>18</v>
      </c>
      <c r="O106" s="71" t="s">
        <v>114</v>
      </c>
      <c r="P106" s="71" t="s">
        <v>102</v>
      </c>
      <c r="Q106" s="61" t="s">
        <v>17</v>
      </c>
      <c r="R106" s="63" t="s">
        <v>106</v>
      </c>
      <c r="S106" s="72" t="s">
        <v>439</v>
      </c>
      <c r="T106" s="61" t="s">
        <v>588</v>
      </c>
      <c r="U106" s="73" t="s">
        <v>594</v>
      </c>
      <c r="V106" s="62">
        <v>107045</v>
      </c>
      <c r="W106" s="62" t="s">
        <v>418</v>
      </c>
      <c r="X106" s="62" t="s">
        <v>402</v>
      </c>
      <c r="Y106" s="93">
        <v>1</v>
      </c>
      <c r="Z106" s="94">
        <v>1</v>
      </c>
      <c r="AA106" s="74">
        <v>0</v>
      </c>
      <c r="AB106" s="75">
        <v>0</v>
      </c>
      <c r="AC106" s="75">
        <v>0</v>
      </c>
      <c r="AD106" s="76">
        <v>0</v>
      </c>
      <c r="AE106" s="77">
        <v>4.8844827585999999</v>
      </c>
      <c r="AF106" s="75">
        <v>8.7094827586000001</v>
      </c>
      <c r="AG106" s="78">
        <v>716.33400859352287</v>
      </c>
      <c r="AH106" s="79">
        <v>859.60081031455309</v>
      </c>
      <c r="AI106" s="74">
        <v>716.33400859352287</v>
      </c>
      <c r="AJ106" s="75">
        <v>0</v>
      </c>
      <c r="AK106" s="75">
        <v>0</v>
      </c>
      <c r="AL106" s="80">
        <v>716.33400859352287</v>
      </c>
      <c r="AM106" s="74">
        <v>0</v>
      </c>
      <c r="AN106" s="74">
        <v>0</v>
      </c>
      <c r="AO106" s="81" t="s">
        <v>403</v>
      </c>
      <c r="AP106" s="82">
        <v>0</v>
      </c>
      <c r="AQ106" s="75">
        <v>0</v>
      </c>
      <c r="AR106" s="75">
        <v>0</v>
      </c>
      <c r="AS106" s="80">
        <v>0</v>
      </c>
      <c r="AT106" s="74">
        <v>0</v>
      </c>
      <c r="AU106" s="75">
        <v>21.561653658933658</v>
      </c>
      <c r="AV106" s="75">
        <v>0</v>
      </c>
      <c r="AW106" s="75">
        <v>0</v>
      </c>
      <c r="AX106" s="80">
        <v>21.561653658933658</v>
      </c>
      <c r="AY106" s="81">
        <v>0</v>
      </c>
      <c r="AZ106" s="83" t="s">
        <v>403</v>
      </c>
      <c r="BA106" s="80" t="s">
        <v>403</v>
      </c>
      <c r="BB106" s="84">
        <v>-21.561653658933665</v>
      </c>
      <c r="BC106" s="85" t="s">
        <v>403</v>
      </c>
      <c r="BD106" s="86">
        <v>-3.0100000000375E-2</v>
      </c>
      <c r="BE106" s="84">
        <v>-21.561653658933665</v>
      </c>
      <c r="BF106" s="87" t="s">
        <v>403</v>
      </c>
      <c r="BG106" s="88">
        <v>-3.0100000000375E-2</v>
      </c>
      <c r="BH106" s="89">
        <v>0</v>
      </c>
      <c r="BI106" s="90">
        <v>1</v>
      </c>
      <c r="BJ106" s="90">
        <v>3.010000000037499E-2</v>
      </c>
      <c r="BK106" s="91">
        <v>1.030100000000375</v>
      </c>
      <c r="BL106" s="92">
        <v>-21.561653658933665</v>
      </c>
      <c r="BM106" s="95" t="s">
        <v>442</v>
      </c>
      <c r="BN106" t="s">
        <v>402</v>
      </c>
      <c r="BO106">
        <v>0.85994999999999999</v>
      </c>
    </row>
    <row r="107" spans="1:67">
      <c r="A107" s="61" t="str">
        <f t="shared" si="2"/>
        <v>UK</v>
      </c>
      <c r="B107" s="62" t="s">
        <v>64</v>
      </c>
      <c r="C107" s="62" t="s">
        <v>176</v>
      </c>
      <c r="D107" s="63" t="s">
        <v>97</v>
      </c>
      <c r="E107" s="64">
        <v>43831</v>
      </c>
      <c r="F107" s="64">
        <v>43921</v>
      </c>
      <c r="G107" s="65">
        <v>43995</v>
      </c>
      <c r="H107" s="66" t="s">
        <v>132</v>
      </c>
      <c r="I107" s="67">
        <v>3</v>
      </c>
      <c r="J107" s="68">
        <v>2020</v>
      </c>
      <c r="K107" s="69">
        <v>1</v>
      </c>
      <c r="L107" s="70">
        <v>3</v>
      </c>
      <c r="M107" s="71" t="s">
        <v>140</v>
      </c>
      <c r="N107" s="71" t="s">
        <v>18</v>
      </c>
      <c r="O107" s="71" t="s">
        <v>114</v>
      </c>
      <c r="P107" s="71" t="s">
        <v>102</v>
      </c>
      <c r="Q107" s="61" t="s">
        <v>170</v>
      </c>
      <c r="R107" s="63" t="s">
        <v>112</v>
      </c>
      <c r="S107" s="72" t="s">
        <v>439</v>
      </c>
      <c r="T107" s="61" t="s">
        <v>595</v>
      </c>
      <c r="U107" s="73" t="s">
        <v>596</v>
      </c>
      <c r="V107" s="62">
        <v>107037</v>
      </c>
      <c r="W107" s="62" t="s">
        <v>597</v>
      </c>
      <c r="X107" s="62" t="s">
        <v>402</v>
      </c>
      <c r="Y107" s="93">
        <v>1</v>
      </c>
      <c r="Z107" s="94">
        <v>1</v>
      </c>
      <c r="AA107" s="74">
        <v>0</v>
      </c>
      <c r="AB107" s="75">
        <v>0</v>
      </c>
      <c r="AC107" s="75">
        <v>0</v>
      </c>
      <c r="AD107" s="76">
        <v>0</v>
      </c>
      <c r="AE107" s="77">
        <v>0.25846994540000001</v>
      </c>
      <c r="AF107" s="75">
        <v>0.32308743169999998</v>
      </c>
      <c r="AG107" s="78">
        <v>32.802024182801325</v>
      </c>
      <c r="AH107" s="79">
        <v>39.362429019129017</v>
      </c>
      <c r="AI107" s="74">
        <v>32.802024182801325</v>
      </c>
      <c r="AJ107" s="75">
        <v>0</v>
      </c>
      <c r="AK107" s="75">
        <v>0</v>
      </c>
      <c r="AL107" s="80">
        <v>32.802024182801325</v>
      </c>
      <c r="AM107" s="74">
        <v>0</v>
      </c>
      <c r="AN107" s="74">
        <v>0</v>
      </c>
      <c r="AO107" s="81" t="s">
        <v>403</v>
      </c>
      <c r="AP107" s="82">
        <v>0</v>
      </c>
      <c r="AQ107" s="75">
        <v>0</v>
      </c>
      <c r="AR107" s="75">
        <v>0</v>
      </c>
      <c r="AS107" s="80">
        <v>0</v>
      </c>
      <c r="AT107" s="74">
        <v>0</v>
      </c>
      <c r="AU107" s="75">
        <v>0.98734092784464222</v>
      </c>
      <c r="AV107" s="75">
        <v>0</v>
      </c>
      <c r="AW107" s="75">
        <v>0</v>
      </c>
      <c r="AX107" s="80">
        <v>0.98734092784464222</v>
      </c>
      <c r="AY107" s="81">
        <v>0</v>
      </c>
      <c r="AZ107" s="83" t="s">
        <v>403</v>
      </c>
      <c r="BA107" s="80" t="s">
        <v>403</v>
      </c>
      <c r="BB107" s="84">
        <v>-0.98734092784464167</v>
      </c>
      <c r="BC107" s="85" t="s">
        <v>403</v>
      </c>
      <c r="BD107" s="86">
        <v>-3.0099999998241627E-2</v>
      </c>
      <c r="BE107" s="84">
        <v>-0.98734092784464167</v>
      </c>
      <c r="BF107" s="87" t="s">
        <v>403</v>
      </c>
      <c r="BG107" s="88">
        <v>-3.0099999998241627E-2</v>
      </c>
      <c r="BH107" s="89">
        <v>0</v>
      </c>
      <c r="BI107" s="90">
        <v>1</v>
      </c>
      <c r="BJ107" s="90">
        <v>3.0099999998241644E-2</v>
      </c>
      <c r="BK107" s="91">
        <v>1.0300999999982416</v>
      </c>
      <c r="BL107" s="92">
        <v>-0.98734092784464167</v>
      </c>
      <c r="BM107" s="95" t="s">
        <v>442</v>
      </c>
      <c r="BN107" t="s">
        <v>402</v>
      </c>
      <c r="BO107">
        <v>0.85994999999999999</v>
      </c>
    </row>
    <row r="108" spans="1:67">
      <c r="A108" s="61" t="str">
        <f t="shared" si="2"/>
        <v>UK</v>
      </c>
      <c r="B108" s="62" t="s">
        <v>64</v>
      </c>
      <c r="C108" s="62" t="s">
        <v>176</v>
      </c>
      <c r="D108" s="63" t="s">
        <v>97</v>
      </c>
      <c r="E108" s="64">
        <v>43831</v>
      </c>
      <c r="F108" s="64">
        <v>43921</v>
      </c>
      <c r="G108" s="65">
        <v>43995</v>
      </c>
      <c r="H108" s="66" t="s">
        <v>132</v>
      </c>
      <c r="I108" s="67">
        <v>3</v>
      </c>
      <c r="J108" s="68">
        <v>2020</v>
      </c>
      <c r="K108" s="69">
        <v>1</v>
      </c>
      <c r="L108" s="70">
        <v>3</v>
      </c>
      <c r="M108" s="71" t="s">
        <v>140</v>
      </c>
      <c r="N108" s="71" t="s">
        <v>18</v>
      </c>
      <c r="O108" s="71" t="s">
        <v>114</v>
      </c>
      <c r="P108" s="71" t="s">
        <v>102</v>
      </c>
      <c r="Q108" s="61" t="s">
        <v>170</v>
      </c>
      <c r="R108" s="63" t="s">
        <v>106</v>
      </c>
      <c r="S108" s="72" t="s">
        <v>439</v>
      </c>
      <c r="T108" s="61" t="s">
        <v>595</v>
      </c>
      <c r="U108" s="73" t="s">
        <v>598</v>
      </c>
      <c r="V108" s="62">
        <v>107035</v>
      </c>
      <c r="W108" s="62" t="s">
        <v>597</v>
      </c>
      <c r="X108" s="62" t="s">
        <v>402</v>
      </c>
      <c r="Y108" s="93">
        <v>1</v>
      </c>
      <c r="Z108" s="94">
        <v>1</v>
      </c>
      <c r="AA108" s="74">
        <v>0</v>
      </c>
      <c r="AB108" s="75">
        <v>0</v>
      </c>
      <c r="AC108" s="75">
        <v>0</v>
      </c>
      <c r="AD108" s="76">
        <v>0</v>
      </c>
      <c r="AE108" s="77">
        <v>5.3660714285999997</v>
      </c>
      <c r="AF108" s="75">
        <v>9.1463095237999994</v>
      </c>
      <c r="AG108" s="78">
        <v>1299.4083719983721</v>
      </c>
      <c r="AH108" s="79">
        <v>1559.2900463980463</v>
      </c>
      <c r="AI108" s="74">
        <v>1299.4083719983721</v>
      </c>
      <c r="AJ108" s="75">
        <v>0</v>
      </c>
      <c r="AK108" s="75">
        <v>0</v>
      </c>
      <c r="AL108" s="80">
        <v>1299.4083719983721</v>
      </c>
      <c r="AM108" s="74">
        <v>0</v>
      </c>
      <c r="AN108" s="74">
        <v>0</v>
      </c>
      <c r="AO108" s="81" t="s">
        <v>403</v>
      </c>
      <c r="AP108" s="82">
        <v>0</v>
      </c>
      <c r="AQ108" s="75">
        <v>0</v>
      </c>
      <c r="AR108" s="75">
        <v>0</v>
      </c>
      <c r="AS108" s="80">
        <v>0</v>
      </c>
      <c r="AT108" s="74">
        <v>0</v>
      </c>
      <c r="AU108" s="75">
        <v>39.112191996046285</v>
      </c>
      <c r="AV108" s="75">
        <v>0</v>
      </c>
      <c r="AW108" s="75">
        <v>0</v>
      </c>
      <c r="AX108" s="80">
        <v>39.112191996046285</v>
      </c>
      <c r="AY108" s="81">
        <v>0</v>
      </c>
      <c r="AZ108" s="83" t="s">
        <v>403</v>
      </c>
      <c r="BA108" s="80" t="s">
        <v>403</v>
      </c>
      <c r="BB108" s="84">
        <v>-39.112191996046249</v>
      </c>
      <c r="BC108" s="85" t="s">
        <v>403</v>
      </c>
      <c r="BD108" s="86">
        <v>-3.0099999999149803E-2</v>
      </c>
      <c r="BE108" s="84">
        <v>-39.112191996046249</v>
      </c>
      <c r="BF108" s="87" t="s">
        <v>403</v>
      </c>
      <c r="BG108" s="88">
        <v>-3.0099999999149803E-2</v>
      </c>
      <c r="BH108" s="89">
        <v>0</v>
      </c>
      <c r="BI108" s="90">
        <v>1</v>
      </c>
      <c r="BJ108" s="90">
        <v>3.0099999999149831E-2</v>
      </c>
      <c r="BK108" s="91">
        <v>1.0300999999991498</v>
      </c>
      <c r="BL108" s="92">
        <v>-39.112191996046249</v>
      </c>
      <c r="BM108" s="95" t="s">
        <v>442</v>
      </c>
      <c r="BN108" t="s">
        <v>402</v>
      </c>
      <c r="BO108">
        <v>0.85994999999999999</v>
      </c>
    </row>
    <row r="109" spans="1:67">
      <c r="A109" s="61" t="str">
        <f t="shared" si="2"/>
        <v>UK</v>
      </c>
      <c r="B109" s="62" t="s">
        <v>64</v>
      </c>
      <c r="C109" s="62" t="s">
        <v>176</v>
      </c>
      <c r="D109" s="63" t="s">
        <v>97</v>
      </c>
      <c r="E109" s="64">
        <v>43831</v>
      </c>
      <c r="F109" s="64">
        <v>43921</v>
      </c>
      <c r="G109" s="65">
        <v>43995</v>
      </c>
      <c r="H109" s="66" t="s">
        <v>132</v>
      </c>
      <c r="I109" s="67">
        <v>3</v>
      </c>
      <c r="J109" s="68">
        <v>2020</v>
      </c>
      <c r="K109" s="69">
        <v>1</v>
      </c>
      <c r="L109" s="70">
        <v>3</v>
      </c>
      <c r="M109" s="71" t="s">
        <v>140</v>
      </c>
      <c r="N109" s="71" t="s">
        <v>18</v>
      </c>
      <c r="O109" s="71" t="s">
        <v>114</v>
      </c>
      <c r="P109" s="71" t="s">
        <v>102</v>
      </c>
      <c r="Q109" s="61" t="s">
        <v>170</v>
      </c>
      <c r="R109" s="63" t="s">
        <v>112</v>
      </c>
      <c r="S109" s="72" t="s">
        <v>439</v>
      </c>
      <c r="T109" s="61" t="s">
        <v>595</v>
      </c>
      <c r="U109" s="73" t="s">
        <v>599</v>
      </c>
      <c r="V109" s="62">
        <v>107038</v>
      </c>
      <c r="W109" s="62" t="s">
        <v>597</v>
      </c>
      <c r="X109" s="62" t="s">
        <v>402</v>
      </c>
      <c r="Y109" s="93">
        <v>1</v>
      </c>
      <c r="Z109" s="94">
        <v>1</v>
      </c>
      <c r="AA109" s="74">
        <v>0</v>
      </c>
      <c r="AB109" s="75">
        <v>0</v>
      </c>
      <c r="AC109" s="75">
        <v>0</v>
      </c>
      <c r="AD109" s="76">
        <v>0</v>
      </c>
      <c r="AE109" s="77">
        <v>3.9912568305999998</v>
      </c>
      <c r="AF109" s="75">
        <v>7.3543715847</v>
      </c>
      <c r="AG109" s="78">
        <v>381.80372353043782</v>
      </c>
      <c r="AH109" s="79">
        <v>458.16446823652535</v>
      </c>
      <c r="AI109" s="74">
        <v>381.80372353043782</v>
      </c>
      <c r="AJ109" s="75">
        <v>0</v>
      </c>
      <c r="AK109" s="75">
        <v>0</v>
      </c>
      <c r="AL109" s="80">
        <v>381.80372353043782</v>
      </c>
      <c r="AM109" s="74">
        <v>0</v>
      </c>
      <c r="AN109" s="74">
        <v>0</v>
      </c>
      <c r="AO109" s="81" t="s">
        <v>403</v>
      </c>
      <c r="AP109" s="82">
        <v>0</v>
      </c>
      <c r="AQ109" s="75">
        <v>0</v>
      </c>
      <c r="AR109" s="75">
        <v>0</v>
      </c>
      <c r="AS109" s="80">
        <v>0</v>
      </c>
      <c r="AT109" s="74">
        <v>0</v>
      </c>
      <c r="AU109" s="75">
        <v>11.49229207837665</v>
      </c>
      <c r="AV109" s="75">
        <v>0</v>
      </c>
      <c r="AW109" s="75">
        <v>0</v>
      </c>
      <c r="AX109" s="80">
        <v>11.49229207837665</v>
      </c>
      <c r="AY109" s="81">
        <v>0</v>
      </c>
      <c r="AZ109" s="83" t="s">
        <v>403</v>
      </c>
      <c r="BA109" s="80" t="s">
        <v>403</v>
      </c>
      <c r="BB109" s="84">
        <v>-11.492292078376636</v>
      </c>
      <c r="BC109" s="85" t="s">
        <v>403</v>
      </c>
      <c r="BD109" s="86">
        <v>-3.0100000000289305E-2</v>
      </c>
      <c r="BE109" s="84">
        <v>-11.492292078376636</v>
      </c>
      <c r="BF109" s="87" t="s">
        <v>403</v>
      </c>
      <c r="BG109" s="88">
        <v>-3.0100000000289305E-2</v>
      </c>
      <c r="BH109" s="89">
        <v>0</v>
      </c>
      <c r="BI109" s="90">
        <v>1</v>
      </c>
      <c r="BJ109" s="90">
        <v>3.010000000028934E-2</v>
      </c>
      <c r="BK109" s="91">
        <v>1.0301000000002893</v>
      </c>
      <c r="BL109" s="92">
        <v>-11.492292078376636</v>
      </c>
      <c r="BM109" s="95" t="s">
        <v>442</v>
      </c>
      <c r="BN109" t="s">
        <v>402</v>
      </c>
      <c r="BO109">
        <v>0.85994999999999999</v>
      </c>
    </row>
    <row r="110" spans="1:67">
      <c r="A110" s="61" t="str">
        <f t="shared" si="2"/>
        <v>UK</v>
      </c>
      <c r="B110" s="62" t="s">
        <v>64</v>
      </c>
      <c r="C110" s="62" t="s">
        <v>176</v>
      </c>
      <c r="D110" s="63" t="s">
        <v>97</v>
      </c>
      <c r="E110" s="64">
        <v>43831</v>
      </c>
      <c r="F110" s="64">
        <v>43921</v>
      </c>
      <c r="G110" s="65">
        <v>43995</v>
      </c>
      <c r="H110" s="66" t="s">
        <v>132</v>
      </c>
      <c r="I110" s="67">
        <v>3</v>
      </c>
      <c r="J110" s="68">
        <v>2020</v>
      </c>
      <c r="K110" s="69">
        <v>1</v>
      </c>
      <c r="L110" s="70">
        <v>3</v>
      </c>
      <c r="M110" s="71" t="s">
        <v>140</v>
      </c>
      <c r="N110" s="71" t="s">
        <v>18</v>
      </c>
      <c r="O110" s="71" t="s">
        <v>114</v>
      </c>
      <c r="P110" s="71" t="s">
        <v>102</v>
      </c>
      <c r="Q110" s="61" t="s">
        <v>170</v>
      </c>
      <c r="R110" s="63" t="s">
        <v>106</v>
      </c>
      <c r="S110" s="72" t="s">
        <v>439</v>
      </c>
      <c r="T110" s="61" t="s">
        <v>595</v>
      </c>
      <c r="U110" s="73" t="s">
        <v>600</v>
      </c>
      <c r="V110" s="62">
        <v>107036</v>
      </c>
      <c r="W110" s="62" t="s">
        <v>597</v>
      </c>
      <c r="X110" s="62" t="s">
        <v>402</v>
      </c>
      <c r="Y110" s="93">
        <v>1</v>
      </c>
      <c r="Z110" s="94">
        <v>1</v>
      </c>
      <c r="AA110" s="74">
        <v>0</v>
      </c>
      <c r="AB110" s="75">
        <v>0</v>
      </c>
      <c r="AC110" s="75">
        <v>0</v>
      </c>
      <c r="AD110" s="76">
        <v>0</v>
      </c>
      <c r="AE110" s="77">
        <v>6.6932857143</v>
      </c>
      <c r="AF110" s="75">
        <v>11.215857142999999</v>
      </c>
      <c r="AG110" s="78">
        <v>1382.5925944531659</v>
      </c>
      <c r="AH110" s="79">
        <v>1659.1111133205418</v>
      </c>
      <c r="AI110" s="74">
        <v>1382.5925944531659</v>
      </c>
      <c r="AJ110" s="75">
        <v>0</v>
      </c>
      <c r="AK110" s="75">
        <v>0</v>
      </c>
      <c r="AL110" s="80">
        <v>1382.5925944531659</v>
      </c>
      <c r="AM110" s="74">
        <v>0</v>
      </c>
      <c r="AN110" s="74">
        <v>0</v>
      </c>
      <c r="AO110" s="81" t="s">
        <v>403</v>
      </c>
      <c r="AP110" s="82">
        <v>0</v>
      </c>
      <c r="AQ110" s="75">
        <v>0</v>
      </c>
      <c r="AR110" s="75">
        <v>0</v>
      </c>
      <c r="AS110" s="80">
        <v>0</v>
      </c>
      <c r="AT110" s="74">
        <v>0</v>
      </c>
      <c r="AU110" s="75">
        <v>41.616037091691375</v>
      </c>
      <c r="AV110" s="75">
        <v>0</v>
      </c>
      <c r="AW110" s="75">
        <v>0</v>
      </c>
      <c r="AX110" s="80">
        <v>41.616037091691375</v>
      </c>
      <c r="AY110" s="81">
        <v>0</v>
      </c>
      <c r="AZ110" s="83" t="s">
        <v>403</v>
      </c>
      <c r="BA110" s="80" t="s">
        <v>403</v>
      </c>
      <c r="BB110" s="84">
        <v>-41.616037091691396</v>
      </c>
      <c r="BC110" s="85" t="s">
        <v>403</v>
      </c>
      <c r="BD110" s="86">
        <v>-3.0099999999024369E-2</v>
      </c>
      <c r="BE110" s="84">
        <v>-41.616037091691396</v>
      </c>
      <c r="BF110" s="87" t="s">
        <v>403</v>
      </c>
      <c r="BG110" s="88">
        <v>-3.0099999999024369E-2</v>
      </c>
      <c r="BH110" s="89">
        <v>0</v>
      </c>
      <c r="BI110" s="90">
        <v>1</v>
      </c>
      <c r="BJ110" s="90">
        <v>3.0099999999024355E-2</v>
      </c>
      <c r="BK110" s="91">
        <v>1.0300999999990244</v>
      </c>
      <c r="BL110" s="92">
        <v>-41.616037091691396</v>
      </c>
      <c r="BM110" s="95" t="s">
        <v>442</v>
      </c>
      <c r="BN110" t="s">
        <v>402</v>
      </c>
      <c r="BO110">
        <v>0.85994999999999999</v>
      </c>
    </row>
    <row r="111" spans="1:67">
      <c r="A111" s="61" t="str">
        <f t="shared" si="2"/>
        <v>UK</v>
      </c>
      <c r="B111" s="62" t="s">
        <v>64</v>
      </c>
      <c r="C111" s="62" t="s">
        <v>176</v>
      </c>
      <c r="D111" s="63" t="s">
        <v>97</v>
      </c>
      <c r="E111" s="64">
        <v>43831</v>
      </c>
      <c r="F111" s="64">
        <v>43921</v>
      </c>
      <c r="G111" s="65">
        <v>43995</v>
      </c>
      <c r="H111" s="66" t="s">
        <v>132</v>
      </c>
      <c r="I111" s="67">
        <v>3</v>
      </c>
      <c r="J111" s="68">
        <v>2020</v>
      </c>
      <c r="K111" s="69">
        <v>1</v>
      </c>
      <c r="L111" s="70">
        <v>3</v>
      </c>
      <c r="M111" s="71" t="s">
        <v>140</v>
      </c>
      <c r="N111" s="71" t="s">
        <v>18</v>
      </c>
      <c r="O111" s="71" t="s">
        <v>114</v>
      </c>
      <c r="P111" s="71" t="s">
        <v>102</v>
      </c>
      <c r="Q111" s="61" t="s">
        <v>171</v>
      </c>
      <c r="R111" s="63" t="s">
        <v>165</v>
      </c>
      <c r="S111" s="72" t="s">
        <v>439</v>
      </c>
      <c r="T111" s="61" t="s">
        <v>601</v>
      </c>
      <c r="U111" s="73" t="s">
        <v>602</v>
      </c>
      <c r="V111" s="62">
        <v>107033</v>
      </c>
      <c r="W111" s="62" t="s">
        <v>603</v>
      </c>
      <c r="X111" s="62" t="s">
        <v>402</v>
      </c>
      <c r="Y111" s="93">
        <v>1</v>
      </c>
      <c r="Z111" s="94">
        <v>1</v>
      </c>
      <c r="AA111" s="74">
        <v>0</v>
      </c>
      <c r="AB111" s="75">
        <v>0</v>
      </c>
      <c r="AC111" s="75">
        <v>0</v>
      </c>
      <c r="AD111" s="76">
        <v>0</v>
      </c>
      <c r="AE111" s="77">
        <v>7.32</v>
      </c>
      <c r="AF111" s="75">
        <v>10.93</v>
      </c>
      <c r="AG111" s="78">
        <v>147.57040125588696</v>
      </c>
      <c r="AH111" s="79">
        <v>177.08448151636725</v>
      </c>
      <c r="AI111" s="74">
        <v>147.57040125588696</v>
      </c>
      <c r="AJ111" s="75">
        <v>0</v>
      </c>
      <c r="AK111" s="75">
        <v>0</v>
      </c>
      <c r="AL111" s="80">
        <v>147.57040125588696</v>
      </c>
      <c r="AM111" s="74">
        <v>0</v>
      </c>
      <c r="AN111" s="74">
        <v>0</v>
      </c>
      <c r="AO111" s="81" t="s">
        <v>403</v>
      </c>
      <c r="AP111" s="82">
        <v>0</v>
      </c>
      <c r="AQ111" s="75">
        <v>0</v>
      </c>
      <c r="AR111" s="75">
        <v>0</v>
      </c>
      <c r="AS111" s="80">
        <v>0</v>
      </c>
      <c r="AT111" s="74">
        <v>0</v>
      </c>
      <c r="AU111" s="75">
        <v>4.4418690779696499</v>
      </c>
      <c r="AV111" s="75">
        <v>0</v>
      </c>
      <c r="AW111" s="75">
        <v>0</v>
      </c>
      <c r="AX111" s="80">
        <v>4.4418690779696499</v>
      </c>
      <c r="AY111" s="81">
        <v>0</v>
      </c>
      <c r="AZ111" s="83" t="s">
        <v>403</v>
      </c>
      <c r="BA111" s="80" t="s">
        <v>403</v>
      </c>
      <c r="BB111" s="84">
        <v>-4.4418690779696419</v>
      </c>
      <c r="BC111" s="85" t="s">
        <v>403</v>
      </c>
      <c r="BD111" s="86">
        <v>-3.0100000001134674E-2</v>
      </c>
      <c r="BE111" s="84">
        <v>-4.4418690779696419</v>
      </c>
      <c r="BF111" s="87" t="s">
        <v>403</v>
      </c>
      <c r="BG111" s="88">
        <v>-3.0100000001134674E-2</v>
      </c>
      <c r="BH111" s="89">
        <v>0</v>
      </c>
      <c r="BI111" s="90">
        <v>1</v>
      </c>
      <c r="BJ111" s="90">
        <v>3.0100000001134729E-2</v>
      </c>
      <c r="BK111" s="91">
        <v>1.0301000000011347</v>
      </c>
      <c r="BL111" s="92">
        <v>-4.4418690779696419</v>
      </c>
      <c r="BM111" s="95" t="s">
        <v>442</v>
      </c>
      <c r="BN111" t="s">
        <v>402</v>
      </c>
      <c r="BO111">
        <v>0.85994999999999999</v>
      </c>
    </row>
    <row r="112" spans="1:67">
      <c r="A112" s="61" t="str">
        <f t="shared" si="2"/>
        <v>UK</v>
      </c>
      <c r="B112" s="62" t="s">
        <v>64</v>
      </c>
      <c r="C112" s="62" t="s">
        <v>176</v>
      </c>
      <c r="D112" s="63" t="s">
        <v>97</v>
      </c>
      <c r="E112" s="64">
        <v>43831</v>
      </c>
      <c r="F112" s="64">
        <v>43921</v>
      </c>
      <c r="G112" s="65">
        <v>43995</v>
      </c>
      <c r="H112" s="66" t="s">
        <v>132</v>
      </c>
      <c r="I112" s="67">
        <v>3</v>
      </c>
      <c r="J112" s="68">
        <v>2020</v>
      </c>
      <c r="K112" s="69">
        <v>1</v>
      </c>
      <c r="L112" s="70">
        <v>3</v>
      </c>
      <c r="M112" s="71" t="s">
        <v>140</v>
      </c>
      <c r="N112" s="71" t="s">
        <v>18</v>
      </c>
      <c r="O112" s="71" t="s">
        <v>114</v>
      </c>
      <c r="P112" s="71" t="s">
        <v>102</v>
      </c>
      <c r="Q112" s="61" t="s">
        <v>170</v>
      </c>
      <c r="R112" s="63" t="s">
        <v>165</v>
      </c>
      <c r="S112" s="72" t="s">
        <v>439</v>
      </c>
      <c r="T112" s="61" t="s">
        <v>604</v>
      </c>
      <c r="U112" s="73" t="s">
        <v>605</v>
      </c>
      <c r="V112" s="62">
        <v>107005</v>
      </c>
      <c r="W112" s="62" t="s">
        <v>597</v>
      </c>
      <c r="X112" s="62" t="s">
        <v>402</v>
      </c>
      <c r="Y112" s="93">
        <v>1</v>
      </c>
      <c r="Z112" s="94">
        <v>1</v>
      </c>
      <c r="AA112" s="74">
        <v>0</v>
      </c>
      <c r="AB112" s="75">
        <v>0</v>
      </c>
      <c r="AC112" s="75">
        <v>0</v>
      </c>
      <c r="AD112" s="76">
        <v>0</v>
      </c>
      <c r="AE112" s="77">
        <v>5.5601092900000003E-2</v>
      </c>
      <c r="AF112" s="75">
        <v>0.22240437160000001</v>
      </c>
      <c r="AG112" s="78">
        <v>11.40858549462178</v>
      </c>
      <c r="AH112" s="79">
        <v>13.690302593174021</v>
      </c>
      <c r="AI112" s="74">
        <v>11.40858549462178</v>
      </c>
      <c r="AJ112" s="75">
        <v>0</v>
      </c>
      <c r="AK112" s="75">
        <v>0</v>
      </c>
      <c r="AL112" s="80">
        <v>11.40858549462178</v>
      </c>
      <c r="AM112" s="74">
        <v>0</v>
      </c>
      <c r="AN112" s="74">
        <v>0</v>
      </c>
      <c r="AO112" s="81" t="s">
        <v>403</v>
      </c>
      <c r="AP112" s="82">
        <v>0</v>
      </c>
      <c r="AQ112" s="75">
        <v>0</v>
      </c>
      <c r="AR112" s="75">
        <v>0</v>
      </c>
      <c r="AS112" s="80">
        <v>0</v>
      </c>
      <c r="AT112" s="74">
        <v>0</v>
      </c>
      <c r="AU112" s="75">
        <v>0.34339842339670906</v>
      </c>
      <c r="AV112" s="75">
        <v>0</v>
      </c>
      <c r="AW112" s="75">
        <v>0</v>
      </c>
      <c r="AX112" s="80">
        <v>0.34339842339670906</v>
      </c>
      <c r="AY112" s="81">
        <v>0</v>
      </c>
      <c r="AZ112" s="83" t="s">
        <v>403</v>
      </c>
      <c r="BA112" s="80" t="s">
        <v>403</v>
      </c>
      <c r="BB112" s="84">
        <v>-0.34339842339670845</v>
      </c>
      <c r="BC112" s="85" t="s">
        <v>403</v>
      </c>
      <c r="BD112" s="86">
        <v>-3.0100000000753191E-2</v>
      </c>
      <c r="BE112" s="84">
        <v>-0.34339842339670845</v>
      </c>
      <c r="BF112" s="87" t="s">
        <v>403</v>
      </c>
      <c r="BG112" s="88">
        <v>-3.0100000000753191E-2</v>
      </c>
      <c r="BH112" s="89">
        <v>0</v>
      </c>
      <c r="BI112" s="90">
        <v>1</v>
      </c>
      <c r="BJ112" s="90">
        <v>3.0100000000753246E-2</v>
      </c>
      <c r="BK112" s="91">
        <v>1.0301000000007532</v>
      </c>
      <c r="BL112" s="92">
        <v>-0.34339842339670845</v>
      </c>
      <c r="BM112" s="95" t="s">
        <v>442</v>
      </c>
      <c r="BN112" t="s">
        <v>402</v>
      </c>
      <c r="BO112">
        <v>0.85994999999999999</v>
      </c>
    </row>
    <row r="113" spans="1:67">
      <c r="A113" s="61" t="str">
        <f t="shared" si="2"/>
        <v>UK</v>
      </c>
      <c r="B113" s="62" t="s">
        <v>64</v>
      </c>
      <c r="C113" s="62" t="s">
        <v>176</v>
      </c>
      <c r="D113" s="63" t="s">
        <v>97</v>
      </c>
      <c r="E113" s="64">
        <v>43831</v>
      </c>
      <c r="F113" s="64">
        <v>43921</v>
      </c>
      <c r="G113" s="65">
        <v>43995</v>
      </c>
      <c r="H113" s="66" t="s">
        <v>132</v>
      </c>
      <c r="I113" s="67">
        <v>3</v>
      </c>
      <c r="J113" s="68">
        <v>2020</v>
      </c>
      <c r="K113" s="69">
        <v>1</v>
      </c>
      <c r="L113" s="70">
        <v>3</v>
      </c>
      <c r="M113" s="71" t="s">
        <v>140</v>
      </c>
      <c r="N113" s="71" t="s">
        <v>18</v>
      </c>
      <c r="O113" s="71" t="s">
        <v>114</v>
      </c>
      <c r="P113" s="71" t="s">
        <v>102</v>
      </c>
      <c r="Q113" s="61" t="s">
        <v>170</v>
      </c>
      <c r="R113" s="63" t="s">
        <v>165</v>
      </c>
      <c r="S113" s="72" t="s">
        <v>439</v>
      </c>
      <c r="T113" s="61" t="s">
        <v>604</v>
      </c>
      <c r="U113" s="73" t="s">
        <v>606</v>
      </c>
      <c r="V113" s="62">
        <v>107006</v>
      </c>
      <c r="W113" s="62" t="s">
        <v>597</v>
      </c>
      <c r="X113" s="62" t="s">
        <v>402</v>
      </c>
      <c r="Y113" s="93">
        <v>1</v>
      </c>
      <c r="Z113" s="94">
        <v>1</v>
      </c>
      <c r="AA113" s="74">
        <v>0</v>
      </c>
      <c r="AB113" s="75">
        <v>0</v>
      </c>
      <c r="AC113" s="75">
        <v>0</v>
      </c>
      <c r="AD113" s="76">
        <v>0</v>
      </c>
      <c r="AE113" s="77">
        <v>0.468852459</v>
      </c>
      <c r="AF113" s="75">
        <v>0.468852459</v>
      </c>
      <c r="AG113" s="78">
        <v>75.436784326995749</v>
      </c>
      <c r="AH113" s="79">
        <v>90.524141193092618</v>
      </c>
      <c r="AI113" s="74">
        <v>75.436784326995749</v>
      </c>
      <c r="AJ113" s="75">
        <v>0</v>
      </c>
      <c r="AK113" s="75">
        <v>0</v>
      </c>
      <c r="AL113" s="80">
        <v>75.436784326995749</v>
      </c>
      <c r="AM113" s="74">
        <v>0</v>
      </c>
      <c r="AN113" s="74">
        <v>0</v>
      </c>
      <c r="AO113" s="81" t="s">
        <v>403</v>
      </c>
      <c r="AP113" s="82">
        <v>0</v>
      </c>
      <c r="AQ113" s="75">
        <v>0</v>
      </c>
      <c r="AR113" s="75">
        <v>0</v>
      </c>
      <c r="AS113" s="80">
        <v>0</v>
      </c>
      <c r="AT113" s="74">
        <v>0</v>
      </c>
      <c r="AU113" s="75">
        <v>2.2706472082097799</v>
      </c>
      <c r="AV113" s="75">
        <v>0</v>
      </c>
      <c r="AW113" s="75">
        <v>0</v>
      </c>
      <c r="AX113" s="80">
        <v>2.2706472082097799</v>
      </c>
      <c r="AY113" s="81">
        <v>0</v>
      </c>
      <c r="AZ113" s="83" t="s">
        <v>403</v>
      </c>
      <c r="BA113" s="80" t="s">
        <v>403</v>
      </c>
      <c r="BB113" s="84">
        <v>-2.2706472082097804</v>
      </c>
      <c r="BC113" s="85" t="s">
        <v>403</v>
      </c>
      <c r="BD113" s="86">
        <v>-3.0099999999565308E-2</v>
      </c>
      <c r="BE113" s="84">
        <v>-2.2706472082097804</v>
      </c>
      <c r="BF113" s="87" t="s">
        <v>403</v>
      </c>
      <c r="BG113" s="88">
        <v>-3.0099999999565308E-2</v>
      </c>
      <c r="BH113" s="89">
        <v>0</v>
      </c>
      <c r="BI113" s="90">
        <v>1</v>
      </c>
      <c r="BJ113" s="90">
        <v>3.0099999999565304E-2</v>
      </c>
      <c r="BK113" s="91">
        <v>1.0300999999995653</v>
      </c>
      <c r="BL113" s="92">
        <v>-2.2706472082097804</v>
      </c>
      <c r="BM113" s="95" t="s">
        <v>442</v>
      </c>
      <c r="BN113" t="s">
        <v>402</v>
      </c>
      <c r="BO113">
        <v>0.85994999999999999</v>
      </c>
    </row>
    <row r="114" spans="1:67">
      <c r="A114" s="61" t="str">
        <f t="shared" si="2"/>
        <v>UK</v>
      </c>
      <c r="B114" s="62" t="s">
        <v>64</v>
      </c>
      <c r="C114" s="62" t="s">
        <v>176</v>
      </c>
      <c r="D114" s="63" t="s">
        <v>97</v>
      </c>
      <c r="E114" s="64">
        <v>43831</v>
      </c>
      <c r="F114" s="64">
        <v>43921</v>
      </c>
      <c r="G114" s="65">
        <v>43995</v>
      </c>
      <c r="H114" s="66" t="s">
        <v>132</v>
      </c>
      <c r="I114" s="67">
        <v>3</v>
      </c>
      <c r="J114" s="68">
        <v>2020</v>
      </c>
      <c r="K114" s="69">
        <v>1</v>
      </c>
      <c r="L114" s="70">
        <v>3</v>
      </c>
      <c r="M114" s="71" t="s">
        <v>140</v>
      </c>
      <c r="N114" s="71" t="s">
        <v>18</v>
      </c>
      <c r="O114" s="71" t="s">
        <v>114</v>
      </c>
      <c r="P114" s="71" t="s">
        <v>102</v>
      </c>
      <c r="Q114" s="61" t="s">
        <v>170</v>
      </c>
      <c r="R114" s="63" t="s">
        <v>165</v>
      </c>
      <c r="S114" s="72" t="s">
        <v>439</v>
      </c>
      <c r="T114" s="61" t="s">
        <v>604</v>
      </c>
      <c r="U114" s="73" t="s">
        <v>607</v>
      </c>
      <c r="V114" s="62">
        <v>107003</v>
      </c>
      <c r="W114" s="62" t="s">
        <v>597</v>
      </c>
      <c r="X114" s="62" t="s">
        <v>402</v>
      </c>
      <c r="Y114" s="93">
        <v>1</v>
      </c>
      <c r="Z114" s="94">
        <v>1</v>
      </c>
      <c r="AA114" s="74">
        <v>0</v>
      </c>
      <c r="AB114" s="75">
        <v>0</v>
      </c>
      <c r="AC114" s="75">
        <v>0</v>
      </c>
      <c r="AD114" s="76">
        <v>0</v>
      </c>
      <c r="AE114" s="77">
        <v>4.8291176471000004</v>
      </c>
      <c r="AF114" s="75">
        <v>5.8291176471000004</v>
      </c>
      <c r="AG114" s="78">
        <v>711.11516505610791</v>
      </c>
      <c r="AH114" s="79">
        <v>853.33819806965516</v>
      </c>
      <c r="AI114" s="74">
        <v>711.11516505610791</v>
      </c>
      <c r="AJ114" s="75">
        <v>0</v>
      </c>
      <c r="AK114" s="75">
        <v>0</v>
      </c>
      <c r="AL114" s="80">
        <v>711.11516505610791</v>
      </c>
      <c r="AM114" s="74">
        <v>0</v>
      </c>
      <c r="AN114" s="74">
        <v>0</v>
      </c>
      <c r="AO114" s="81" t="s">
        <v>403</v>
      </c>
      <c r="AP114" s="82">
        <v>0</v>
      </c>
      <c r="AQ114" s="75">
        <v>0</v>
      </c>
      <c r="AR114" s="75">
        <v>0</v>
      </c>
      <c r="AS114" s="80">
        <v>0</v>
      </c>
      <c r="AT114" s="74">
        <v>0</v>
      </c>
      <c r="AU114" s="75">
        <v>21.404566467817897</v>
      </c>
      <c r="AV114" s="75">
        <v>0</v>
      </c>
      <c r="AW114" s="75">
        <v>0</v>
      </c>
      <c r="AX114" s="80">
        <v>21.404566467817897</v>
      </c>
      <c r="AY114" s="81">
        <v>0</v>
      </c>
      <c r="AZ114" s="83" t="s">
        <v>403</v>
      </c>
      <c r="BA114" s="80" t="s">
        <v>403</v>
      </c>
      <c r="BB114" s="84">
        <v>-21.404566467817858</v>
      </c>
      <c r="BC114" s="85" t="s">
        <v>403</v>
      </c>
      <c r="BD114" s="86">
        <v>-3.0099999999478298E-2</v>
      </c>
      <c r="BE114" s="84">
        <v>-21.404566467817858</v>
      </c>
      <c r="BF114" s="87" t="s">
        <v>403</v>
      </c>
      <c r="BG114" s="88">
        <v>-3.0099999999478298E-2</v>
      </c>
      <c r="BH114" s="89">
        <v>0</v>
      </c>
      <c r="BI114" s="90">
        <v>1</v>
      </c>
      <c r="BJ114" s="90">
        <v>3.0099999999478353E-2</v>
      </c>
      <c r="BK114" s="91">
        <v>1.0300999999994784</v>
      </c>
      <c r="BL114" s="92">
        <v>-21.404566467817858</v>
      </c>
      <c r="BM114" s="95" t="s">
        <v>442</v>
      </c>
      <c r="BN114" t="s">
        <v>402</v>
      </c>
      <c r="BO114">
        <v>0.85994999999999999</v>
      </c>
    </row>
    <row r="115" spans="1:67">
      <c r="A115" s="61" t="str">
        <f t="shared" si="2"/>
        <v>UK</v>
      </c>
      <c r="B115" s="62" t="s">
        <v>64</v>
      </c>
      <c r="C115" s="62" t="s">
        <v>176</v>
      </c>
      <c r="D115" s="63" t="s">
        <v>97</v>
      </c>
      <c r="E115" s="64">
        <v>43831</v>
      </c>
      <c r="F115" s="64">
        <v>43921</v>
      </c>
      <c r="G115" s="65">
        <v>43995</v>
      </c>
      <c r="H115" s="66" t="s">
        <v>132</v>
      </c>
      <c r="I115" s="67">
        <v>3</v>
      </c>
      <c r="J115" s="68">
        <v>2020</v>
      </c>
      <c r="K115" s="69">
        <v>1</v>
      </c>
      <c r="L115" s="70">
        <v>3</v>
      </c>
      <c r="M115" s="71" t="s">
        <v>140</v>
      </c>
      <c r="N115" s="71" t="s">
        <v>18</v>
      </c>
      <c r="O115" s="71" t="s">
        <v>114</v>
      </c>
      <c r="P115" s="71" t="s">
        <v>102</v>
      </c>
      <c r="Q115" s="61" t="s">
        <v>170</v>
      </c>
      <c r="R115" s="63" t="s">
        <v>165</v>
      </c>
      <c r="S115" s="72" t="s">
        <v>439</v>
      </c>
      <c r="T115" s="61" t="s">
        <v>604</v>
      </c>
      <c r="U115" s="73" t="s">
        <v>608</v>
      </c>
      <c r="V115" s="62">
        <v>107008</v>
      </c>
      <c r="W115" s="62" t="s">
        <v>597</v>
      </c>
      <c r="X115" s="62" t="s">
        <v>402</v>
      </c>
      <c r="Y115" s="93">
        <v>1</v>
      </c>
      <c r="Z115" s="94">
        <v>1</v>
      </c>
      <c r="AA115" s="74">
        <v>0</v>
      </c>
      <c r="AB115" s="75">
        <v>0</v>
      </c>
      <c r="AC115" s="75">
        <v>0</v>
      </c>
      <c r="AD115" s="76">
        <v>0</v>
      </c>
      <c r="AE115" s="77">
        <v>0.18934426230000001</v>
      </c>
      <c r="AF115" s="75">
        <v>0.56352459020000001</v>
      </c>
      <c r="AG115" s="78">
        <v>40.456253748473749</v>
      </c>
      <c r="AH115" s="79">
        <v>48.547504499098785</v>
      </c>
      <c r="AI115" s="74">
        <v>40.456253748473749</v>
      </c>
      <c r="AJ115" s="75">
        <v>0</v>
      </c>
      <c r="AK115" s="75">
        <v>0</v>
      </c>
      <c r="AL115" s="80">
        <v>40.456253748473749</v>
      </c>
      <c r="AM115" s="74">
        <v>0</v>
      </c>
      <c r="AN115" s="74">
        <v>0</v>
      </c>
      <c r="AO115" s="81" t="s">
        <v>403</v>
      </c>
      <c r="AP115" s="82">
        <v>0</v>
      </c>
      <c r="AQ115" s="75">
        <v>0</v>
      </c>
      <c r="AR115" s="75">
        <v>0</v>
      </c>
      <c r="AS115" s="80">
        <v>0</v>
      </c>
      <c r="AT115" s="74">
        <v>0</v>
      </c>
      <c r="AU115" s="75">
        <v>1.2177332378626664</v>
      </c>
      <c r="AV115" s="75">
        <v>0</v>
      </c>
      <c r="AW115" s="75">
        <v>0</v>
      </c>
      <c r="AX115" s="80">
        <v>1.2177332378626664</v>
      </c>
      <c r="AY115" s="81">
        <v>0</v>
      </c>
      <c r="AZ115" s="83" t="s">
        <v>403</v>
      </c>
      <c r="BA115" s="80" t="s">
        <v>403</v>
      </c>
      <c r="BB115" s="84">
        <v>-1.2177332378626673</v>
      </c>
      <c r="BC115" s="85" t="s">
        <v>403</v>
      </c>
      <c r="BD115" s="86">
        <v>-3.0100000000830712E-2</v>
      </c>
      <c r="BE115" s="84">
        <v>-1.2177332378626673</v>
      </c>
      <c r="BF115" s="87" t="s">
        <v>403</v>
      </c>
      <c r="BG115" s="88">
        <v>-3.0100000000830712E-2</v>
      </c>
      <c r="BH115" s="89">
        <v>0</v>
      </c>
      <c r="BI115" s="90">
        <v>1</v>
      </c>
      <c r="BJ115" s="90">
        <v>3.0100000000830688E-2</v>
      </c>
      <c r="BK115" s="91">
        <v>1.0301000000008307</v>
      </c>
      <c r="BL115" s="92">
        <v>-1.2177332378626673</v>
      </c>
      <c r="BM115" s="95" t="s">
        <v>442</v>
      </c>
      <c r="BN115" t="s">
        <v>402</v>
      </c>
      <c r="BO115">
        <v>0.85994999999999999</v>
      </c>
    </row>
    <row r="116" spans="1:67">
      <c r="A116" s="61" t="str">
        <f t="shared" si="2"/>
        <v>UK</v>
      </c>
      <c r="B116" s="62" t="s">
        <v>64</v>
      </c>
      <c r="C116" s="62" t="s">
        <v>176</v>
      </c>
      <c r="D116" s="63" t="s">
        <v>97</v>
      </c>
      <c r="E116" s="64">
        <v>43831</v>
      </c>
      <c r="F116" s="64">
        <v>43921</v>
      </c>
      <c r="G116" s="65">
        <v>43995</v>
      </c>
      <c r="H116" s="66" t="s">
        <v>132</v>
      </c>
      <c r="I116" s="67">
        <v>3</v>
      </c>
      <c r="J116" s="68">
        <v>2020</v>
      </c>
      <c r="K116" s="69">
        <v>1</v>
      </c>
      <c r="L116" s="70">
        <v>3</v>
      </c>
      <c r="M116" s="71" t="s">
        <v>140</v>
      </c>
      <c r="N116" s="71" t="s">
        <v>18</v>
      </c>
      <c r="O116" s="71" t="s">
        <v>114</v>
      </c>
      <c r="P116" s="71" t="s">
        <v>102</v>
      </c>
      <c r="Q116" s="61" t="s">
        <v>170</v>
      </c>
      <c r="R116" s="63" t="s">
        <v>165</v>
      </c>
      <c r="S116" s="72" t="s">
        <v>439</v>
      </c>
      <c r="T116" s="61" t="s">
        <v>604</v>
      </c>
      <c r="U116" s="73" t="s">
        <v>609</v>
      </c>
      <c r="V116" s="62">
        <v>107009</v>
      </c>
      <c r="W116" s="62" t="s">
        <v>597</v>
      </c>
      <c r="X116" s="62" t="s">
        <v>402</v>
      </c>
      <c r="Y116" s="93">
        <v>1</v>
      </c>
      <c r="Z116" s="94">
        <v>1</v>
      </c>
      <c r="AA116" s="74">
        <v>0</v>
      </c>
      <c r="AB116" s="75">
        <v>0</v>
      </c>
      <c r="AC116" s="75">
        <v>0</v>
      </c>
      <c r="AD116" s="76">
        <v>0</v>
      </c>
      <c r="AE116" s="77">
        <v>1.224726776</v>
      </c>
      <c r="AF116" s="75">
        <v>1.8513661202</v>
      </c>
      <c r="AG116" s="78">
        <v>230.34400356997497</v>
      </c>
      <c r="AH116" s="79">
        <v>276.41280429094718</v>
      </c>
      <c r="AI116" s="74">
        <v>230.34400356997497</v>
      </c>
      <c r="AJ116" s="75">
        <v>0</v>
      </c>
      <c r="AK116" s="75">
        <v>0</v>
      </c>
      <c r="AL116" s="80">
        <v>230.34400356997497</v>
      </c>
      <c r="AM116" s="74">
        <v>0</v>
      </c>
      <c r="AN116" s="74">
        <v>0</v>
      </c>
      <c r="AO116" s="81" t="s">
        <v>403</v>
      </c>
      <c r="AP116" s="82">
        <v>0</v>
      </c>
      <c r="AQ116" s="75">
        <v>0</v>
      </c>
      <c r="AR116" s="75">
        <v>0</v>
      </c>
      <c r="AS116" s="80">
        <v>0</v>
      </c>
      <c r="AT116" s="74">
        <v>0</v>
      </c>
      <c r="AU116" s="75">
        <v>6.9333545075876506</v>
      </c>
      <c r="AV116" s="75">
        <v>0</v>
      </c>
      <c r="AW116" s="75">
        <v>0</v>
      </c>
      <c r="AX116" s="80">
        <v>6.9333545075876506</v>
      </c>
      <c r="AY116" s="81">
        <v>0</v>
      </c>
      <c r="AZ116" s="83" t="s">
        <v>403</v>
      </c>
      <c r="BA116" s="80" t="s">
        <v>403</v>
      </c>
      <c r="BB116" s="84">
        <v>-6.9333545075876373</v>
      </c>
      <c r="BC116" s="85" t="s">
        <v>403</v>
      </c>
      <c r="BD116" s="86">
        <v>-3.010000000057041E-2</v>
      </c>
      <c r="BE116" s="84">
        <v>-6.9333545075876373</v>
      </c>
      <c r="BF116" s="87" t="s">
        <v>403</v>
      </c>
      <c r="BG116" s="88">
        <v>-3.010000000057041E-2</v>
      </c>
      <c r="BH116" s="89">
        <v>0</v>
      </c>
      <c r="BI116" s="90">
        <v>1</v>
      </c>
      <c r="BJ116" s="90">
        <v>3.0100000000570469E-2</v>
      </c>
      <c r="BK116" s="91">
        <v>1.0301000000005704</v>
      </c>
      <c r="BL116" s="92">
        <v>-6.9333545075876373</v>
      </c>
      <c r="BM116" s="95" t="s">
        <v>442</v>
      </c>
      <c r="BN116" t="s">
        <v>402</v>
      </c>
      <c r="BO116">
        <v>0.85994999999999999</v>
      </c>
    </row>
    <row r="117" spans="1:67">
      <c r="A117" s="61" t="str">
        <f t="shared" si="2"/>
        <v>UK</v>
      </c>
      <c r="B117" s="62" t="s">
        <v>64</v>
      </c>
      <c r="C117" s="62" t="s">
        <v>176</v>
      </c>
      <c r="D117" s="63" t="s">
        <v>97</v>
      </c>
      <c r="E117" s="64">
        <v>43831</v>
      </c>
      <c r="F117" s="64">
        <v>43921</v>
      </c>
      <c r="G117" s="65">
        <v>43995</v>
      </c>
      <c r="H117" s="66" t="s">
        <v>132</v>
      </c>
      <c r="I117" s="67">
        <v>3</v>
      </c>
      <c r="J117" s="68">
        <v>2020</v>
      </c>
      <c r="K117" s="69">
        <v>1</v>
      </c>
      <c r="L117" s="70">
        <v>3</v>
      </c>
      <c r="M117" s="71" t="s">
        <v>140</v>
      </c>
      <c r="N117" s="71" t="s">
        <v>18</v>
      </c>
      <c r="O117" s="71" t="s">
        <v>114</v>
      </c>
      <c r="P117" s="71" t="s">
        <v>102</v>
      </c>
      <c r="Q117" s="61" t="s">
        <v>170</v>
      </c>
      <c r="R117" s="63" t="s">
        <v>165</v>
      </c>
      <c r="S117" s="72" t="s">
        <v>439</v>
      </c>
      <c r="T117" s="61" t="s">
        <v>604</v>
      </c>
      <c r="U117" s="73" t="s">
        <v>610</v>
      </c>
      <c r="V117" s="62">
        <v>107010</v>
      </c>
      <c r="W117" s="62" t="s">
        <v>597</v>
      </c>
      <c r="X117" s="62" t="s">
        <v>402</v>
      </c>
      <c r="Y117" s="93">
        <v>1</v>
      </c>
      <c r="Z117" s="94">
        <v>1</v>
      </c>
      <c r="AA117" s="74">
        <v>0</v>
      </c>
      <c r="AB117" s="75">
        <v>0</v>
      </c>
      <c r="AC117" s="75">
        <v>0</v>
      </c>
      <c r="AD117" s="76">
        <v>0</v>
      </c>
      <c r="AE117" s="77">
        <v>3.7568306000000003E-2</v>
      </c>
      <c r="AF117" s="75">
        <v>7.5136612000000005E-2</v>
      </c>
      <c r="AG117" s="78">
        <v>10.193543891156464</v>
      </c>
      <c r="AH117" s="79">
        <v>12.232252669341241</v>
      </c>
      <c r="AI117" s="74">
        <v>10.193543891156464</v>
      </c>
      <c r="AJ117" s="75">
        <v>0</v>
      </c>
      <c r="AK117" s="75">
        <v>0</v>
      </c>
      <c r="AL117" s="80">
        <v>10.193543891156464</v>
      </c>
      <c r="AM117" s="74">
        <v>0</v>
      </c>
      <c r="AN117" s="74">
        <v>0</v>
      </c>
      <c r="AO117" s="81" t="s">
        <v>403</v>
      </c>
      <c r="AP117" s="82">
        <v>0</v>
      </c>
      <c r="AQ117" s="75">
        <v>0</v>
      </c>
      <c r="AR117" s="75">
        <v>0</v>
      </c>
      <c r="AS117" s="80">
        <v>0</v>
      </c>
      <c r="AT117" s="74">
        <v>0</v>
      </c>
      <c r="AU117" s="75">
        <v>0.30682567114367115</v>
      </c>
      <c r="AV117" s="75">
        <v>0</v>
      </c>
      <c r="AW117" s="75">
        <v>0</v>
      </c>
      <c r="AX117" s="80">
        <v>0.30682567114367115</v>
      </c>
      <c r="AY117" s="81">
        <v>0</v>
      </c>
      <c r="AZ117" s="83" t="s">
        <v>403</v>
      </c>
      <c r="BA117" s="80" t="s">
        <v>403</v>
      </c>
      <c r="BB117" s="84">
        <v>-0.30682567114367032</v>
      </c>
      <c r="BC117" s="85" t="s">
        <v>403</v>
      </c>
      <c r="BD117" s="86">
        <v>-3.0100000001948367E-2</v>
      </c>
      <c r="BE117" s="84">
        <v>-0.30682567114367032</v>
      </c>
      <c r="BF117" s="87" t="s">
        <v>403</v>
      </c>
      <c r="BG117" s="88">
        <v>-3.0100000001948367E-2</v>
      </c>
      <c r="BH117" s="89">
        <v>0</v>
      </c>
      <c r="BI117" s="90">
        <v>1</v>
      </c>
      <c r="BJ117" s="90">
        <v>3.0100000001948447E-2</v>
      </c>
      <c r="BK117" s="91">
        <v>1.0301000000019485</v>
      </c>
      <c r="BL117" s="92">
        <v>-0.30682567114367032</v>
      </c>
      <c r="BM117" s="95" t="s">
        <v>442</v>
      </c>
      <c r="BN117" t="s">
        <v>402</v>
      </c>
      <c r="BO117">
        <v>0.85994999999999999</v>
      </c>
    </row>
    <row r="118" spans="1:67">
      <c r="A118" s="61" t="str">
        <f t="shared" si="2"/>
        <v>UK</v>
      </c>
      <c r="B118" s="62" t="s">
        <v>64</v>
      </c>
      <c r="C118" s="62" t="s">
        <v>176</v>
      </c>
      <c r="D118" s="63" t="s">
        <v>97</v>
      </c>
      <c r="E118" s="64">
        <v>43831</v>
      </c>
      <c r="F118" s="64">
        <v>43921</v>
      </c>
      <c r="G118" s="65">
        <v>43995</v>
      </c>
      <c r="H118" s="66" t="s">
        <v>132</v>
      </c>
      <c r="I118" s="67">
        <v>3</v>
      </c>
      <c r="J118" s="68">
        <v>2020</v>
      </c>
      <c r="K118" s="69">
        <v>1</v>
      </c>
      <c r="L118" s="70">
        <v>3</v>
      </c>
      <c r="M118" s="71" t="s">
        <v>140</v>
      </c>
      <c r="N118" s="71" t="s">
        <v>18</v>
      </c>
      <c r="O118" s="71" t="s">
        <v>114</v>
      </c>
      <c r="P118" s="71" t="s">
        <v>102</v>
      </c>
      <c r="Q118" s="61" t="s">
        <v>170</v>
      </c>
      <c r="R118" s="63" t="s">
        <v>165</v>
      </c>
      <c r="S118" s="72" t="s">
        <v>439</v>
      </c>
      <c r="T118" s="61" t="s">
        <v>604</v>
      </c>
      <c r="U118" s="73" t="s">
        <v>611</v>
      </c>
      <c r="V118" s="62">
        <v>107004</v>
      </c>
      <c r="W118" s="62" t="s">
        <v>597</v>
      </c>
      <c r="X118" s="62" t="s">
        <v>402</v>
      </c>
      <c r="Y118" s="93">
        <v>1</v>
      </c>
      <c r="Z118" s="94">
        <v>1</v>
      </c>
      <c r="AA118" s="74">
        <v>0</v>
      </c>
      <c r="AB118" s="75">
        <v>0</v>
      </c>
      <c r="AC118" s="75">
        <v>0</v>
      </c>
      <c r="AD118" s="76">
        <v>0</v>
      </c>
      <c r="AE118" s="77">
        <v>18.839440577000001</v>
      </c>
      <c r="AF118" s="75">
        <v>32.443672821</v>
      </c>
      <c r="AG118" s="78">
        <v>2840.3897376591663</v>
      </c>
      <c r="AH118" s="79">
        <v>3408.4676852142566</v>
      </c>
      <c r="AI118" s="74">
        <v>2840.3897376591663</v>
      </c>
      <c r="AJ118" s="75">
        <v>0</v>
      </c>
      <c r="AK118" s="75">
        <v>0</v>
      </c>
      <c r="AL118" s="80">
        <v>2840.3897376591663</v>
      </c>
      <c r="AM118" s="74">
        <v>0</v>
      </c>
      <c r="AN118" s="74">
        <v>0</v>
      </c>
      <c r="AO118" s="81" t="s">
        <v>403</v>
      </c>
      <c r="AP118" s="82">
        <v>0</v>
      </c>
      <c r="AQ118" s="75">
        <v>0</v>
      </c>
      <c r="AR118" s="75">
        <v>0</v>
      </c>
      <c r="AS118" s="80">
        <v>0</v>
      </c>
      <c r="AT118" s="74">
        <v>0</v>
      </c>
      <c r="AU118" s="75">
        <v>85.495731102971106</v>
      </c>
      <c r="AV118" s="75">
        <v>0</v>
      </c>
      <c r="AW118" s="75">
        <v>0</v>
      </c>
      <c r="AX118" s="80">
        <v>85.495731102971106</v>
      </c>
      <c r="AY118" s="81">
        <v>0</v>
      </c>
      <c r="AZ118" s="83" t="s">
        <v>403</v>
      </c>
      <c r="BA118" s="80" t="s">
        <v>403</v>
      </c>
      <c r="BB118" s="84">
        <v>-85.495731102971149</v>
      </c>
      <c r="BC118" s="85" t="s">
        <v>403</v>
      </c>
      <c r="BD118" s="86">
        <v>-3.0099999999799409E-2</v>
      </c>
      <c r="BE118" s="84">
        <v>-85.495731102971149</v>
      </c>
      <c r="BF118" s="87" t="s">
        <v>403</v>
      </c>
      <c r="BG118" s="88">
        <v>-3.0099999999799409E-2</v>
      </c>
      <c r="BH118" s="89">
        <v>0</v>
      </c>
      <c r="BI118" s="90">
        <v>1</v>
      </c>
      <c r="BJ118" s="90">
        <v>3.0099999999799395E-2</v>
      </c>
      <c r="BK118" s="91">
        <v>1.0300999999997993</v>
      </c>
      <c r="BL118" s="92">
        <v>-85.495731102971149</v>
      </c>
      <c r="BM118" s="95" t="s">
        <v>442</v>
      </c>
      <c r="BN118" t="s">
        <v>402</v>
      </c>
      <c r="BO118">
        <v>0.85994999999999999</v>
      </c>
    </row>
    <row r="119" spans="1:67">
      <c r="A119" s="61" t="str">
        <f t="shared" si="2"/>
        <v>UK</v>
      </c>
      <c r="B119" s="62" t="s">
        <v>64</v>
      </c>
      <c r="C119" s="62" t="s">
        <v>176</v>
      </c>
      <c r="D119" s="63" t="s">
        <v>97</v>
      </c>
      <c r="E119" s="64">
        <v>43831</v>
      </c>
      <c r="F119" s="64">
        <v>43921</v>
      </c>
      <c r="G119" s="65">
        <v>43995</v>
      </c>
      <c r="H119" s="66" t="s">
        <v>132</v>
      </c>
      <c r="I119" s="67">
        <v>3</v>
      </c>
      <c r="J119" s="68">
        <v>2020</v>
      </c>
      <c r="K119" s="69">
        <v>1</v>
      </c>
      <c r="L119" s="70">
        <v>3</v>
      </c>
      <c r="M119" s="71" t="s">
        <v>140</v>
      </c>
      <c r="N119" s="71" t="s">
        <v>18</v>
      </c>
      <c r="O119" s="71" t="s">
        <v>114</v>
      </c>
      <c r="P119" s="71" t="s">
        <v>102</v>
      </c>
      <c r="Q119" s="61" t="s">
        <v>17</v>
      </c>
      <c r="R119" s="63" t="s">
        <v>165</v>
      </c>
      <c r="S119" s="72" t="s">
        <v>439</v>
      </c>
      <c r="T119" s="61" t="s">
        <v>612</v>
      </c>
      <c r="U119" s="73" t="s">
        <v>613</v>
      </c>
      <c r="V119" s="62">
        <v>107055</v>
      </c>
      <c r="W119" s="62" t="s">
        <v>418</v>
      </c>
      <c r="X119" s="62" t="s">
        <v>402</v>
      </c>
      <c r="Y119" s="93">
        <v>1</v>
      </c>
      <c r="Z119" s="94">
        <v>1</v>
      </c>
      <c r="AA119" s="74">
        <v>0</v>
      </c>
      <c r="AB119" s="75">
        <v>0</v>
      </c>
      <c r="AC119" s="75">
        <v>0</v>
      </c>
      <c r="AD119" s="76">
        <v>0</v>
      </c>
      <c r="AE119" s="77">
        <v>5.5909514021</v>
      </c>
      <c r="AF119" s="75">
        <v>5.5909514021</v>
      </c>
      <c r="AG119" s="78">
        <v>246.03302705971279</v>
      </c>
      <c r="AH119" s="79">
        <v>295.23963247863247</v>
      </c>
      <c r="AI119" s="74">
        <v>246.03302705971279</v>
      </c>
      <c r="AJ119" s="75">
        <v>0</v>
      </c>
      <c r="AK119" s="75">
        <v>0</v>
      </c>
      <c r="AL119" s="80">
        <v>246.03302705971279</v>
      </c>
      <c r="AM119" s="74">
        <v>0</v>
      </c>
      <c r="AN119" s="74">
        <v>0</v>
      </c>
      <c r="AO119" s="81" t="s">
        <v>403</v>
      </c>
      <c r="AP119" s="82">
        <v>0</v>
      </c>
      <c r="AQ119" s="75">
        <v>0</v>
      </c>
      <c r="AR119" s="75">
        <v>0</v>
      </c>
      <c r="AS119" s="80">
        <v>0</v>
      </c>
      <c r="AT119" s="74">
        <v>0</v>
      </c>
      <c r="AU119" s="75">
        <v>7.4055941146578288</v>
      </c>
      <c r="AV119" s="75">
        <v>0</v>
      </c>
      <c r="AW119" s="75">
        <v>0</v>
      </c>
      <c r="AX119" s="80">
        <v>7.4055941146578288</v>
      </c>
      <c r="AY119" s="81">
        <v>0</v>
      </c>
      <c r="AZ119" s="83" t="s">
        <v>403</v>
      </c>
      <c r="BA119" s="80" t="s">
        <v>403</v>
      </c>
      <c r="BB119" s="84">
        <v>-7.4055941146578164</v>
      </c>
      <c r="BC119" s="85" t="s">
        <v>403</v>
      </c>
      <c r="BD119" s="86">
        <v>-3.0100000000652195E-2</v>
      </c>
      <c r="BE119" s="84">
        <v>-7.4055941146578164</v>
      </c>
      <c r="BF119" s="87" t="s">
        <v>403</v>
      </c>
      <c r="BG119" s="88">
        <v>-3.0100000000652195E-2</v>
      </c>
      <c r="BH119" s="89">
        <v>0</v>
      </c>
      <c r="BI119" s="90">
        <v>1</v>
      </c>
      <c r="BJ119" s="90">
        <v>3.0100000000652244E-2</v>
      </c>
      <c r="BK119" s="91">
        <v>1.0301000000006522</v>
      </c>
      <c r="BL119" s="92">
        <v>-7.4055941146578164</v>
      </c>
      <c r="BM119" s="95" t="s">
        <v>442</v>
      </c>
      <c r="BN119" t="s">
        <v>402</v>
      </c>
      <c r="BO119">
        <v>0.85994999999999999</v>
      </c>
    </row>
    <row r="120" spans="1:67">
      <c r="A120" s="61" t="str">
        <f t="shared" si="2"/>
        <v>UK</v>
      </c>
      <c r="B120" s="62" t="s">
        <v>64</v>
      </c>
      <c r="C120" s="62" t="s">
        <v>176</v>
      </c>
      <c r="D120" s="63" t="s">
        <v>97</v>
      </c>
      <c r="E120" s="64">
        <v>43831</v>
      </c>
      <c r="F120" s="64">
        <v>43921</v>
      </c>
      <c r="G120" s="65">
        <v>43995</v>
      </c>
      <c r="H120" s="66" t="s">
        <v>132</v>
      </c>
      <c r="I120" s="67">
        <v>3</v>
      </c>
      <c r="J120" s="68">
        <v>2020</v>
      </c>
      <c r="K120" s="69">
        <v>1</v>
      </c>
      <c r="L120" s="70">
        <v>3</v>
      </c>
      <c r="M120" s="71" t="s">
        <v>140</v>
      </c>
      <c r="N120" s="71" t="s">
        <v>18</v>
      </c>
      <c r="O120" s="71" t="s">
        <v>114</v>
      </c>
      <c r="P120" s="71" t="s">
        <v>102</v>
      </c>
      <c r="Q120" s="61" t="s">
        <v>17</v>
      </c>
      <c r="R120" s="63" t="s">
        <v>165</v>
      </c>
      <c r="S120" s="72" t="s">
        <v>439</v>
      </c>
      <c r="T120" s="61" t="s">
        <v>614</v>
      </c>
      <c r="U120" s="73" t="s">
        <v>615</v>
      </c>
      <c r="V120" s="62">
        <v>106992</v>
      </c>
      <c r="W120" s="62" t="s">
        <v>418</v>
      </c>
      <c r="X120" s="62" t="s">
        <v>402</v>
      </c>
      <c r="Y120" s="93">
        <v>1</v>
      </c>
      <c r="Z120" s="94">
        <v>1</v>
      </c>
      <c r="AA120" s="74">
        <v>0</v>
      </c>
      <c r="AB120" s="75">
        <v>0</v>
      </c>
      <c r="AC120" s="75">
        <v>0</v>
      </c>
      <c r="AD120" s="76">
        <v>0</v>
      </c>
      <c r="AE120" s="77">
        <v>2.6662499999999998</v>
      </c>
      <c r="AF120" s="75">
        <v>5.9874999999999998</v>
      </c>
      <c r="AG120" s="78">
        <v>142.47584571196001</v>
      </c>
      <c r="AH120" s="79">
        <v>170.97101486132917</v>
      </c>
      <c r="AI120" s="74">
        <v>142.47584571196001</v>
      </c>
      <c r="AJ120" s="75">
        <v>0</v>
      </c>
      <c r="AK120" s="75">
        <v>0</v>
      </c>
      <c r="AL120" s="80">
        <v>142.47584571196001</v>
      </c>
      <c r="AM120" s="74">
        <v>0</v>
      </c>
      <c r="AN120" s="74">
        <v>0</v>
      </c>
      <c r="AO120" s="81" t="s">
        <v>403</v>
      </c>
      <c r="AP120" s="82">
        <v>0</v>
      </c>
      <c r="AQ120" s="75">
        <v>0</v>
      </c>
      <c r="AR120" s="75">
        <v>0</v>
      </c>
      <c r="AS120" s="80">
        <v>0</v>
      </c>
      <c r="AT120" s="74">
        <v>0</v>
      </c>
      <c r="AU120" s="75">
        <v>4.2885229561020983</v>
      </c>
      <c r="AV120" s="75">
        <v>0</v>
      </c>
      <c r="AW120" s="75">
        <v>0</v>
      </c>
      <c r="AX120" s="80">
        <v>4.2885229561020983</v>
      </c>
      <c r="AY120" s="81">
        <v>0</v>
      </c>
      <c r="AZ120" s="83" t="s">
        <v>403</v>
      </c>
      <c r="BA120" s="80" t="s">
        <v>403</v>
      </c>
      <c r="BB120" s="84">
        <v>-4.2885229561020992</v>
      </c>
      <c r="BC120" s="85" t="s">
        <v>403</v>
      </c>
      <c r="BD120" s="86">
        <v>-3.0100000001207945E-2</v>
      </c>
      <c r="BE120" s="84">
        <v>-4.2885229561020992</v>
      </c>
      <c r="BF120" s="87" t="s">
        <v>403</v>
      </c>
      <c r="BG120" s="88">
        <v>-3.0100000001207945E-2</v>
      </c>
      <c r="BH120" s="89">
        <v>0</v>
      </c>
      <c r="BI120" s="90">
        <v>1</v>
      </c>
      <c r="BJ120" s="90">
        <v>3.0100000001207938E-2</v>
      </c>
      <c r="BK120" s="91">
        <v>1.0301000000012079</v>
      </c>
      <c r="BL120" s="92">
        <v>-4.2885229561020992</v>
      </c>
      <c r="BM120" s="95" t="s">
        <v>442</v>
      </c>
      <c r="BN120" t="s">
        <v>402</v>
      </c>
      <c r="BO120">
        <v>0.85994999999999999</v>
      </c>
    </row>
    <row r="121" spans="1:67">
      <c r="A121" s="61" t="str">
        <f t="shared" si="2"/>
        <v>UK</v>
      </c>
      <c r="B121" s="62" t="s">
        <v>64</v>
      </c>
      <c r="C121" s="62" t="s">
        <v>176</v>
      </c>
      <c r="D121" s="63" t="s">
        <v>97</v>
      </c>
      <c r="E121" s="64">
        <v>43831</v>
      </c>
      <c r="F121" s="64">
        <v>43921</v>
      </c>
      <c r="G121" s="65">
        <v>43995</v>
      </c>
      <c r="H121" s="66" t="s">
        <v>132</v>
      </c>
      <c r="I121" s="67">
        <v>3</v>
      </c>
      <c r="J121" s="68">
        <v>2020</v>
      </c>
      <c r="K121" s="69">
        <v>1</v>
      </c>
      <c r="L121" s="70">
        <v>3</v>
      </c>
      <c r="M121" s="71" t="s">
        <v>140</v>
      </c>
      <c r="N121" s="71" t="s">
        <v>18</v>
      </c>
      <c r="O121" s="71" t="s">
        <v>114</v>
      </c>
      <c r="P121" s="71" t="s">
        <v>102</v>
      </c>
      <c r="Q121" s="61" t="s">
        <v>17</v>
      </c>
      <c r="R121" s="63" t="s">
        <v>165</v>
      </c>
      <c r="S121" s="72" t="s">
        <v>439</v>
      </c>
      <c r="T121" s="61" t="s">
        <v>614</v>
      </c>
      <c r="U121" s="73" t="s">
        <v>616</v>
      </c>
      <c r="V121" s="62">
        <v>106993</v>
      </c>
      <c r="W121" s="62" t="s">
        <v>418</v>
      </c>
      <c r="X121" s="62" t="s">
        <v>402</v>
      </c>
      <c r="Y121" s="93">
        <v>1</v>
      </c>
      <c r="Z121" s="94">
        <v>1</v>
      </c>
      <c r="AA121" s="74">
        <v>0</v>
      </c>
      <c r="AB121" s="75">
        <v>0</v>
      </c>
      <c r="AC121" s="75">
        <v>0</v>
      </c>
      <c r="AD121" s="76">
        <v>0</v>
      </c>
      <c r="AE121" s="77">
        <v>18.141867254000001</v>
      </c>
      <c r="AF121" s="75">
        <v>40.027566047000001</v>
      </c>
      <c r="AG121" s="78">
        <v>3000.2682982731553</v>
      </c>
      <c r="AH121" s="79">
        <v>3600.3219579045294</v>
      </c>
      <c r="AI121" s="74">
        <v>3000.2682982731553</v>
      </c>
      <c r="AJ121" s="75">
        <v>0</v>
      </c>
      <c r="AK121" s="75">
        <v>0</v>
      </c>
      <c r="AL121" s="80">
        <v>3000.2682982731553</v>
      </c>
      <c r="AM121" s="74">
        <v>0</v>
      </c>
      <c r="AN121" s="74">
        <v>0</v>
      </c>
      <c r="AO121" s="81" t="s">
        <v>403</v>
      </c>
      <c r="AP121" s="82">
        <v>0</v>
      </c>
      <c r="AQ121" s="75">
        <v>0</v>
      </c>
      <c r="AR121" s="75">
        <v>0</v>
      </c>
      <c r="AS121" s="80">
        <v>0</v>
      </c>
      <c r="AT121" s="74">
        <v>0</v>
      </c>
      <c r="AU121" s="75">
        <v>90.30807577649864</v>
      </c>
      <c r="AV121" s="75">
        <v>0</v>
      </c>
      <c r="AW121" s="75">
        <v>0</v>
      </c>
      <c r="AX121" s="80">
        <v>90.30807577649864</v>
      </c>
      <c r="AY121" s="81">
        <v>0</v>
      </c>
      <c r="AZ121" s="83" t="s">
        <v>403</v>
      </c>
      <c r="BA121" s="80" t="s">
        <v>403</v>
      </c>
      <c r="BB121" s="84">
        <v>-90.308075776498754</v>
      </c>
      <c r="BC121" s="85" t="s">
        <v>403</v>
      </c>
      <c r="BD121" s="86">
        <v>-3.0099999999492304E-2</v>
      </c>
      <c r="BE121" s="84">
        <v>-90.308075776498754</v>
      </c>
      <c r="BF121" s="87" t="s">
        <v>403</v>
      </c>
      <c r="BG121" s="88">
        <v>-3.0099999999492304E-2</v>
      </c>
      <c r="BH121" s="89">
        <v>0</v>
      </c>
      <c r="BI121" s="90">
        <v>1</v>
      </c>
      <c r="BJ121" s="90">
        <v>3.0099999999492266E-2</v>
      </c>
      <c r="BK121" s="91">
        <v>1.0300999999994922</v>
      </c>
      <c r="BL121" s="92">
        <v>-90.308075776498754</v>
      </c>
      <c r="BM121" s="95" t="s">
        <v>442</v>
      </c>
      <c r="BN121" t="s">
        <v>402</v>
      </c>
      <c r="BO121">
        <v>0.85994999999999999</v>
      </c>
    </row>
    <row r="122" spans="1:67">
      <c r="A122" s="61" t="str">
        <f t="shared" si="2"/>
        <v>UK</v>
      </c>
      <c r="B122" s="62" t="s">
        <v>64</v>
      </c>
      <c r="C122" s="62" t="s">
        <v>176</v>
      </c>
      <c r="D122" s="63" t="s">
        <v>97</v>
      </c>
      <c r="E122" s="64">
        <v>43831</v>
      </c>
      <c r="F122" s="64">
        <v>43921</v>
      </c>
      <c r="G122" s="65">
        <v>43995</v>
      </c>
      <c r="H122" s="66" t="s">
        <v>132</v>
      </c>
      <c r="I122" s="67">
        <v>3</v>
      </c>
      <c r="J122" s="68">
        <v>2020</v>
      </c>
      <c r="K122" s="69">
        <v>1</v>
      </c>
      <c r="L122" s="70">
        <v>3</v>
      </c>
      <c r="M122" s="71" t="s">
        <v>140</v>
      </c>
      <c r="N122" s="71" t="s">
        <v>18</v>
      </c>
      <c r="O122" s="71" t="s">
        <v>114</v>
      </c>
      <c r="P122" s="71" t="s">
        <v>102</v>
      </c>
      <c r="Q122" s="61" t="s">
        <v>17</v>
      </c>
      <c r="R122" s="63" t="s">
        <v>165</v>
      </c>
      <c r="S122" s="72" t="s">
        <v>439</v>
      </c>
      <c r="T122" s="61" t="s">
        <v>614</v>
      </c>
      <c r="U122" s="73" t="s">
        <v>617</v>
      </c>
      <c r="V122" s="62">
        <v>106996</v>
      </c>
      <c r="W122" s="62" t="s">
        <v>418</v>
      </c>
      <c r="X122" s="62" t="s">
        <v>402</v>
      </c>
      <c r="Y122" s="93">
        <v>1</v>
      </c>
      <c r="Z122" s="94">
        <v>1</v>
      </c>
      <c r="AA122" s="74">
        <v>0</v>
      </c>
      <c r="AB122" s="75">
        <v>0</v>
      </c>
      <c r="AC122" s="75">
        <v>0</v>
      </c>
      <c r="AD122" s="76">
        <v>0</v>
      </c>
      <c r="AE122" s="77">
        <v>12.46215847</v>
      </c>
      <c r="AF122" s="75">
        <v>20.211748633999999</v>
      </c>
      <c r="AG122" s="78">
        <v>1857.440332228618</v>
      </c>
      <c r="AH122" s="79">
        <v>2228.9283987441131</v>
      </c>
      <c r="AI122" s="74">
        <v>1857.440332228618</v>
      </c>
      <c r="AJ122" s="75">
        <v>0</v>
      </c>
      <c r="AK122" s="75">
        <v>0</v>
      </c>
      <c r="AL122" s="80">
        <v>1857.440332228618</v>
      </c>
      <c r="AM122" s="74">
        <v>0</v>
      </c>
      <c r="AN122" s="74">
        <v>0</v>
      </c>
      <c r="AO122" s="81" t="s">
        <v>403</v>
      </c>
      <c r="AP122" s="82">
        <v>0</v>
      </c>
      <c r="AQ122" s="75">
        <v>0</v>
      </c>
      <c r="AR122" s="75">
        <v>0</v>
      </c>
      <c r="AS122" s="80">
        <v>0</v>
      </c>
      <c r="AT122" s="74">
        <v>0</v>
      </c>
      <c r="AU122" s="75">
        <v>55.908954000814006</v>
      </c>
      <c r="AV122" s="75">
        <v>0</v>
      </c>
      <c r="AW122" s="75">
        <v>0</v>
      </c>
      <c r="AX122" s="80">
        <v>55.908954000814006</v>
      </c>
      <c r="AY122" s="81">
        <v>0</v>
      </c>
      <c r="AZ122" s="83" t="s">
        <v>403</v>
      </c>
      <c r="BA122" s="80" t="s">
        <v>403</v>
      </c>
      <c r="BB122" s="84">
        <v>-55.908954000813992</v>
      </c>
      <c r="BC122" s="85" t="s">
        <v>403</v>
      </c>
      <c r="BD122" s="86">
        <v>-3.0100000000394408E-2</v>
      </c>
      <c r="BE122" s="84">
        <v>-55.908954000813992</v>
      </c>
      <c r="BF122" s="87" t="s">
        <v>403</v>
      </c>
      <c r="BG122" s="88">
        <v>-3.0100000000394408E-2</v>
      </c>
      <c r="BH122" s="89">
        <v>0</v>
      </c>
      <c r="BI122" s="90">
        <v>1</v>
      </c>
      <c r="BJ122" s="90">
        <v>3.0100000000394415E-2</v>
      </c>
      <c r="BK122" s="91">
        <v>1.0301000000003944</v>
      </c>
      <c r="BL122" s="92">
        <v>-55.908954000813992</v>
      </c>
      <c r="BM122" s="95" t="s">
        <v>442</v>
      </c>
      <c r="BN122" t="s">
        <v>402</v>
      </c>
      <c r="BO122">
        <v>0.85994999999999999</v>
      </c>
    </row>
    <row r="123" spans="1:67">
      <c r="A123" s="61" t="str">
        <f t="shared" si="2"/>
        <v>UK</v>
      </c>
      <c r="B123" s="62" t="s">
        <v>64</v>
      </c>
      <c r="C123" s="62" t="s">
        <v>176</v>
      </c>
      <c r="D123" s="63" t="s">
        <v>97</v>
      </c>
      <c r="E123" s="64">
        <v>43831</v>
      </c>
      <c r="F123" s="64">
        <v>43921</v>
      </c>
      <c r="G123" s="65">
        <v>43995</v>
      </c>
      <c r="H123" s="66" t="s">
        <v>132</v>
      </c>
      <c r="I123" s="67">
        <v>3</v>
      </c>
      <c r="J123" s="68">
        <v>2020</v>
      </c>
      <c r="K123" s="69">
        <v>1</v>
      </c>
      <c r="L123" s="70">
        <v>3</v>
      </c>
      <c r="M123" s="71" t="s">
        <v>140</v>
      </c>
      <c r="N123" s="71" t="s">
        <v>18</v>
      </c>
      <c r="O123" s="71" t="s">
        <v>114</v>
      </c>
      <c r="P123" s="71" t="s">
        <v>102</v>
      </c>
      <c r="Q123" s="61" t="s">
        <v>17</v>
      </c>
      <c r="R123" s="63" t="s">
        <v>165</v>
      </c>
      <c r="S123" s="72" t="s">
        <v>439</v>
      </c>
      <c r="T123" s="61" t="s">
        <v>614</v>
      </c>
      <c r="U123" s="73" t="s">
        <v>618</v>
      </c>
      <c r="V123" s="62">
        <v>106997</v>
      </c>
      <c r="W123" s="62" t="s">
        <v>418</v>
      </c>
      <c r="X123" s="62" t="s">
        <v>402</v>
      </c>
      <c r="Y123" s="93">
        <v>1</v>
      </c>
      <c r="Z123" s="94">
        <v>1</v>
      </c>
      <c r="AA123" s="74">
        <v>0</v>
      </c>
      <c r="AB123" s="75">
        <v>0</v>
      </c>
      <c r="AC123" s="75">
        <v>0</v>
      </c>
      <c r="AD123" s="76">
        <v>0</v>
      </c>
      <c r="AE123" s="77">
        <v>1.2337431694000001</v>
      </c>
      <c r="AF123" s="75">
        <v>1.5733606556999999</v>
      </c>
      <c r="AG123" s="78">
        <v>191.16963406011979</v>
      </c>
      <c r="AH123" s="79">
        <v>229.40356086981802</v>
      </c>
      <c r="AI123" s="74">
        <v>191.16963406011979</v>
      </c>
      <c r="AJ123" s="75">
        <v>0</v>
      </c>
      <c r="AK123" s="75">
        <v>0</v>
      </c>
      <c r="AL123" s="80">
        <v>191.16963406011979</v>
      </c>
      <c r="AM123" s="74">
        <v>0</v>
      </c>
      <c r="AN123" s="74">
        <v>0</v>
      </c>
      <c r="AO123" s="81" t="s">
        <v>403</v>
      </c>
      <c r="AP123" s="82">
        <v>0</v>
      </c>
      <c r="AQ123" s="75">
        <v>0</v>
      </c>
      <c r="AR123" s="75">
        <v>0</v>
      </c>
      <c r="AS123" s="80">
        <v>0</v>
      </c>
      <c r="AT123" s="74">
        <v>0</v>
      </c>
      <c r="AU123" s="75">
        <v>5.7542059849991274</v>
      </c>
      <c r="AV123" s="75">
        <v>0</v>
      </c>
      <c r="AW123" s="75">
        <v>0</v>
      </c>
      <c r="AX123" s="80">
        <v>5.7542059849991274</v>
      </c>
      <c r="AY123" s="81">
        <v>0</v>
      </c>
      <c r="AZ123" s="83" t="s">
        <v>403</v>
      </c>
      <c r="BA123" s="80" t="s">
        <v>403</v>
      </c>
      <c r="BB123" s="84">
        <v>-5.7542059849991176</v>
      </c>
      <c r="BC123" s="85" t="s">
        <v>403</v>
      </c>
      <c r="BD123" s="86">
        <v>-3.0099999998898945E-2</v>
      </c>
      <c r="BE123" s="84">
        <v>-5.7542059849991176</v>
      </c>
      <c r="BF123" s="87" t="s">
        <v>403</v>
      </c>
      <c r="BG123" s="88">
        <v>-3.0099999998898945E-2</v>
      </c>
      <c r="BH123" s="89">
        <v>0</v>
      </c>
      <c r="BI123" s="90">
        <v>1</v>
      </c>
      <c r="BJ123" s="90">
        <v>3.0099999998898997E-2</v>
      </c>
      <c r="BK123" s="91">
        <v>1.0300999999988989</v>
      </c>
      <c r="BL123" s="92">
        <v>-5.7542059849991176</v>
      </c>
      <c r="BM123" s="95" t="s">
        <v>442</v>
      </c>
      <c r="BN123" t="s">
        <v>402</v>
      </c>
      <c r="BO123">
        <v>0.85994999999999999</v>
      </c>
    </row>
    <row r="124" spans="1:67">
      <c r="A124" s="61" t="str">
        <f t="shared" si="2"/>
        <v>UK</v>
      </c>
      <c r="B124" s="62" t="s">
        <v>64</v>
      </c>
      <c r="C124" s="62" t="s">
        <v>176</v>
      </c>
      <c r="D124" s="63" t="s">
        <v>97</v>
      </c>
      <c r="E124" s="64">
        <v>43831</v>
      </c>
      <c r="F124" s="64">
        <v>43921</v>
      </c>
      <c r="G124" s="65">
        <v>43995</v>
      </c>
      <c r="H124" s="66" t="s">
        <v>132</v>
      </c>
      <c r="I124" s="67">
        <v>3</v>
      </c>
      <c r="J124" s="68">
        <v>2020</v>
      </c>
      <c r="K124" s="69">
        <v>1</v>
      </c>
      <c r="L124" s="70">
        <v>3</v>
      </c>
      <c r="M124" s="71" t="s">
        <v>140</v>
      </c>
      <c r="N124" s="71" t="s">
        <v>18</v>
      </c>
      <c r="O124" s="71" t="s">
        <v>114</v>
      </c>
      <c r="P124" s="71" t="s">
        <v>102</v>
      </c>
      <c r="Q124" s="61" t="s">
        <v>17</v>
      </c>
      <c r="R124" s="63" t="s">
        <v>165</v>
      </c>
      <c r="S124" s="72" t="s">
        <v>439</v>
      </c>
      <c r="T124" s="61" t="s">
        <v>614</v>
      </c>
      <c r="U124" s="73" t="s">
        <v>619</v>
      </c>
      <c r="V124" s="62">
        <v>106998</v>
      </c>
      <c r="W124" s="62" t="s">
        <v>418</v>
      </c>
      <c r="X124" s="62" t="s">
        <v>402</v>
      </c>
      <c r="Y124" s="93">
        <v>1</v>
      </c>
      <c r="Z124" s="94">
        <v>1</v>
      </c>
      <c r="AA124" s="74">
        <v>0</v>
      </c>
      <c r="AB124" s="75">
        <v>0</v>
      </c>
      <c r="AC124" s="75">
        <v>0</v>
      </c>
      <c r="AD124" s="76">
        <v>0</v>
      </c>
      <c r="AE124" s="77">
        <v>0.4027322404</v>
      </c>
      <c r="AF124" s="75">
        <v>0.4027322404</v>
      </c>
      <c r="AG124" s="78">
        <v>58.270592705389852</v>
      </c>
      <c r="AH124" s="79">
        <v>69.924711247165533</v>
      </c>
      <c r="AI124" s="74">
        <v>58.270592705389852</v>
      </c>
      <c r="AJ124" s="75">
        <v>0</v>
      </c>
      <c r="AK124" s="75">
        <v>0</v>
      </c>
      <c r="AL124" s="80">
        <v>58.270592705389852</v>
      </c>
      <c r="AM124" s="74">
        <v>0</v>
      </c>
      <c r="AN124" s="74">
        <v>0</v>
      </c>
      <c r="AO124" s="81" t="s">
        <v>403</v>
      </c>
      <c r="AP124" s="82">
        <v>0</v>
      </c>
      <c r="AQ124" s="75">
        <v>0</v>
      </c>
      <c r="AR124" s="75">
        <v>0</v>
      </c>
      <c r="AS124" s="80">
        <v>0</v>
      </c>
      <c r="AT124" s="74">
        <v>0</v>
      </c>
      <c r="AU124" s="75">
        <v>1.7539448403976976</v>
      </c>
      <c r="AV124" s="75">
        <v>0</v>
      </c>
      <c r="AW124" s="75">
        <v>0</v>
      </c>
      <c r="AX124" s="80">
        <v>1.7539448403976976</v>
      </c>
      <c r="AY124" s="81">
        <v>0</v>
      </c>
      <c r="AZ124" s="83" t="s">
        <v>403</v>
      </c>
      <c r="BA124" s="80" t="s">
        <v>403</v>
      </c>
      <c r="BB124" s="84">
        <v>-1.7539448403977005</v>
      </c>
      <c r="BC124" s="85" t="s">
        <v>403</v>
      </c>
      <c r="BD124" s="86">
        <v>-3.0099999999407351E-2</v>
      </c>
      <c r="BE124" s="84">
        <v>-1.7539448403977005</v>
      </c>
      <c r="BF124" s="87" t="s">
        <v>403</v>
      </c>
      <c r="BG124" s="88">
        <v>-3.0099999999407351E-2</v>
      </c>
      <c r="BH124" s="89">
        <v>0</v>
      </c>
      <c r="BI124" s="90">
        <v>1</v>
      </c>
      <c r="BJ124" s="90">
        <v>3.0099999999407302E-2</v>
      </c>
      <c r="BK124" s="91">
        <v>1.0300999999994074</v>
      </c>
      <c r="BL124" s="92">
        <v>-1.7539448403977005</v>
      </c>
      <c r="BM124" s="95" t="s">
        <v>442</v>
      </c>
      <c r="BN124" t="s">
        <v>402</v>
      </c>
      <c r="BO124">
        <v>0.85994999999999999</v>
      </c>
    </row>
    <row r="125" spans="1:67">
      <c r="A125" s="61" t="str">
        <f t="shared" si="2"/>
        <v>UK</v>
      </c>
      <c r="B125" s="62" t="s">
        <v>64</v>
      </c>
      <c r="C125" s="62" t="s">
        <v>176</v>
      </c>
      <c r="D125" s="63" t="s">
        <v>97</v>
      </c>
      <c r="E125" s="64">
        <v>43831</v>
      </c>
      <c r="F125" s="64">
        <v>43921</v>
      </c>
      <c r="G125" s="65">
        <v>43995</v>
      </c>
      <c r="H125" s="66" t="s">
        <v>132</v>
      </c>
      <c r="I125" s="67">
        <v>3</v>
      </c>
      <c r="J125" s="68">
        <v>2020</v>
      </c>
      <c r="K125" s="69">
        <v>1</v>
      </c>
      <c r="L125" s="70">
        <v>3</v>
      </c>
      <c r="M125" s="71" t="s">
        <v>140</v>
      </c>
      <c r="N125" s="71" t="s">
        <v>18</v>
      </c>
      <c r="O125" s="71" t="s">
        <v>114</v>
      </c>
      <c r="P125" s="71" t="s">
        <v>102</v>
      </c>
      <c r="Q125" s="61" t="s">
        <v>17</v>
      </c>
      <c r="R125" s="63" t="s">
        <v>165</v>
      </c>
      <c r="S125" s="72" t="s">
        <v>439</v>
      </c>
      <c r="T125" s="61" t="s">
        <v>614</v>
      </c>
      <c r="U125" s="73" t="s">
        <v>620</v>
      </c>
      <c r="V125" s="62">
        <v>106995</v>
      </c>
      <c r="W125" s="62" t="s">
        <v>418</v>
      </c>
      <c r="X125" s="62" t="s">
        <v>402</v>
      </c>
      <c r="Y125" s="93">
        <v>1</v>
      </c>
      <c r="Z125" s="94">
        <v>1</v>
      </c>
      <c r="AA125" s="74">
        <v>0</v>
      </c>
      <c r="AB125" s="75">
        <v>0</v>
      </c>
      <c r="AC125" s="75">
        <v>0</v>
      </c>
      <c r="AD125" s="76">
        <v>0</v>
      </c>
      <c r="AE125" s="77">
        <v>16.532768075</v>
      </c>
      <c r="AF125" s="75">
        <v>37.287395124</v>
      </c>
      <c r="AG125" s="78">
        <v>1278.028383626955</v>
      </c>
      <c r="AH125" s="79">
        <v>1533.6340603523461</v>
      </c>
      <c r="AI125" s="74">
        <v>1278.028383626955</v>
      </c>
      <c r="AJ125" s="75">
        <v>0</v>
      </c>
      <c r="AK125" s="75">
        <v>0</v>
      </c>
      <c r="AL125" s="80">
        <v>1278.028383626955</v>
      </c>
      <c r="AM125" s="74">
        <v>0</v>
      </c>
      <c r="AN125" s="74">
        <v>0</v>
      </c>
      <c r="AO125" s="81" t="s">
        <v>403</v>
      </c>
      <c r="AP125" s="82">
        <v>0</v>
      </c>
      <c r="AQ125" s="75">
        <v>0</v>
      </c>
      <c r="AR125" s="75">
        <v>0</v>
      </c>
      <c r="AS125" s="80">
        <v>0</v>
      </c>
      <c r="AT125" s="74">
        <v>0</v>
      </c>
      <c r="AU125" s="75">
        <v>38.468654346182923</v>
      </c>
      <c r="AV125" s="75">
        <v>0</v>
      </c>
      <c r="AW125" s="75">
        <v>0</v>
      </c>
      <c r="AX125" s="80">
        <v>38.468654346182923</v>
      </c>
      <c r="AY125" s="81">
        <v>0</v>
      </c>
      <c r="AZ125" s="83" t="s">
        <v>403</v>
      </c>
      <c r="BA125" s="80" t="s">
        <v>403</v>
      </c>
      <c r="BB125" s="84">
        <v>-38.46865434618303</v>
      </c>
      <c r="BC125" s="85" t="s">
        <v>403</v>
      </c>
      <c r="BD125" s="86">
        <v>-3.0099999999226686E-2</v>
      </c>
      <c r="BE125" s="84">
        <v>-38.46865434618303</v>
      </c>
      <c r="BF125" s="87" t="s">
        <v>403</v>
      </c>
      <c r="BG125" s="88">
        <v>-3.0099999999226686E-2</v>
      </c>
      <c r="BH125" s="89">
        <v>0</v>
      </c>
      <c r="BI125" s="90">
        <v>1</v>
      </c>
      <c r="BJ125" s="90">
        <v>3.0099999999226603E-2</v>
      </c>
      <c r="BK125" s="91">
        <v>1.0300999999992266</v>
      </c>
      <c r="BL125" s="92">
        <v>-38.46865434618303</v>
      </c>
      <c r="BM125" s="95" t="s">
        <v>442</v>
      </c>
      <c r="BN125" t="s">
        <v>402</v>
      </c>
      <c r="BO125">
        <v>0.85994999999999999</v>
      </c>
    </row>
    <row r="126" spans="1:67">
      <c r="A126" s="61" t="str">
        <f t="shared" si="2"/>
        <v>UK</v>
      </c>
      <c r="B126" s="62" t="s">
        <v>64</v>
      </c>
      <c r="C126" s="62" t="s">
        <v>176</v>
      </c>
      <c r="D126" s="63" t="s">
        <v>97</v>
      </c>
      <c r="E126" s="64">
        <v>43831</v>
      </c>
      <c r="F126" s="64">
        <v>43921</v>
      </c>
      <c r="G126" s="65">
        <v>43995</v>
      </c>
      <c r="H126" s="66" t="s">
        <v>132</v>
      </c>
      <c r="I126" s="67">
        <v>3</v>
      </c>
      <c r="J126" s="68">
        <v>2020</v>
      </c>
      <c r="K126" s="69">
        <v>1</v>
      </c>
      <c r="L126" s="70">
        <v>3</v>
      </c>
      <c r="M126" s="71" t="s">
        <v>140</v>
      </c>
      <c r="N126" s="71" t="s">
        <v>18</v>
      </c>
      <c r="O126" s="71" t="s">
        <v>114</v>
      </c>
      <c r="P126" s="71" t="s">
        <v>102</v>
      </c>
      <c r="Q126" s="61" t="s">
        <v>73</v>
      </c>
      <c r="R126" s="63" t="s">
        <v>165</v>
      </c>
      <c r="S126" s="72" t="s">
        <v>439</v>
      </c>
      <c r="T126" s="61" t="s">
        <v>621</v>
      </c>
      <c r="U126" s="73" t="s">
        <v>622</v>
      </c>
      <c r="V126" s="62">
        <v>107011</v>
      </c>
      <c r="W126" s="62" t="s">
        <v>407</v>
      </c>
      <c r="X126" s="62" t="s">
        <v>402</v>
      </c>
      <c r="Y126" s="93">
        <v>1</v>
      </c>
      <c r="Z126" s="94">
        <v>1</v>
      </c>
      <c r="AA126" s="74">
        <v>0</v>
      </c>
      <c r="AB126" s="75">
        <v>0</v>
      </c>
      <c r="AC126" s="75">
        <v>0</v>
      </c>
      <c r="AD126" s="76">
        <v>0</v>
      </c>
      <c r="AE126" s="77">
        <v>0</v>
      </c>
      <c r="AF126" s="75">
        <v>0</v>
      </c>
      <c r="AG126" s="78">
        <v>0</v>
      </c>
      <c r="AH126" s="79">
        <v>0</v>
      </c>
      <c r="AI126" s="74">
        <v>0</v>
      </c>
      <c r="AJ126" s="75">
        <v>0</v>
      </c>
      <c r="AK126" s="75">
        <v>0</v>
      </c>
      <c r="AL126" s="80">
        <v>0</v>
      </c>
      <c r="AM126" s="74">
        <v>0</v>
      </c>
      <c r="AN126" s="74">
        <v>0</v>
      </c>
      <c r="AO126" s="81" t="s">
        <v>403</v>
      </c>
      <c r="AP126" s="82">
        <v>0</v>
      </c>
      <c r="AQ126" s="75">
        <v>0</v>
      </c>
      <c r="AR126" s="75">
        <v>0</v>
      </c>
      <c r="AS126" s="80">
        <v>0</v>
      </c>
      <c r="AT126" s="74">
        <v>0</v>
      </c>
      <c r="AU126" s="75">
        <v>0</v>
      </c>
      <c r="AV126" s="75">
        <v>0</v>
      </c>
      <c r="AW126" s="75">
        <v>0</v>
      </c>
      <c r="AX126" s="80">
        <v>0</v>
      </c>
      <c r="AY126" s="81" t="s">
        <v>403</v>
      </c>
      <c r="AZ126" s="83" t="s">
        <v>403</v>
      </c>
      <c r="BA126" s="80" t="s">
        <v>403</v>
      </c>
      <c r="BB126" s="84">
        <v>0</v>
      </c>
      <c r="BC126" s="85" t="s">
        <v>403</v>
      </c>
      <c r="BD126" s="86" t="s">
        <v>403</v>
      </c>
      <c r="BE126" s="84">
        <v>0</v>
      </c>
      <c r="BF126" s="87" t="s">
        <v>403</v>
      </c>
      <c r="BG126" s="88" t="s">
        <v>403</v>
      </c>
      <c r="BH126" s="89" t="s">
        <v>403</v>
      </c>
      <c r="BI126" s="90" t="s">
        <v>403</v>
      </c>
      <c r="BJ126" s="90" t="s">
        <v>403</v>
      </c>
      <c r="BK126" s="91">
        <v>0</v>
      </c>
      <c r="BL126" s="92">
        <v>0</v>
      </c>
      <c r="BM126" s="95" t="s">
        <v>442</v>
      </c>
      <c r="BN126" t="s">
        <v>402</v>
      </c>
      <c r="BO126">
        <v>0.85994999999999999</v>
      </c>
    </row>
    <row r="127" spans="1:67">
      <c r="A127" s="61" t="str">
        <f t="shared" si="2"/>
        <v>UK</v>
      </c>
      <c r="B127" s="62" t="s">
        <v>64</v>
      </c>
      <c r="C127" s="62" t="s">
        <v>176</v>
      </c>
      <c r="D127" s="63" t="s">
        <v>97</v>
      </c>
      <c r="E127" s="64">
        <v>43831</v>
      </c>
      <c r="F127" s="64">
        <v>43921</v>
      </c>
      <c r="G127" s="65">
        <v>43995</v>
      </c>
      <c r="H127" s="66" t="s">
        <v>132</v>
      </c>
      <c r="I127" s="67">
        <v>3</v>
      </c>
      <c r="J127" s="68">
        <v>2020</v>
      </c>
      <c r="K127" s="69">
        <v>1</v>
      </c>
      <c r="L127" s="70">
        <v>3</v>
      </c>
      <c r="M127" s="71" t="s">
        <v>140</v>
      </c>
      <c r="N127" s="71" t="s">
        <v>18</v>
      </c>
      <c r="O127" s="71" t="s">
        <v>114</v>
      </c>
      <c r="P127" s="71" t="s">
        <v>102</v>
      </c>
      <c r="Q127" s="61" t="s">
        <v>73</v>
      </c>
      <c r="R127" s="63" t="s">
        <v>165</v>
      </c>
      <c r="S127" s="72" t="s">
        <v>439</v>
      </c>
      <c r="T127" s="61" t="s">
        <v>621</v>
      </c>
      <c r="U127" s="73" t="s">
        <v>623</v>
      </c>
      <c r="V127" s="62">
        <v>107015</v>
      </c>
      <c r="W127" s="62" t="s">
        <v>407</v>
      </c>
      <c r="X127" s="62" t="s">
        <v>402</v>
      </c>
      <c r="Y127" s="93">
        <v>1</v>
      </c>
      <c r="Z127" s="94">
        <v>1</v>
      </c>
      <c r="AA127" s="74">
        <v>0</v>
      </c>
      <c r="AB127" s="75">
        <v>0</v>
      </c>
      <c r="AC127" s="75">
        <v>0</v>
      </c>
      <c r="AD127" s="76">
        <v>0</v>
      </c>
      <c r="AE127" s="77">
        <v>0</v>
      </c>
      <c r="AF127" s="75">
        <v>0</v>
      </c>
      <c r="AG127" s="78">
        <v>0</v>
      </c>
      <c r="AH127" s="79">
        <v>0</v>
      </c>
      <c r="AI127" s="74">
        <v>0</v>
      </c>
      <c r="AJ127" s="75">
        <v>0</v>
      </c>
      <c r="AK127" s="75">
        <v>0</v>
      </c>
      <c r="AL127" s="80">
        <v>0</v>
      </c>
      <c r="AM127" s="74">
        <v>0</v>
      </c>
      <c r="AN127" s="74">
        <v>0</v>
      </c>
      <c r="AO127" s="81" t="s">
        <v>403</v>
      </c>
      <c r="AP127" s="82">
        <v>0</v>
      </c>
      <c r="AQ127" s="75">
        <v>0</v>
      </c>
      <c r="AR127" s="75">
        <v>0</v>
      </c>
      <c r="AS127" s="80">
        <v>0</v>
      </c>
      <c r="AT127" s="74">
        <v>0</v>
      </c>
      <c r="AU127" s="75">
        <v>0</v>
      </c>
      <c r="AV127" s="75">
        <v>0</v>
      </c>
      <c r="AW127" s="75">
        <v>0</v>
      </c>
      <c r="AX127" s="80">
        <v>0</v>
      </c>
      <c r="AY127" s="81" t="s">
        <v>403</v>
      </c>
      <c r="AZ127" s="83" t="s">
        <v>403</v>
      </c>
      <c r="BA127" s="80" t="s">
        <v>403</v>
      </c>
      <c r="BB127" s="84">
        <v>0</v>
      </c>
      <c r="BC127" s="85" t="s">
        <v>403</v>
      </c>
      <c r="BD127" s="86" t="s">
        <v>403</v>
      </c>
      <c r="BE127" s="84">
        <v>0</v>
      </c>
      <c r="BF127" s="87" t="s">
        <v>403</v>
      </c>
      <c r="BG127" s="88" t="s">
        <v>403</v>
      </c>
      <c r="BH127" s="89" t="s">
        <v>403</v>
      </c>
      <c r="BI127" s="90" t="s">
        <v>403</v>
      </c>
      <c r="BJ127" s="90" t="s">
        <v>403</v>
      </c>
      <c r="BK127" s="91">
        <v>0</v>
      </c>
      <c r="BL127" s="92">
        <v>0</v>
      </c>
      <c r="BM127" s="95" t="s">
        <v>442</v>
      </c>
      <c r="BN127" t="s">
        <v>402</v>
      </c>
      <c r="BO127">
        <v>0.85994999999999999</v>
      </c>
    </row>
    <row r="128" spans="1:67">
      <c r="A128" s="61" t="str">
        <f t="shared" si="2"/>
        <v>UK</v>
      </c>
      <c r="B128" s="62" t="s">
        <v>64</v>
      </c>
      <c r="C128" s="62" t="s">
        <v>176</v>
      </c>
      <c r="D128" s="63" t="s">
        <v>97</v>
      </c>
      <c r="E128" s="64">
        <v>43831</v>
      </c>
      <c r="F128" s="64">
        <v>43921</v>
      </c>
      <c r="G128" s="65">
        <v>43995</v>
      </c>
      <c r="H128" s="66" t="s">
        <v>132</v>
      </c>
      <c r="I128" s="67">
        <v>3</v>
      </c>
      <c r="J128" s="68">
        <v>2020</v>
      </c>
      <c r="K128" s="69">
        <v>1</v>
      </c>
      <c r="L128" s="70">
        <v>3</v>
      </c>
      <c r="M128" s="71" t="s">
        <v>140</v>
      </c>
      <c r="N128" s="71" t="s">
        <v>18</v>
      </c>
      <c r="O128" s="71" t="s">
        <v>114</v>
      </c>
      <c r="P128" s="71" t="s">
        <v>102</v>
      </c>
      <c r="Q128" s="61" t="s">
        <v>73</v>
      </c>
      <c r="R128" s="63" t="s">
        <v>165</v>
      </c>
      <c r="S128" s="72" t="s">
        <v>439</v>
      </c>
      <c r="T128" s="61" t="s">
        <v>621</v>
      </c>
      <c r="U128" s="73" t="s">
        <v>624</v>
      </c>
      <c r="V128" s="62">
        <v>107013</v>
      </c>
      <c r="W128" s="62" t="s">
        <v>407</v>
      </c>
      <c r="X128" s="62" t="s">
        <v>402</v>
      </c>
      <c r="Y128" s="93">
        <v>1</v>
      </c>
      <c r="Z128" s="94">
        <v>1</v>
      </c>
      <c r="AA128" s="74">
        <v>0</v>
      </c>
      <c r="AB128" s="75">
        <v>0</v>
      </c>
      <c r="AC128" s="75">
        <v>0</v>
      </c>
      <c r="AD128" s="76">
        <v>0</v>
      </c>
      <c r="AE128" s="77">
        <v>0</v>
      </c>
      <c r="AF128" s="75">
        <v>0</v>
      </c>
      <c r="AG128" s="78">
        <v>0</v>
      </c>
      <c r="AH128" s="79">
        <v>0</v>
      </c>
      <c r="AI128" s="74">
        <v>0</v>
      </c>
      <c r="AJ128" s="75">
        <v>0</v>
      </c>
      <c r="AK128" s="75">
        <v>0</v>
      </c>
      <c r="AL128" s="80">
        <v>0</v>
      </c>
      <c r="AM128" s="74">
        <v>0</v>
      </c>
      <c r="AN128" s="74">
        <v>0</v>
      </c>
      <c r="AO128" s="81" t="s">
        <v>403</v>
      </c>
      <c r="AP128" s="82">
        <v>0</v>
      </c>
      <c r="AQ128" s="75">
        <v>0</v>
      </c>
      <c r="AR128" s="75">
        <v>0</v>
      </c>
      <c r="AS128" s="80">
        <v>0</v>
      </c>
      <c r="AT128" s="74">
        <v>0</v>
      </c>
      <c r="AU128" s="75">
        <v>0</v>
      </c>
      <c r="AV128" s="75">
        <v>0</v>
      </c>
      <c r="AW128" s="75">
        <v>0</v>
      </c>
      <c r="AX128" s="80">
        <v>0</v>
      </c>
      <c r="AY128" s="81" t="s">
        <v>403</v>
      </c>
      <c r="AZ128" s="83" t="s">
        <v>403</v>
      </c>
      <c r="BA128" s="80" t="s">
        <v>403</v>
      </c>
      <c r="BB128" s="84">
        <v>0</v>
      </c>
      <c r="BC128" s="85" t="s">
        <v>403</v>
      </c>
      <c r="BD128" s="86" t="s">
        <v>403</v>
      </c>
      <c r="BE128" s="84">
        <v>0</v>
      </c>
      <c r="BF128" s="87" t="s">
        <v>403</v>
      </c>
      <c r="BG128" s="88" t="s">
        <v>403</v>
      </c>
      <c r="BH128" s="89" t="s">
        <v>403</v>
      </c>
      <c r="BI128" s="90" t="s">
        <v>403</v>
      </c>
      <c r="BJ128" s="90" t="s">
        <v>403</v>
      </c>
      <c r="BK128" s="91">
        <v>0</v>
      </c>
      <c r="BL128" s="92">
        <v>0</v>
      </c>
      <c r="BM128" s="95" t="s">
        <v>442</v>
      </c>
      <c r="BN128" t="s">
        <v>402</v>
      </c>
      <c r="BO128">
        <v>0.85994999999999999</v>
      </c>
    </row>
    <row r="129" spans="1:67">
      <c r="A129" s="61" t="str">
        <f t="shared" si="2"/>
        <v>UK</v>
      </c>
      <c r="B129" s="62" t="s">
        <v>64</v>
      </c>
      <c r="C129" s="62" t="s">
        <v>176</v>
      </c>
      <c r="D129" s="63" t="s">
        <v>97</v>
      </c>
      <c r="E129" s="64">
        <v>43831</v>
      </c>
      <c r="F129" s="64">
        <v>43921</v>
      </c>
      <c r="G129" s="65">
        <v>43995</v>
      </c>
      <c r="H129" s="66" t="s">
        <v>132</v>
      </c>
      <c r="I129" s="67">
        <v>3</v>
      </c>
      <c r="J129" s="68">
        <v>2020</v>
      </c>
      <c r="K129" s="69">
        <v>1</v>
      </c>
      <c r="L129" s="70">
        <v>3</v>
      </c>
      <c r="M129" s="71" t="s">
        <v>140</v>
      </c>
      <c r="N129" s="71" t="s">
        <v>18</v>
      </c>
      <c r="O129" s="71" t="s">
        <v>114</v>
      </c>
      <c r="P129" s="71" t="s">
        <v>102</v>
      </c>
      <c r="Q129" s="61" t="s">
        <v>73</v>
      </c>
      <c r="R129" s="63" t="s">
        <v>165</v>
      </c>
      <c r="S129" s="72" t="s">
        <v>439</v>
      </c>
      <c r="T129" s="61" t="s">
        <v>625</v>
      </c>
      <c r="U129" s="73" t="s">
        <v>626</v>
      </c>
      <c r="V129" s="62">
        <v>107019</v>
      </c>
      <c r="W129" s="62" t="s">
        <v>407</v>
      </c>
      <c r="X129" s="62" t="s">
        <v>402</v>
      </c>
      <c r="Y129" s="93">
        <v>1</v>
      </c>
      <c r="Z129" s="94">
        <v>1</v>
      </c>
      <c r="AA129" s="74">
        <v>0</v>
      </c>
      <c r="AB129" s="75">
        <v>0</v>
      </c>
      <c r="AC129" s="75">
        <v>0</v>
      </c>
      <c r="AD129" s="76">
        <v>0</v>
      </c>
      <c r="AE129" s="77">
        <v>0</v>
      </c>
      <c r="AF129" s="75">
        <v>0</v>
      </c>
      <c r="AG129" s="78">
        <v>0</v>
      </c>
      <c r="AH129" s="79">
        <v>0</v>
      </c>
      <c r="AI129" s="74">
        <v>0</v>
      </c>
      <c r="AJ129" s="75">
        <v>0</v>
      </c>
      <c r="AK129" s="75">
        <v>0</v>
      </c>
      <c r="AL129" s="80">
        <v>0</v>
      </c>
      <c r="AM129" s="74">
        <v>0</v>
      </c>
      <c r="AN129" s="74">
        <v>0</v>
      </c>
      <c r="AO129" s="81" t="s">
        <v>403</v>
      </c>
      <c r="AP129" s="82">
        <v>0</v>
      </c>
      <c r="AQ129" s="75">
        <v>0</v>
      </c>
      <c r="AR129" s="75">
        <v>0</v>
      </c>
      <c r="AS129" s="80">
        <v>0</v>
      </c>
      <c r="AT129" s="74">
        <v>0</v>
      </c>
      <c r="AU129" s="75">
        <v>0</v>
      </c>
      <c r="AV129" s="75">
        <v>0</v>
      </c>
      <c r="AW129" s="75">
        <v>0</v>
      </c>
      <c r="AX129" s="80">
        <v>0</v>
      </c>
      <c r="AY129" s="81" t="s">
        <v>403</v>
      </c>
      <c r="AZ129" s="83" t="s">
        <v>403</v>
      </c>
      <c r="BA129" s="80" t="s">
        <v>403</v>
      </c>
      <c r="BB129" s="84">
        <v>0</v>
      </c>
      <c r="BC129" s="85" t="s">
        <v>403</v>
      </c>
      <c r="BD129" s="86" t="s">
        <v>403</v>
      </c>
      <c r="BE129" s="84">
        <v>0</v>
      </c>
      <c r="BF129" s="87" t="s">
        <v>403</v>
      </c>
      <c r="BG129" s="88" t="s">
        <v>403</v>
      </c>
      <c r="BH129" s="89" t="s">
        <v>403</v>
      </c>
      <c r="BI129" s="90" t="s">
        <v>403</v>
      </c>
      <c r="BJ129" s="90" t="s">
        <v>403</v>
      </c>
      <c r="BK129" s="91">
        <v>0</v>
      </c>
      <c r="BL129" s="92">
        <v>0</v>
      </c>
      <c r="BM129" s="95" t="s">
        <v>442</v>
      </c>
      <c r="BN129" t="s">
        <v>402</v>
      </c>
      <c r="BO129">
        <v>0.85994999999999999</v>
      </c>
    </row>
    <row r="130" spans="1:67">
      <c r="A130" s="61" t="str">
        <f t="shared" si="2"/>
        <v>UK</v>
      </c>
      <c r="B130" s="62" t="s">
        <v>64</v>
      </c>
      <c r="C130" s="62" t="s">
        <v>176</v>
      </c>
      <c r="D130" s="63" t="s">
        <v>97</v>
      </c>
      <c r="E130" s="64">
        <v>43831</v>
      </c>
      <c r="F130" s="64">
        <v>43921</v>
      </c>
      <c r="G130" s="65">
        <v>43995</v>
      </c>
      <c r="H130" s="66" t="s">
        <v>132</v>
      </c>
      <c r="I130" s="67">
        <v>3</v>
      </c>
      <c r="J130" s="68">
        <v>2020</v>
      </c>
      <c r="K130" s="69">
        <v>1</v>
      </c>
      <c r="L130" s="70">
        <v>3</v>
      </c>
      <c r="M130" s="71" t="s">
        <v>140</v>
      </c>
      <c r="N130" s="71" t="s">
        <v>18</v>
      </c>
      <c r="O130" s="71" t="s">
        <v>114</v>
      </c>
      <c r="P130" s="71" t="s">
        <v>102</v>
      </c>
      <c r="Q130" s="61" t="s">
        <v>17</v>
      </c>
      <c r="R130" s="63" t="s">
        <v>165</v>
      </c>
      <c r="S130" s="72" t="s">
        <v>439</v>
      </c>
      <c r="T130" s="61" t="s">
        <v>627</v>
      </c>
      <c r="U130" s="73" t="s">
        <v>628</v>
      </c>
      <c r="V130" s="62">
        <v>106675</v>
      </c>
      <c r="W130" s="62" t="s">
        <v>418</v>
      </c>
      <c r="X130" s="62" t="s">
        <v>402</v>
      </c>
      <c r="Y130" s="93">
        <v>1</v>
      </c>
      <c r="Z130" s="94">
        <v>1</v>
      </c>
      <c r="AA130" s="74">
        <v>0</v>
      </c>
      <c r="AB130" s="75">
        <v>0</v>
      </c>
      <c r="AC130" s="75">
        <v>0</v>
      </c>
      <c r="AD130" s="76">
        <v>0</v>
      </c>
      <c r="AE130" s="77">
        <v>8.8904109600000003E-2</v>
      </c>
      <c r="AF130" s="75">
        <v>8.8904109600000003E-2</v>
      </c>
      <c r="AG130" s="78">
        <v>4.5298934482237341</v>
      </c>
      <c r="AH130" s="79">
        <v>5.4358721379149957</v>
      </c>
      <c r="AI130" s="74">
        <v>4.5298934482237341</v>
      </c>
      <c r="AJ130" s="75">
        <v>0</v>
      </c>
      <c r="AK130" s="75">
        <v>0</v>
      </c>
      <c r="AL130" s="80">
        <v>4.5298934482237341</v>
      </c>
      <c r="AM130" s="74">
        <v>0</v>
      </c>
      <c r="AN130" s="74">
        <v>0</v>
      </c>
      <c r="AO130" s="81" t="s">
        <v>403</v>
      </c>
      <c r="AP130" s="82">
        <v>0</v>
      </c>
      <c r="AQ130" s="75">
        <v>0</v>
      </c>
      <c r="AR130" s="75">
        <v>0</v>
      </c>
      <c r="AS130" s="80">
        <v>0</v>
      </c>
      <c r="AT130" s="74">
        <v>0</v>
      </c>
      <c r="AU130" s="75">
        <v>0.13634979277864992</v>
      </c>
      <c r="AV130" s="75">
        <v>0</v>
      </c>
      <c r="AW130" s="75">
        <v>0</v>
      </c>
      <c r="AX130" s="80">
        <v>0.13634979277864992</v>
      </c>
      <c r="AY130" s="81">
        <v>0</v>
      </c>
      <c r="AZ130" s="83" t="s">
        <v>403</v>
      </c>
      <c r="BA130" s="80" t="s">
        <v>403</v>
      </c>
      <c r="BB130" s="84">
        <v>-0.13634979277864989</v>
      </c>
      <c r="BC130" s="85" t="s">
        <v>403</v>
      </c>
      <c r="BD130" s="86">
        <v>-3.0099999997155673E-2</v>
      </c>
      <c r="BE130" s="84">
        <v>-0.13634979277864989</v>
      </c>
      <c r="BF130" s="87" t="s">
        <v>403</v>
      </c>
      <c r="BG130" s="88">
        <v>-3.0099999997155673E-2</v>
      </c>
      <c r="BH130" s="89">
        <v>0</v>
      </c>
      <c r="BI130" s="90">
        <v>1</v>
      </c>
      <c r="BJ130" s="90">
        <v>3.0099999997155676E-2</v>
      </c>
      <c r="BK130" s="91">
        <v>1.0300999999971556</v>
      </c>
      <c r="BL130" s="92">
        <v>-0.13634979277864989</v>
      </c>
      <c r="BM130" s="95" t="s">
        <v>442</v>
      </c>
      <c r="BN130" t="s">
        <v>402</v>
      </c>
      <c r="BO130">
        <v>0.85994999999999999</v>
      </c>
    </row>
    <row r="131" spans="1:67">
      <c r="A131" s="61" t="str">
        <f t="shared" si="2"/>
        <v>UK</v>
      </c>
      <c r="B131" s="62" t="s">
        <v>64</v>
      </c>
      <c r="C131" s="62" t="s">
        <v>176</v>
      </c>
      <c r="D131" s="63" t="s">
        <v>97</v>
      </c>
      <c r="E131" s="64">
        <v>43831</v>
      </c>
      <c r="F131" s="64">
        <v>43921</v>
      </c>
      <c r="G131" s="65">
        <v>43995</v>
      </c>
      <c r="H131" s="66" t="s">
        <v>132</v>
      </c>
      <c r="I131" s="67">
        <v>3</v>
      </c>
      <c r="J131" s="68">
        <v>2020</v>
      </c>
      <c r="K131" s="69">
        <v>1</v>
      </c>
      <c r="L131" s="70">
        <v>3</v>
      </c>
      <c r="M131" s="71" t="s">
        <v>140</v>
      </c>
      <c r="N131" s="71" t="s">
        <v>18</v>
      </c>
      <c r="O131" s="71" t="s">
        <v>114</v>
      </c>
      <c r="P131" s="71" t="s">
        <v>102</v>
      </c>
      <c r="Q131" s="61" t="s">
        <v>17</v>
      </c>
      <c r="R131" s="63" t="s">
        <v>165</v>
      </c>
      <c r="S131" s="72" t="s">
        <v>439</v>
      </c>
      <c r="T131" s="61" t="s">
        <v>627</v>
      </c>
      <c r="U131" s="73" t="s">
        <v>629</v>
      </c>
      <c r="V131" s="62">
        <v>107001</v>
      </c>
      <c r="W131" s="62" t="s">
        <v>418</v>
      </c>
      <c r="X131" s="62" t="s">
        <v>402</v>
      </c>
      <c r="Y131" s="93">
        <v>1</v>
      </c>
      <c r="Z131" s="94">
        <v>1</v>
      </c>
      <c r="AA131" s="74">
        <v>0</v>
      </c>
      <c r="AB131" s="75">
        <v>0</v>
      </c>
      <c r="AC131" s="75">
        <v>0</v>
      </c>
      <c r="AD131" s="76">
        <v>0</v>
      </c>
      <c r="AE131" s="77">
        <v>77.744922897999999</v>
      </c>
      <c r="AF131" s="75">
        <v>101.20509694</v>
      </c>
      <c r="AG131" s="78">
        <v>22335.37711727426</v>
      </c>
      <c r="AH131" s="79">
        <v>26802.45254026397</v>
      </c>
      <c r="AI131" s="74">
        <v>22335.37711727426</v>
      </c>
      <c r="AJ131" s="75">
        <v>0</v>
      </c>
      <c r="AK131" s="75">
        <v>0</v>
      </c>
      <c r="AL131" s="80">
        <v>22335.37711727426</v>
      </c>
      <c r="AM131" s="74">
        <v>0</v>
      </c>
      <c r="AN131" s="74">
        <v>0</v>
      </c>
      <c r="AO131" s="81" t="s">
        <v>403</v>
      </c>
      <c r="AP131" s="82">
        <v>0</v>
      </c>
      <c r="AQ131" s="75">
        <v>0</v>
      </c>
      <c r="AR131" s="75">
        <v>0</v>
      </c>
      <c r="AS131" s="80">
        <v>0</v>
      </c>
      <c r="AT131" s="74">
        <v>0</v>
      </c>
      <c r="AU131" s="75">
        <v>672.29485122390838</v>
      </c>
      <c r="AV131" s="75">
        <v>0</v>
      </c>
      <c r="AW131" s="75">
        <v>0</v>
      </c>
      <c r="AX131" s="80">
        <v>672.29485122390838</v>
      </c>
      <c r="AY131" s="81">
        <v>0</v>
      </c>
      <c r="AZ131" s="83" t="s">
        <v>403</v>
      </c>
      <c r="BA131" s="80" t="s">
        <v>403</v>
      </c>
      <c r="BB131" s="84">
        <v>-672.29485122390906</v>
      </c>
      <c r="BC131" s="85" t="s">
        <v>403</v>
      </c>
      <c r="BD131" s="86">
        <v>-3.0099999999729302E-2</v>
      </c>
      <c r="BE131" s="84">
        <v>-672.29485122390906</v>
      </c>
      <c r="BF131" s="87" t="s">
        <v>403</v>
      </c>
      <c r="BG131" s="88">
        <v>-3.0099999999729302E-2</v>
      </c>
      <c r="BH131" s="89">
        <v>0</v>
      </c>
      <c r="BI131" s="90">
        <v>1</v>
      </c>
      <c r="BJ131" s="90">
        <v>3.009999999972927E-2</v>
      </c>
      <c r="BK131" s="91">
        <v>1.0300999999997293</v>
      </c>
      <c r="BL131" s="92">
        <v>-672.29485122390906</v>
      </c>
      <c r="BM131" s="95" t="s">
        <v>442</v>
      </c>
      <c r="BN131" t="s">
        <v>402</v>
      </c>
      <c r="BO131">
        <v>0.85994999999999999</v>
      </c>
    </row>
    <row r="132" spans="1:67">
      <c r="A132" s="61" t="str">
        <f t="shared" si="2"/>
        <v>UK</v>
      </c>
      <c r="B132" s="62" t="s">
        <v>64</v>
      </c>
      <c r="C132" s="62" t="s">
        <v>176</v>
      </c>
      <c r="D132" s="63" t="s">
        <v>97</v>
      </c>
      <c r="E132" s="64">
        <v>43831</v>
      </c>
      <c r="F132" s="64">
        <v>43921</v>
      </c>
      <c r="G132" s="65">
        <v>43995</v>
      </c>
      <c r="H132" s="66" t="s">
        <v>132</v>
      </c>
      <c r="I132" s="67">
        <v>3</v>
      </c>
      <c r="J132" s="68">
        <v>2020</v>
      </c>
      <c r="K132" s="69">
        <v>1</v>
      </c>
      <c r="L132" s="70">
        <v>3</v>
      </c>
      <c r="M132" s="71" t="s">
        <v>140</v>
      </c>
      <c r="N132" s="71" t="s">
        <v>18</v>
      </c>
      <c r="O132" s="71" t="s">
        <v>114</v>
      </c>
      <c r="P132" s="71" t="s">
        <v>102</v>
      </c>
      <c r="Q132" s="61" t="s">
        <v>17</v>
      </c>
      <c r="R132" s="63" t="s">
        <v>165</v>
      </c>
      <c r="S132" s="72" t="s">
        <v>439</v>
      </c>
      <c r="T132" s="61" t="s">
        <v>627</v>
      </c>
      <c r="U132" s="73" t="s">
        <v>630</v>
      </c>
      <c r="V132" s="62">
        <v>106673</v>
      </c>
      <c r="W132" s="62" t="s">
        <v>418</v>
      </c>
      <c r="X132" s="62" t="s">
        <v>402</v>
      </c>
      <c r="Y132" s="93">
        <v>1</v>
      </c>
      <c r="Z132" s="94">
        <v>1</v>
      </c>
      <c r="AA132" s="74">
        <v>0</v>
      </c>
      <c r="AB132" s="75">
        <v>0</v>
      </c>
      <c r="AC132" s="75">
        <v>0</v>
      </c>
      <c r="AD132" s="76">
        <v>0</v>
      </c>
      <c r="AE132" s="77">
        <v>0.70384615380000004</v>
      </c>
      <c r="AF132" s="75">
        <v>0.70384615380000004</v>
      </c>
      <c r="AG132" s="78">
        <v>229.0906928658643</v>
      </c>
      <c r="AH132" s="79">
        <v>274.90883143206003</v>
      </c>
      <c r="AI132" s="74">
        <v>229.0906928658643</v>
      </c>
      <c r="AJ132" s="75">
        <v>0</v>
      </c>
      <c r="AK132" s="75">
        <v>0</v>
      </c>
      <c r="AL132" s="80">
        <v>229.0906928658643</v>
      </c>
      <c r="AM132" s="74">
        <v>0</v>
      </c>
      <c r="AN132" s="74">
        <v>0</v>
      </c>
      <c r="AO132" s="81" t="s">
        <v>403</v>
      </c>
      <c r="AP132" s="82">
        <v>0</v>
      </c>
      <c r="AQ132" s="75">
        <v>0</v>
      </c>
      <c r="AR132" s="75">
        <v>0</v>
      </c>
      <c r="AS132" s="80">
        <v>0</v>
      </c>
      <c r="AT132" s="74">
        <v>0</v>
      </c>
      <c r="AU132" s="75">
        <v>6.8956298551078543</v>
      </c>
      <c r="AV132" s="75">
        <v>0</v>
      </c>
      <c r="AW132" s="75">
        <v>0</v>
      </c>
      <c r="AX132" s="80">
        <v>6.8956298551078543</v>
      </c>
      <c r="AY132" s="81">
        <v>0</v>
      </c>
      <c r="AZ132" s="83" t="s">
        <v>403</v>
      </c>
      <c r="BA132" s="80" t="s">
        <v>403</v>
      </c>
      <c r="BB132" s="84">
        <v>-6.8956298551078419</v>
      </c>
      <c r="BC132" s="85" t="s">
        <v>403</v>
      </c>
      <c r="BD132" s="86">
        <v>-3.0099999999324837E-2</v>
      </c>
      <c r="BE132" s="84">
        <v>-6.8956298551078419</v>
      </c>
      <c r="BF132" s="87" t="s">
        <v>403</v>
      </c>
      <c r="BG132" s="88">
        <v>-3.0099999999324837E-2</v>
      </c>
      <c r="BH132" s="89">
        <v>0</v>
      </c>
      <c r="BI132" s="90">
        <v>1</v>
      </c>
      <c r="BJ132" s="90">
        <v>3.0099999999324892E-2</v>
      </c>
      <c r="BK132" s="91">
        <v>1.030099999999325</v>
      </c>
      <c r="BL132" s="92">
        <v>-6.8956298551078419</v>
      </c>
      <c r="BM132" s="95" t="s">
        <v>442</v>
      </c>
      <c r="BN132" t="s">
        <v>402</v>
      </c>
      <c r="BO132">
        <v>0.85994999999999999</v>
      </c>
    </row>
    <row r="133" spans="1:67">
      <c r="A133" s="61" t="str">
        <f t="shared" si="2"/>
        <v>UK</v>
      </c>
      <c r="B133" s="62" t="s">
        <v>64</v>
      </c>
      <c r="C133" s="62" t="s">
        <v>176</v>
      </c>
      <c r="D133" s="63" t="s">
        <v>97</v>
      </c>
      <c r="E133" s="64">
        <v>43831</v>
      </c>
      <c r="F133" s="64">
        <v>43921</v>
      </c>
      <c r="G133" s="65">
        <v>43995</v>
      </c>
      <c r="H133" s="66" t="s">
        <v>132</v>
      </c>
      <c r="I133" s="67">
        <v>3</v>
      </c>
      <c r="J133" s="68">
        <v>2020</v>
      </c>
      <c r="K133" s="69">
        <v>1</v>
      </c>
      <c r="L133" s="70">
        <v>3</v>
      </c>
      <c r="M133" s="71" t="s">
        <v>140</v>
      </c>
      <c r="N133" s="71" t="s">
        <v>18</v>
      </c>
      <c r="O133" s="71" t="s">
        <v>114</v>
      </c>
      <c r="P133" s="71" t="s">
        <v>102</v>
      </c>
      <c r="Q133" s="61" t="s">
        <v>17</v>
      </c>
      <c r="R133" s="63" t="s">
        <v>165</v>
      </c>
      <c r="S133" s="72" t="s">
        <v>439</v>
      </c>
      <c r="T133" s="61" t="s">
        <v>627</v>
      </c>
      <c r="U133" s="73" t="s">
        <v>631</v>
      </c>
      <c r="V133" s="62">
        <v>106999</v>
      </c>
      <c r="W133" s="62" t="s">
        <v>418</v>
      </c>
      <c r="X133" s="62" t="s">
        <v>402</v>
      </c>
      <c r="Y133" s="93">
        <v>1</v>
      </c>
      <c r="Z133" s="94">
        <v>1</v>
      </c>
      <c r="AA133" s="74">
        <v>0</v>
      </c>
      <c r="AB133" s="75">
        <v>0</v>
      </c>
      <c r="AC133" s="75">
        <v>0</v>
      </c>
      <c r="AD133" s="76">
        <v>0</v>
      </c>
      <c r="AE133" s="77">
        <v>30.625984476999999</v>
      </c>
      <c r="AF133" s="75">
        <v>35.572179619000003</v>
      </c>
      <c r="AG133" s="78">
        <v>14882.199898831326</v>
      </c>
      <c r="AH133" s="79">
        <v>17858.639879062735</v>
      </c>
      <c r="AI133" s="74">
        <v>14882.199898831326</v>
      </c>
      <c r="AJ133" s="75">
        <v>0</v>
      </c>
      <c r="AK133" s="75">
        <v>0</v>
      </c>
      <c r="AL133" s="80">
        <v>14882.199898831326</v>
      </c>
      <c r="AM133" s="74">
        <v>0</v>
      </c>
      <c r="AN133" s="74">
        <v>0</v>
      </c>
      <c r="AO133" s="81" t="s">
        <v>403</v>
      </c>
      <c r="AP133" s="82">
        <v>0</v>
      </c>
      <c r="AQ133" s="75">
        <v>0</v>
      </c>
      <c r="AR133" s="75">
        <v>0</v>
      </c>
      <c r="AS133" s="80">
        <v>0</v>
      </c>
      <c r="AT133" s="74">
        <v>0</v>
      </c>
      <c r="AU133" s="75">
        <v>447.95421696610271</v>
      </c>
      <c r="AV133" s="75">
        <v>0</v>
      </c>
      <c r="AW133" s="75">
        <v>0</v>
      </c>
      <c r="AX133" s="80">
        <v>447.95421696610271</v>
      </c>
      <c r="AY133" s="81">
        <v>0</v>
      </c>
      <c r="AZ133" s="83" t="s">
        <v>403</v>
      </c>
      <c r="BA133" s="80" t="s">
        <v>403</v>
      </c>
      <c r="BB133" s="84">
        <v>-447.95421696610356</v>
      </c>
      <c r="BC133" s="85" t="s">
        <v>403</v>
      </c>
      <c r="BD133" s="86">
        <v>-3.0100000000757996E-2</v>
      </c>
      <c r="BE133" s="84">
        <v>-447.95421696610356</v>
      </c>
      <c r="BF133" s="87" t="s">
        <v>403</v>
      </c>
      <c r="BG133" s="88">
        <v>-3.0100000000757996E-2</v>
      </c>
      <c r="BH133" s="89">
        <v>0</v>
      </c>
      <c r="BI133" s="90">
        <v>1</v>
      </c>
      <c r="BJ133" s="90">
        <v>3.0100000000757937E-2</v>
      </c>
      <c r="BK133" s="91">
        <v>1.0301000000007579</v>
      </c>
      <c r="BL133" s="92">
        <v>-447.95421696610356</v>
      </c>
      <c r="BM133" s="95" t="s">
        <v>442</v>
      </c>
      <c r="BN133" t="s">
        <v>402</v>
      </c>
      <c r="BO133">
        <v>0.85994999999999999</v>
      </c>
    </row>
    <row r="134" spans="1:67">
      <c r="A134" s="61" t="str">
        <f t="shared" si="2"/>
        <v>UK</v>
      </c>
      <c r="B134" s="62" t="s">
        <v>64</v>
      </c>
      <c r="C134" s="62" t="s">
        <v>176</v>
      </c>
      <c r="D134" s="63" t="s">
        <v>97</v>
      </c>
      <c r="E134" s="64">
        <v>43831</v>
      </c>
      <c r="F134" s="64">
        <v>43921</v>
      </c>
      <c r="G134" s="65">
        <v>43995</v>
      </c>
      <c r="H134" s="66" t="s">
        <v>132</v>
      </c>
      <c r="I134" s="67">
        <v>3</v>
      </c>
      <c r="J134" s="68">
        <v>2020</v>
      </c>
      <c r="K134" s="69">
        <v>1</v>
      </c>
      <c r="L134" s="70">
        <v>3</v>
      </c>
      <c r="M134" s="71" t="s">
        <v>140</v>
      </c>
      <c r="N134" s="71" t="s">
        <v>18</v>
      </c>
      <c r="O134" s="71" t="s">
        <v>114</v>
      </c>
      <c r="P134" s="71" t="s">
        <v>102</v>
      </c>
      <c r="Q134" s="61" t="s">
        <v>17</v>
      </c>
      <c r="R134" s="63" t="s">
        <v>165</v>
      </c>
      <c r="S134" s="72" t="s">
        <v>439</v>
      </c>
      <c r="T134" s="61" t="s">
        <v>627</v>
      </c>
      <c r="U134" s="73" t="s">
        <v>632</v>
      </c>
      <c r="V134" s="62">
        <v>107002</v>
      </c>
      <c r="W134" s="62" t="s">
        <v>418</v>
      </c>
      <c r="X134" s="62" t="s">
        <v>402</v>
      </c>
      <c r="Y134" s="93">
        <v>1</v>
      </c>
      <c r="Z134" s="94">
        <v>1</v>
      </c>
      <c r="AA134" s="74">
        <v>0</v>
      </c>
      <c r="AB134" s="75">
        <v>0</v>
      </c>
      <c r="AC134" s="75">
        <v>0</v>
      </c>
      <c r="AD134" s="76">
        <v>0</v>
      </c>
      <c r="AE134" s="77">
        <v>32.950273973000002</v>
      </c>
      <c r="AF134" s="75">
        <v>46.050821917999997</v>
      </c>
      <c r="AG134" s="78">
        <v>7667.2825480551201</v>
      </c>
      <c r="AH134" s="79">
        <v>9200.7390577359147</v>
      </c>
      <c r="AI134" s="74">
        <v>7667.2825480551201</v>
      </c>
      <c r="AJ134" s="75">
        <v>0</v>
      </c>
      <c r="AK134" s="75">
        <v>0</v>
      </c>
      <c r="AL134" s="80">
        <v>7667.2825480551201</v>
      </c>
      <c r="AM134" s="74">
        <v>0</v>
      </c>
      <c r="AN134" s="74">
        <v>0</v>
      </c>
      <c r="AO134" s="81" t="s">
        <v>403</v>
      </c>
      <c r="AP134" s="82">
        <v>0</v>
      </c>
      <c r="AQ134" s="75">
        <v>0</v>
      </c>
      <c r="AR134" s="75">
        <v>0</v>
      </c>
      <c r="AS134" s="80">
        <v>0</v>
      </c>
      <c r="AT134" s="74">
        <v>0</v>
      </c>
      <c r="AU134" s="75">
        <v>230.78520469794756</v>
      </c>
      <c r="AV134" s="75">
        <v>0</v>
      </c>
      <c r="AW134" s="75">
        <v>0</v>
      </c>
      <c r="AX134" s="80">
        <v>230.78520469794756</v>
      </c>
      <c r="AY134" s="81">
        <v>0</v>
      </c>
      <c r="AZ134" s="83" t="s">
        <v>403</v>
      </c>
      <c r="BA134" s="80" t="s">
        <v>403</v>
      </c>
      <c r="BB134" s="84">
        <v>-230.78520469794785</v>
      </c>
      <c r="BC134" s="85" t="s">
        <v>403</v>
      </c>
      <c r="BD134" s="86">
        <v>-3.0100000000194166E-2</v>
      </c>
      <c r="BE134" s="84">
        <v>-230.78520469794785</v>
      </c>
      <c r="BF134" s="87" t="s">
        <v>403</v>
      </c>
      <c r="BG134" s="88">
        <v>-3.0100000000194166E-2</v>
      </c>
      <c r="BH134" s="89">
        <v>0</v>
      </c>
      <c r="BI134" s="90">
        <v>1</v>
      </c>
      <c r="BJ134" s="90">
        <v>3.0100000000194131E-2</v>
      </c>
      <c r="BK134" s="91">
        <v>1.0301000000001941</v>
      </c>
      <c r="BL134" s="92">
        <v>-230.78520469794785</v>
      </c>
      <c r="BM134" s="95" t="s">
        <v>442</v>
      </c>
      <c r="BN134" t="s">
        <v>402</v>
      </c>
      <c r="BO134">
        <v>0.85994999999999999</v>
      </c>
    </row>
    <row r="135" spans="1:67">
      <c r="A135" s="61" t="str">
        <f t="shared" si="2"/>
        <v>UK</v>
      </c>
      <c r="B135" s="62" t="s">
        <v>64</v>
      </c>
      <c r="C135" s="62" t="s">
        <v>176</v>
      </c>
      <c r="D135" s="63" t="s">
        <v>97</v>
      </c>
      <c r="E135" s="64">
        <v>43831</v>
      </c>
      <c r="F135" s="64">
        <v>43921</v>
      </c>
      <c r="G135" s="65">
        <v>43995</v>
      </c>
      <c r="H135" s="66" t="s">
        <v>132</v>
      </c>
      <c r="I135" s="67">
        <v>3</v>
      </c>
      <c r="J135" s="68">
        <v>2020</v>
      </c>
      <c r="K135" s="69">
        <v>1</v>
      </c>
      <c r="L135" s="70">
        <v>3</v>
      </c>
      <c r="M135" s="71" t="s">
        <v>140</v>
      </c>
      <c r="N135" s="71" t="s">
        <v>18</v>
      </c>
      <c r="O135" s="71" t="s">
        <v>114</v>
      </c>
      <c r="P135" s="71" t="s">
        <v>102</v>
      </c>
      <c r="Q135" s="61" t="s">
        <v>17</v>
      </c>
      <c r="R135" s="63" t="s">
        <v>165</v>
      </c>
      <c r="S135" s="72" t="s">
        <v>439</v>
      </c>
      <c r="T135" s="61" t="s">
        <v>627</v>
      </c>
      <c r="U135" s="73" t="s">
        <v>633</v>
      </c>
      <c r="V135" s="62">
        <v>107000</v>
      </c>
      <c r="W135" s="62" t="s">
        <v>418</v>
      </c>
      <c r="X135" s="62" t="s">
        <v>402</v>
      </c>
      <c r="Y135" s="93">
        <v>1</v>
      </c>
      <c r="Z135" s="94">
        <v>1</v>
      </c>
      <c r="AA135" s="74">
        <v>0</v>
      </c>
      <c r="AB135" s="75">
        <v>0</v>
      </c>
      <c r="AC135" s="75">
        <v>0</v>
      </c>
      <c r="AD135" s="76">
        <v>0</v>
      </c>
      <c r="AE135" s="77">
        <v>4.8940158371000004</v>
      </c>
      <c r="AF135" s="75">
        <v>8.0315158371000006</v>
      </c>
      <c r="AG135" s="78">
        <v>761.66264997965004</v>
      </c>
      <c r="AH135" s="79">
        <v>913.99517997557996</v>
      </c>
      <c r="AI135" s="74">
        <v>761.66264997965004</v>
      </c>
      <c r="AJ135" s="75">
        <v>0</v>
      </c>
      <c r="AK135" s="75">
        <v>0</v>
      </c>
      <c r="AL135" s="80">
        <v>761.66264997965004</v>
      </c>
      <c r="AM135" s="74">
        <v>0</v>
      </c>
      <c r="AN135" s="74">
        <v>0</v>
      </c>
      <c r="AO135" s="81" t="s">
        <v>403</v>
      </c>
      <c r="AP135" s="82">
        <v>0</v>
      </c>
      <c r="AQ135" s="75">
        <v>0</v>
      </c>
      <c r="AR135" s="75">
        <v>0</v>
      </c>
      <c r="AS135" s="80">
        <v>0</v>
      </c>
      <c r="AT135" s="74">
        <v>0</v>
      </c>
      <c r="AU135" s="75">
        <v>22.926045764288624</v>
      </c>
      <c r="AV135" s="75">
        <v>0</v>
      </c>
      <c r="AW135" s="75">
        <v>0</v>
      </c>
      <c r="AX135" s="80">
        <v>22.926045764288624</v>
      </c>
      <c r="AY135" s="81">
        <v>0</v>
      </c>
      <c r="AZ135" s="83" t="s">
        <v>403</v>
      </c>
      <c r="BA135" s="80" t="s">
        <v>403</v>
      </c>
      <c r="BB135" s="84">
        <v>-22.926045764288574</v>
      </c>
      <c r="BC135" s="85" t="s">
        <v>403</v>
      </c>
      <c r="BD135" s="86">
        <v>-3.0099999999870161E-2</v>
      </c>
      <c r="BE135" s="84">
        <v>-22.926045764288574</v>
      </c>
      <c r="BF135" s="87" t="s">
        <v>403</v>
      </c>
      <c r="BG135" s="88">
        <v>-3.0099999999870161E-2</v>
      </c>
      <c r="BH135" s="89">
        <v>0</v>
      </c>
      <c r="BI135" s="90">
        <v>1</v>
      </c>
      <c r="BJ135" s="90">
        <v>3.0099999999870227E-2</v>
      </c>
      <c r="BK135" s="91">
        <v>1.0300999999998701</v>
      </c>
      <c r="BL135" s="92">
        <v>-22.926045764288574</v>
      </c>
      <c r="BM135" s="95" t="s">
        <v>442</v>
      </c>
      <c r="BN135" t="s">
        <v>402</v>
      </c>
      <c r="BO135">
        <v>0.85994999999999999</v>
      </c>
    </row>
    <row r="136" spans="1:67">
      <c r="A136" s="61" t="str">
        <f t="shared" si="2"/>
        <v>UK</v>
      </c>
      <c r="B136" s="62" t="s">
        <v>64</v>
      </c>
      <c r="C136" s="62" t="s">
        <v>176</v>
      </c>
      <c r="D136" s="63" t="s">
        <v>97</v>
      </c>
      <c r="E136" s="64">
        <v>43831</v>
      </c>
      <c r="F136" s="64">
        <v>43921</v>
      </c>
      <c r="G136" s="65">
        <v>43995</v>
      </c>
      <c r="H136" s="66" t="s">
        <v>132</v>
      </c>
      <c r="I136" s="67">
        <v>3</v>
      </c>
      <c r="J136" s="68">
        <v>2020</v>
      </c>
      <c r="K136" s="69">
        <v>1</v>
      </c>
      <c r="L136" s="70">
        <v>3</v>
      </c>
      <c r="M136" s="71" t="s">
        <v>140</v>
      </c>
      <c r="N136" s="71" t="s">
        <v>18</v>
      </c>
      <c r="O136" s="71" t="s">
        <v>114</v>
      </c>
      <c r="P136" s="71" t="s">
        <v>102</v>
      </c>
      <c r="Q136" s="61" t="s">
        <v>474</v>
      </c>
      <c r="R136" s="63" t="s">
        <v>165</v>
      </c>
      <c r="S136" s="72" t="s">
        <v>568</v>
      </c>
      <c r="T136" s="61" t="s">
        <v>634</v>
      </c>
      <c r="U136" s="73" t="s">
        <v>635</v>
      </c>
      <c r="V136" s="62">
        <v>107558</v>
      </c>
      <c r="W136" s="62" t="s">
        <v>568</v>
      </c>
      <c r="X136" s="62" t="s">
        <v>402</v>
      </c>
      <c r="Y136" s="93">
        <v>1</v>
      </c>
      <c r="Z136" s="94">
        <v>1</v>
      </c>
      <c r="AA136" s="74">
        <v>0</v>
      </c>
      <c r="AB136" s="75">
        <v>0</v>
      </c>
      <c r="AC136" s="75">
        <v>0</v>
      </c>
      <c r="AD136" s="76">
        <v>0</v>
      </c>
      <c r="AE136" s="77">
        <v>44.755776072000003</v>
      </c>
      <c r="AF136" s="75">
        <v>69.728974756</v>
      </c>
      <c r="AG136" s="78">
        <v>0</v>
      </c>
      <c r="AH136" s="79">
        <v>0</v>
      </c>
      <c r="AI136" s="74">
        <v>0</v>
      </c>
      <c r="AJ136" s="75">
        <v>0</v>
      </c>
      <c r="AK136" s="75">
        <v>0</v>
      </c>
      <c r="AL136" s="80">
        <v>0</v>
      </c>
      <c r="AM136" s="74">
        <v>0</v>
      </c>
      <c r="AN136" s="74">
        <v>0</v>
      </c>
      <c r="AO136" s="81" t="s">
        <v>403</v>
      </c>
      <c r="AP136" s="82">
        <v>0</v>
      </c>
      <c r="AQ136" s="75">
        <v>0</v>
      </c>
      <c r="AR136" s="75">
        <v>0</v>
      </c>
      <c r="AS136" s="80">
        <v>0</v>
      </c>
      <c r="AT136" s="74">
        <v>0</v>
      </c>
      <c r="AU136" s="75">
        <v>0</v>
      </c>
      <c r="AV136" s="75">
        <v>0</v>
      </c>
      <c r="AW136" s="75">
        <v>0</v>
      </c>
      <c r="AX136" s="80">
        <v>0</v>
      </c>
      <c r="AY136" s="81">
        <v>0</v>
      </c>
      <c r="AZ136" s="83" t="s">
        <v>403</v>
      </c>
      <c r="BA136" s="80" t="s">
        <v>403</v>
      </c>
      <c r="BB136" s="84">
        <v>0</v>
      </c>
      <c r="BC136" s="85" t="s">
        <v>403</v>
      </c>
      <c r="BD136" s="86" t="s">
        <v>403</v>
      </c>
      <c r="BE136" s="84">
        <v>0</v>
      </c>
      <c r="BF136" s="87" t="s">
        <v>403</v>
      </c>
      <c r="BG136" s="88" t="s">
        <v>403</v>
      </c>
      <c r="BH136" s="89" t="s">
        <v>403</v>
      </c>
      <c r="BI136" s="90" t="s">
        <v>403</v>
      </c>
      <c r="BJ136" s="90" t="s">
        <v>403</v>
      </c>
      <c r="BK136" s="91">
        <v>0</v>
      </c>
      <c r="BL136" s="92">
        <v>0</v>
      </c>
      <c r="BM136" s="95">
        <v>0</v>
      </c>
      <c r="BN136" t="s">
        <v>402</v>
      </c>
      <c r="BO136">
        <v>0.85994999999999999</v>
      </c>
    </row>
    <row r="137" spans="1:67">
      <c r="A137" s="61" t="str">
        <f t="shared" si="2"/>
        <v>UK</v>
      </c>
      <c r="B137" s="62" t="s">
        <v>64</v>
      </c>
      <c r="C137" s="62" t="s">
        <v>176</v>
      </c>
      <c r="D137" s="63" t="s">
        <v>97</v>
      </c>
      <c r="E137" s="64">
        <v>43831</v>
      </c>
      <c r="F137" s="64">
        <v>43921</v>
      </c>
      <c r="G137" s="65">
        <v>43995</v>
      </c>
      <c r="H137" s="66" t="s">
        <v>132</v>
      </c>
      <c r="I137" s="67">
        <v>3</v>
      </c>
      <c r="J137" s="68">
        <v>2020</v>
      </c>
      <c r="K137" s="69">
        <v>1</v>
      </c>
      <c r="L137" s="70">
        <v>3</v>
      </c>
      <c r="M137" s="71" t="s">
        <v>140</v>
      </c>
      <c r="N137" s="71" t="s">
        <v>18</v>
      </c>
      <c r="O137" s="71" t="s">
        <v>114</v>
      </c>
      <c r="P137" s="71" t="s">
        <v>102</v>
      </c>
      <c r="Q137" s="61" t="s">
        <v>474</v>
      </c>
      <c r="R137" s="63" t="s">
        <v>165</v>
      </c>
      <c r="S137" s="72" t="s">
        <v>568</v>
      </c>
      <c r="T137" s="61" t="s">
        <v>634</v>
      </c>
      <c r="U137" s="73" t="s">
        <v>636</v>
      </c>
      <c r="V137" s="62">
        <v>107560</v>
      </c>
      <c r="W137" s="62" t="s">
        <v>568</v>
      </c>
      <c r="X137" s="62" t="s">
        <v>402</v>
      </c>
      <c r="Y137" s="93">
        <v>1</v>
      </c>
      <c r="Z137" s="94">
        <v>1</v>
      </c>
      <c r="AA137" s="74">
        <v>0</v>
      </c>
      <c r="AB137" s="75">
        <v>0</v>
      </c>
      <c r="AC137" s="75">
        <v>0</v>
      </c>
      <c r="AD137" s="76">
        <v>0</v>
      </c>
      <c r="AE137" s="77">
        <v>31.452895081000001</v>
      </c>
      <c r="AF137" s="75">
        <v>48.264356509999999</v>
      </c>
      <c r="AG137" s="78">
        <v>0</v>
      </c>
      <c r="AH137" s="79">
        <v>0</v>
      </c>
      <c r="AI137" s="74">
        <v>0</v>
      </c>
      <c r="AJ137" s="75">
        <v>0</v>
      </c>
      <c r="AK137" s="75">
        <v>0</v>
      </c>
      <c r="AL137" s="80">
        <v>0</v>
      </c>
      <c r="AM137" s="74">
        <v>0</v>
      </c>
      <c r="AN137" s="74">
        <v>0</v>
      </c>
      <c r="AO137" s="81" t="s">
        <v>403</v>
      </c>
      <c r="AP137" s="82">
        <v>0</v>
      </c>
      <c r="AQ137" s="75">
        <v>0</v>
      </c>
      <c r="AR137" s="75">
        <v>0</v>
      </c>
      <c r="AS137" s="80">
        <v>0</v>
      </c>
      <c r="AT137" s="74">
        <v>0</v>
      </c>
      <c r="AU137" s="75">
        <v>0</v>
      </c>
      <c r="AV137" s="75">
        <v>0</v>
      </c>
      <c r="AW137" s="75">
        <v>0</v>
      </c>
      <c r="AX137" s="80">
        <v>0</v>
      </c>
      <c r="AY137" s="81">
        <v>0</v>
      </c>
      <c r="AZ137" s="83" t="s">
        <v>403</v>
      </c>
      <c r="BA137" s="80" t="s">
        <v>403</v>
      </c>
      <c r="BB137" s="84">
        <v>0</v>
      </c>
      <c r="BC137" s="85" t="s">
        <v>403</v>
      </c>
      <c r="BD137" s="86" t="s">
        <v>403</v>
      </c>
      <c r="BE137" s="84">
        <v>0</v>
      </c>
      <c r="BF137" s="87" t="s">
        <v>403</v>
      </c>
      <c r="BG137" s="88" t="s">
        <v>403</v>
      </c>
      <c r="BH137" s="89" t="s">
        <v>403</v>
      </c>
      <c r="BI137" s="90" t="s">
        <v>403</v>
      </c>
      <c r="BJ137" s="90" t="s">
        <v>403</v>
      </c>
      <c r="BK137" s="91">
        <v>0</v>
      </c>
      <c r="BL137" s="92">
        <v>0</v>
      </c>
      <c r="BM137" s="95">
        <v>0</v>
      </c>
      <c r="BN137" t="s">
        <v>402</v>
      </c>
      <c r="BO137">
        <v>0.85994999999999999</v>
      </c>
    </row>
    <row r="138" spans="1:67">
      <c r="A138" s="61" t="str">
        <f t="shared" si="2"/>
        <v>UK</v>
      </c>
      <c r="B138" s="62" t="s">
        <v>64</v>
      </c>
      <c r="C138" s="62" t="s">
        <v>176</v>
      </c>
      <c r="D138" s="63" t="s">
        <v>97</v>
      </c>
      <c r="E138" s="64">
        <v>43831</v>
      </c>
      <c r="F138" s="64">
        <v>43921</v>
      </c>
      <c r="G138" s="65">
        <v>43995</v>
      </c>
      <c r="H138" s="66" t="s">
        <v>132</v>
      </c>
      <c r="I138" s="67">
        <v>3</v>
      </c>
      <c r="J138" s="68">
        <v>2020</v>
      </c>
      <c r="K138" s="69">
        <v>1</v>
      </c>
      <c r="L138" s="70">
        <v>3</v>
      </c>
      <c r="M138" s="71" t="s">
        <v>140</v>
      </c>
      <c r="N138" s="71" t="s">
        <v>162</v>
      </c>
      <c r="O138" s="71" t="s">
        <v>114</v>
      </c>
      <c r="P138" s="71" t="s">
        <v>102</v>
      </c>
      <c r="Q138" s="61" t="s">
        <v>72</v>
      </c>
      <c r="R138" s="63" t="s">
        <v>165</v>
      </c>
      <c r="S138" s="72" t="s">
        <v>637</v>
      </c>
      <c r="T138" s="61" t="s">
        <v>638</v>
      </c>
      <c r="U138" s="73" t="s">
        <v>639</v>
      </c>
      <c r="V138" s="62">
        <v>107411</v>
      </c>
      <c r="W138" s="62" t="s">
        <v>454</v>
      </c>
      <c r="X138" s="62" t="s">
        <v>402</v>
      </c>
      <c r="Y138" s="93">
        <v>1</v>
      </c>
      <c r="Z138" s="94">
        <v>1</v>
      </c>
      <c r="AA138" s="74">
        <v>22</v>
      </c>
      <c r="AB138" s="75">
        <v>34</v>
      </c>
      <c r="AC138" s="75">
        <v>353.23758808070238</v>
      </c>
      <c r="AD138" s="76">
        <v>423.88510569219142</v>
      </c>
      <c r="AE138" s="77">
        <v>7.4552708309</v>
      </c>
      <c r="AF138" s="75">
        <v>15.087633439999999</v>
      </c>
      <c r="AG138" s="78">
        <v>135.39415539275538</v>
      </c>
      <c r="AH138" s="79">
        <v>162.47298646432932</v>
      </c>
      <c r="AI138" s="74">
        <v>55.511603709517999</v>
      </c>
      <c r="AJ138" s="75">
        <v>0</v>
      </c>
      <c r="AK138" s="75">
        <v>0</v>
      </c>
      <c r="AL138" s="80">
        <v>55.511603709517999</v>
      </c>
      <c r="AM138" s="74">
        <v>0</v>
      </c>
      <c r="AN138" s="74">
        <v>0</v>
      </c>
      <c r="AO138" s="81" t="s">
        <v>403</v>
      </c>
      <c r="AP138" s="82">
        <v>2</v>
      </c>
      <c r="AQ138" s="75">
        <v>0</v>
      </c>
      <c r="AR138" s="75">
        <v>0</v>
      </c>
      <c r="AS138" s="80">
        <v>0</v>
      </c>
      <c r="AT138" s="74">
        <v>4.0740101357055645</v>
      </c>
      <c r="AU138" s="75">
        <v>4.0753640772137913</v>
      </c>
      <c r="AV138" s="75">
        <v>7.9083726163149022</v>
      </c>
      <c r="AW138" s="75">
        <v>3.7305151634397347</v>
      </c>
      <c r="AX138" s="80">
        <v>19.788261992673991</v>
      </c>
      <c r="AY138" s="81">
        <v>0.13255889387514178</v>
      </c>
      <c r="AZ138" s="83">
        <v>0</v>
      </c>
      <c r="BA138" s="80">
        <v>0</v>
      </c>
      <c r="BB138" s="84">
        <v>68.002662306878292</v>
      </c>
      <c r="BC138" s="85">
        <v>8.5988186958451358</v>
      </c>
      <c r="BD138" s="86">
        <v>0.50225700001314055</v>
      </c>
      <c r="BE138" s="84">
        <v>71.733177470318026</v>
      </c>
      <c r="BF138" s="87">
        <v>6.1632330191459461</v>
      </c>
      <c r="BG138" s="88">
        <v>0.52981000001242518</v>
      </c>
      <c r="BH138" s="89">
        <v>0</v>
      </c>
      <c r="BI138" s="90">
        <v>0.4099999999888348</v>
      </c>
      <c r="BJ138" s="90">
        <v>0.14615299999672524</v>
      </c>
      <c r="BK138" s="91">
        <v>0.55615299998556</v>
      </c>
      <c r="BL138" s="92">
        <v>60.094289690563386</v>
      </c>
      <c r="BM138" s="95">
        <v>0</v>
      </c>
      <c r="BN138" t="s">
        <v>402</v>
      </c>
      <c r="BO138">
        <v>0.85994999999999999</v>
      </c>
    </row>
    <row r="139" spans="1:67">
      <c r="A139" s="61" t="str">
        <f t="shared" si="2"/>
        <v>UK</v>
      </c>
      <c r="B139" s="62" t="s">
        <v>64</v>
      </c>
      <c r="C139" s="62" t="s">
        <v>176</v>
      </c>
      <c r="D139" s="63" t="s">
        <v>97</v>
      </c>
      <c r="E139" s="64">
        <v>43831</v>
      </c>
      <c r="F139" s="64">
        <v>43921</v>
      </c>
      <c r="G139" s="65">
        <v>43995</v>
      </c>
      <c r="H139" s="66" t="s">
        <v>132</v>
      </c>
      <c r="I139" s="67">
        <v>3</v>
      </c>
      <c r="J139" s="68">
        <v>2020</v>
      </c>
      <c r="K139" s="69">
        <v>1</v>
      </c>
      <c r="L139" s="70">
        <v>3</v>
      </c>
      <c r="M139" s="71" t="s">
        <v>140</v>
      </c>
      <c r="N139" s="71" t="s">
        <v>162</v>
      </c>
      <c r="O139" s="71" t="s">
        <v>114</v>
      </c>
      <c r="P139" s="71" t="s">
        <v>102</v>
      </c>
      <c r="Q139" s="61" t="s">
        <v>72</v>
      </c>
      <c r="R139" s="63" t="s">
        <v>165</v>
      </c>
      <c r="S139" s="72" t="s">
        <v>637</v>
      </c>
      <c r="T139" s="61" t="s">
        <v>638</v>
      </c>
      <c r="U139" s="73" t="s">
        <v>640</v>
      </c>
      <c r="V139" s="62">
        <v>107410</v>
      </c>
      <c r="W139" s="62" t="s">
        <v>454</v>
      </c>
      <c r="X139" s="62" t="s">
        <v>402</v>
      </c>
      <c r="Y139" s="93">
        <v>1</v>
      </c>
      <c r="Z139" s="94">
        <v>1</v>
      </c>
      <c r="AA139" s="74">
        <v>77</v>
      </c>
      <c r="AB139" s="75">
        <v>114</v>
      </c>
      <c r="AC139" s="75">
        <v>2616.983569277284</v>
      </c>
      <c r="AD139" s="76">
        <v>3140.3802831559974</v>
      </c>
      <c r="AE139" s="77">
        <v>59.393814843000001</v>
      </c>
      <c r="AF139" s="75">
        <v>81.138013560999994</v>
      </c>
      <c r="AG139" s="78">
        <v>1842.9622264085122</v>
      </c>
      <c r="AH139" s="79">
        <v>2211.5546716669573</v>
      </c>
      <c r="AI139" s="74">
        <v>755.61451283214149</v>
      </c>
      <c r="AJ139" s="75">
        <v>0</v>
      </c>
      <c r="AK139" s="75">
        <v>0</v>
      </c>
      <c r="AL139" s="80">
        <v>755.61451283214149</v>
      </c>
      <c r="AM139" s="74">
        <v>0</v>
      </c>
      <c r="AN139" s="74">
        <v>0</v>
      </c>
      <c r="AO139" s="81" t="s">
        <v>403</v>
      </c>
      <c r="AP139" s="82">
        <v>1</v>
      </c>
      <c r="AQ139" s="75">
        <v>0</v>
      </c>
      <c r="AR139" s="75">
        <v>0</v>
      </c>
      <c r="AS139" s="80">
        <v>0</v>
      </c>
      <c r="AT139" s="74">
        <v>55.454733392639106</v>
      </c>
      <c r="AU139" s="75">
        <v>55.47316301529159</v>
      </c>
      <c r="AV139" s="75">
        <v>107.64742364439793</v>
      </c>
      <c r="AW139" s="75">
        <v>50.779138224315375</v>
      </c>
      <c r="AX139" s="80">
        <v>269.35445827664398</v>
      </c>
      <c r="AY139" s="81">
        <v>1.2324679347100291E-2</v>
      </c>
      <c r="AZ139" s="83">
        <v>0</v>
      </c>
      <c r="BA139" s="80">
        <v>0</v>
      </c>
      <c r="BB139" s="84">
        <v>925.6406789441246</v>
      </c>
      <c r="BC139" s="85">
        <v>8.5988186953910049</v>
      </c>
      <c r="BD139" s="86">
        <v>0.50225699999721352</v>
      </c>
      <c r="BE139" s="84">
        <v>976.41981716843998</v>
      </c>
      <c r="BF139" s="87">
        <v>6.16323301882667</v>
      </c>
      <c r="BG139" s="88">
        <v>0.52980999999725775</v>
      </c>
      <c r="BH139" s="89">
        <v>0</v>
      </c>
      <c r="BI139" s="90">
        <v>0.4100000000025239</v>
      </c>
      <c r="BJ139" s="90">
        <v>0.14615300000019571</v>
      </c>
      <c r="BK139" s="91">
        <v>0.55615300000271961</v>
      </c>
      <c r="BL139" s="92">
        <v>817.9932552997268</v>
      </c>
      <c r="BM139" s="95">
        <v>0</v>
      </c>
      <c r="BN139" t="s">
        <v>402</v>
      </c>
      <c r="BO139">
        <v>0.85994999999999999</v>
      </c>
    </row>
    <row r="140" spans="1:67">
      <c r="A140" s="61" t="str">
        <f t="shared" si="2"/>
        <v>UK</v>
      </c>
      <c r="B140" s="62" t="s">
        <v>64</v>
      </c>
      <c r="C140" s="62" t="s">
        <v>176</v>
      </c>
      <c r="D140" s="63" t="s">
        <v>97</v>
      </c>
      <c r="E140" s="64">
        <v>43831</v>
      </c>
      <c r="F140" s="64">
        <v>43921</v>
      </c>
      <c r="G140" s="65">
        <v>43995</v>
      </c>
      <c r="H140" s="66" t="s">
        <v>132</v>
      </c>
      <c r="I140" s="67">
        <v>3</v>
      </c>
      <c r="J140" s="68">
        <v>2020</v>
      </c>
      <c r="K140" s="69">
        <v>1</v>
      </c>
      <c r="L140" s="70">
        <v>3</v>
      </c>
      <c r="M140" s="71" t="s">
        <v>140</v>
      </c>
      <c r="N140" s="71" t="s">
        <v>162</v>
      </c>
      <c r="O140" s="71" t="s">
        <v>114</v>
      </c>
      <c r="P140" s="71" t="s">
        <v>102</v>
      </c>
      <c r="Q140" s="61" t="s">
        <v>72</v>
      </c>
      <c r="R140" s="63" t="s">
        <v>165</v>
      </c>
      <c r="S140" s="72" t="s">
        <v>637</v>
      </c>
      <c r="T140" s="61" t="s">
        <v>641</v>
      </c>
      <c r="U140" s="73" t="s">
        <v>642</v>
      </c>
      <c r="V140" s="62">
        <v>107408</v>
      </c>
      <c r="W140" s="62" t="s">
        <v>454</v>
      </c>
      <c r="X140" s="62" t="s">
        <v>402</v>
      </c>
      <c r="Y140" s="93">
        <v>1</v>
      </c>
      <c r="Z140" s="94">
        <v>1</v>
      </c>
      <c r="AA140" s="74">
        <v>9413</v>
      </c>
      <c r="AB140" s="75">
        <v>13069</v>
      </c>
      <c r="AC140" s="75">
        <v>164225.30328507474</v>
      </c>
      <c r="AD140" s="76">
        <v>197070.36393976395</v>
      </c>
      <c r="AE140" s="77">
        <v>8382.6070147999999</v>
      </c>
      <c r="AF140" s="75">
        <v>11354.950561</v>
      </c>
      <c r="AG140" s="78">
        <v>146376.91737891739</v>
      </c>
      <c r="AH140" s="79">
        <v>175652.30086632943</v>
      </c>
      <c r="AI140" s="74">
        <v>60014.536127681844</v>
      </c>
      <c r="AJ140" s="75">
        <v>0</v>
      </c>
      <c r="AK140" s="75">
        <v>0</v>
      </c>
      <c r="AL140" s="80">
        <v>60014.536127681844</v>
      </c>
      <c r="AM140" s="74">
        <v>23</v>
      </c>
      <c r="AN140" s="74">
        <v>7</v>
      </c>
      <c r="AO140" s="81">
        <v>0.30434782608695654</v>
      </c>
      <c r="AP140" s="82">
        <v>98</v>
      </c>
      <c r="AQ140" s="75">
        <v>8557.9625325891029</v>
      </c>
      <c r="AR140" s="75">
        <v>11404.94201953602</v>
      </c>
      <c r="AS140" s="80">
        <v>19962.904552125125</v>
      </c>
      <c r="AT140" s="74">
        <v>4404.4814440374439</v>
      </c>
      <c r="AU140" s="75">
        <v>4405.9452132100705</v>
      </c>
      <c r="AV140" s="75">
        <v>8549.8757444037437</v>
      </c>
      <c r="AW140" s="75">
        <v>4033.1232047212047</v>
      </c>
      <c r="AX140" s="80">
        <v>21393.425606372461</v>
      </c>
      <c r="AY140" s="81">
        <v>8.6305968021202373E-3</v>
      </c>
      <c r="AZ140" s="83">
        <v>203.70310767474618</v>
      </c>
      <c r="BA140" s="80">
        <v>1.7580793896796187</v>
      </c>
      <c r="BB140" s="84">
        <v>53555.926837141698</v>
      </c>
      <c r="BC140" s="85">
        <v>6.2639421247959453</v>
      </c>
      <c r="BD140" s="86">
        <v>0.36587685952221954</v>
      </c>
      <c r="BE140" s="84">
        <v>57589.050041862909</v>
      </c>
      <c r="BF140" s="87">
        <v>4.5767348685877289</v>
      </c>
      <c r="BG140" s="88">
        <v>0.39342985952344856</v>
      </c>
      <c r="BH140" s="89">
        <v>0.13638014045922497</v>
      </c>
      <c r="BI140" s="90">
        <v>0.41000000001588854</v>
      </c>
      <c r="BJ140" s="90">
        <v>0.14615300000472442</v>
      </c>
      <c r="BK140" s="91">
        <v>0.69253314047983794</v>
      </c>
      <c r="BL140" s="92">
        <v>45006.051092737966</v>
      </c>
      <c r="BM140" s="95">
        <v>0</v>
      </c>
      <c r="BN140" t="s">
        <v>402</v>
      </c>
      <c r="BO140">
        <v>0.85994999999999999</v>
      </c>
    </row>
    <row r="141" spans="1:67">
      <c r="A141" s="61" t="str">
        <f t="shared" si="2"/>
        <v>UK</v>
      </c>
      <c r="B141" s="62" t="s">
        <v>64</v>
      </c>
      <c r="C141" s="62" t="s">
        <v>176</v>
      </c>
      <c r="D141" s="63" t="s">
        <v>97</v>
      </c>
      <c r="E141" s="64">
        <v>43831</v>
      </c>
      <c r="F141" s="64">
        <v>43921</v>
      </c>
      <c r="G141" s="65">
        <v>43995</v>
      </c>
      <c r="H141" s="66" t="s">
        <v>132</v>
      </c>
      <c r="I141" s="67">
        <v>3</v>
      </c>
      <c r="J141" s="68">
        <v>2020</v>
      </c>
      <c r="K141" s="69">
        <v>1</v>
      </c>
      <c r="L141" s="70">
        <v>3</v>
      </c>
      <c r="M141" s="71" t="s">
        <v>140</v>
      </c>
      <c r="N141" s="71" t="s">
        <v>18</v>
      </c>
      <c r="O141" s="71" t="s">
        <v>114</v>
      </c>
      <c r="P141" s="71" t="s">
        <v>102</v>
      </c>
      <c r="Q141" s="61" t="s">
        <v>474</v>
      </c>
      <c r="R141" s="63" t="s">
        <v>165</v>
      </c>
      <c r="S141" s="72" t="s">
        <v>643</v>
      </c>
      <c r="T141" s="61" t="s">
        <v>405</v>
      </c>
      <c r="U141" s="73" t="s">
        <v>644</v>
      </c>
      <c r="V141" s="62">
        <v>107210</v>
      </c>
      <c r="W141" s="62" t="s">
        <v>464</v>
      </c>
      <c r="X141" s="62" t="s">
        <v>402</v>
      </c>
      <c r="Y141" s="93">
        <v>1</v>
      </c>
      <c r="Z141" s="94">
        <v>1</v>
      </c>
      <c r="AA141" s="74">
        <v>0</v>
      </c>
      <c r="AB141" s="75">
        <v>0</v>
      </c>
      <c r="AC141" s="75">
        <v>0</v>
      </c>
      <c r="AD141" s="76">
        <v>0</v>
      </c>
      <c r="AE141" s="77">
        <v>40.917639792999999</v>
      </c>
      <c r="AF141" s="75">
        <v>76.813490904999995</v>
      </c>
      <c r="AG141" s="78">
        <v>5213.0818239432529</v>
      </c>
      <c r="AH141" s="79">
        <v>6255.6981887319034</v>
      </c>
      <c r="AI141" s="74">
        <v>3127.8490943659517</v>
      </c>
      <c r="AJ141" s="75">
        <v>0</v>
      </c>
      <c r="AK141" s="75">
        <v>0</v>
      </c>
      <c r="AL141" s="80">
        <v>3127.8490943659517</v>
      </c>
      <c r="AM141" s="74">
        <v>0</v>
      </c>
      <c r="AN141" s="74">
        <v>0</v>
      </c>
      <c r="AO141" s="81" t="s">
        <v>403</v>
      </c>
      <c r="AP141" s="82">
        <v>0</v>
      </c>
      <c r="AQ141" s="75">
        <v>0</v>
      </c>
      <c r="AR141" s="75">
        <v>0</v>
      </c>
      <c r="AS141" s="80">
        <v>0</v>
      </c>
      <c r="AT141" s="74">
        <v>106.34686920983779</v>
      </c>
      <c r="AU141" s="75">
        <v>156.91376290482003</v>
      </c>
      <c r="AV141" s="75">
        <v>206.43804023489739</v>
      </c>
      <c r="AW141" s="75">
        <v>97.38036847258563</v>
      </c>
      <c r="AX141" s="80">
        <v>567.07904082214077</v>
      </c>
      <c r="AY141" s="81">
        <v>0</v>
      </c>
      <c r="AZ141" s="83" t="s">
        <v>403</v>
      </c>
      <c r="BA141" s="80" t="s">
        <v>403</v>
      </c>
      <c r="BB141" s="84">
        <v>1724.5917289900576</v>
      </c>
      <c r="BC141" s="85">
        <v>8.3540404037342899</v>
      </c>
      <c r="BD141" s="86">
        <v>0.33081999999868611</v>
      </c>
      <c r="BE141" s="84">
        <v>1821.9720974626434</v>
      </c>
      <c r="BF141" s="87">
        <v>5.9969114617305559</v>
      </c>
      <c r="BG141" s="88">
        <v>0.34949999999894049</v>
      </c>
      <c r="BH141" s="89">
        <v>0</v>
      </c>
      <c r="BI141" s="90">
        <v>0.6</v>
      </c>
      <c r="BJ141" s="90">
        <v>0.10878000000260762</v>
      </c>
      <c r="BK141" s="91">
        <v>0.70878000000260766</v>
      </c>
      <c r="BL141" s="92">
        <v>1518.1536887551601</v>
      </c>
      <c r="BM141" s="95">
        <v>0</v>
      </c>
      <c r="BN141" t="s">
        <v>402</v>
      </c>
      <c r="BO141">
        <v>0.85994999999999999</v>
      </c>
    </row>
    <row r="142" spans="1:67">
      <c r="A142" s="61" t="str">
        <f t="shared" si="2"/>
        <v>UK</v>
      </c>
      <c r="B142" s="62" t="s">
        <v>64</v>
      </c>
      <c r="C142" s="62" t="s">
        <v>176</v>
      </c>
      <c r="D142" s="63" t="s">
        <v>97</v>
      </c>
      <c r="E142" s="64">
        <v>43831</v>
      </c>
      <c r="F142" s="64">
        <v>43921</v>
      </c>
      <c r="G142" s="65">
        <v>43995</v>
      </c>
      <c r="H142" s="66" t="s">
        <v>132</v>
      </c>
      <c r="I142" s="67">
        <v>3</v>
      </c>
      <c r="J142" s="68">
        <v>2020</v>
      </c>
      <c r="K142" s="69">
        <v>1</v>
      </c>
      <c r="L142" s="70">
        <v>3</v>
      </c>
      <c r="M142" s="71" t="s">
        <v>140</v>
      </c>
      <c r="N142" s="71" t="s">
        <v>18</v>
      </c>
      <c r="O142" s="71" t="s">
        <v>114</v>
      </c>
      <c r="P142" s="71" t="s">
        <v>102</v>
      </c>
      <c r="Q142" s="61" t="s">
        <v>474</v>
      </c>
      <c r="R142" s="63" t="s">
        <v>112</v>
      </c>
      <c r="S142" s="72" t="s">
        <v>643</v>
      </c>
      <c r="T142" s="61" t="s">
        <v>405</v>
      </c>
      <c r="U142" s="73" t="s">
        <v>645</v>
      </c>
      <c r="V142" s="62">
        <v>107885</v>
      </c>
      <c r="W142" s="62" t="s">
        <v>464</v>
      </c>
      <c r="X142" s="62" t="s">
        <v>402</v>
      </c>
      <c r="Y142" s="93">
        <v>1</v>
      </c>
      <c r="Z142" s="94">
        <v>1</v>
      </c>
      <c r="AA142" s="74">
        <v>109</v>
      </c>
      <c r="AB142" s="75">
        <v>197</v>
      </c>
      <c r="AC142" s="75">
        <v>21198.713065875923</v>
      </c>
      <c r="AD142" s="76">
        <v>25438.455678818536</v>
      </c>
      <c r="AE142" s="77">
        <v>42.418958951</v>
      </c>
      <c r="AF142" s="75">
        <v>71.886952883000006</v>
      </c>
      <c r="AG142" s="78">
        <v>7220.8160931449502</v>
      </c>
      <c r="AH142" s="79">
        <v>8664.97931170417</v>
      </c>
      <c r="AI142" s="74">
        <v>4332.4896559102272</v>
      </c>
      <c r="AJ142" s="75">
        <v>0</v>
      </c>
      <c r="AK142" s="75">
        <v>0</v>
      </c>
      <c r="AL142" s="80">
        <v>4332.4896559102272</v>
      </c>
      <c r="AM142" s="74">
        <v>2</v>
      </c>
      <c r="AN142" s="74">
        <v>0</v>
      </c>
      <c r="AO142" s="81">
        <v>0</v>
      </c>
      <c r="AP142" s="82">
        <v>4</v>
      </c>
      <c r="AQ142" s="75">
        <v>1481.6675785801499</v>
      </c>
      <c r="AR142" s="75">
        <v>1481.6675785801499</v>
      </c>
      <c r="AS142" s="80">
        <v>2963.3351571602998</v>
      </c>
      <c r="AT142" s="74">
        <v>147.30464829350544</v>
      </c>
      <c r="AU142" s="75">
        <v>217.34656440490727</v>
      </c>
      <c r="AV142" s="75">
        <v>285.94431728588876</v>
      </c>
      <c r="AW142" s="75">
        <v>134.88484461887319</v>
      </c>
      <c r="AX142" s="80">
        <v>785.48037460317471</v>
      </c>
      <c r="AY142" s="81">
        <v>5.5642920440795725E-2</v>
      </c>
      <c r="AZ142" s="83">
        <v>740.83378929007495</v>
      </c>
      <c r="BA142" s="80">
        <v>41.222155597320864</v>
      </c>
      <c r="BB142" s="84">
        <v>-574.54477724286244</v>
      </c>
      <c r="BC142" s="85">
        <v>-2.0092890206607228</v>
      </c>
      <c r="BD142" s="86">
        <v>-7.956784521742688E-2</v>
      </c>
      <c r="BE142" s="84">
        <v>-439.65993262398933</v>
      </c>
      <c r="BF142" s="87">
        <v>-1.044746829411715</v>
      </c>
      <c r="BG142" s="88">
        <v>-6.088784521757569E-2</v>
      </c>
      <c r="BH142" s="89">
        <v>0.41038784521510374</v>
      </c>
      <c r="BI142" s="90">
        <v>0.60000000000322085</v>
      </c>
      <c r="BJ142" s="90">
        <v>0.10877999999873519</v>
      </c>
      <c r="BK142" s="91">
        <v>1.1191678452170597</v>
      </c>
      <c r="BL142" s="92">
        <v>-860.48909452875159</v>
      </c>
      <c r="BM142" s="95">
        <v>0</v>
      </c>
      <c r="BN142" t="s">
        <v>402</v>
      </c>
      <c r="BO142">
        <v>0.85994999999999999</v>
      </c>
    </row>
    <row r="143" spans="1:67">
      <c r="A143" s="61" t="str">
        <f t="shared" si="2"/>
        <v>UK</v>
      </c>
      <c r="B143" s="62" t="s">
        <v>64</v>
      </c>
      <c r="C143" s="62" t="s">
        <v>176</v>
      </c>
      <c r="D143" s="63" t="s">
        <v>97</v>
      </c>
      <c r="E143" s="64">
        <v>43831</v>
      </c>
      <c r="F143" s="64">
        <v>43921</v>
      </c>
      <c r="G143" s="65">
        <v>43995</v>
      </c>
      <c r="H143" s="66" t="s">
        <v>132</v>
      </c>
      <c r="I143" s="67">
        <v>3</v>
      </c>
      <c r="J143" s="68">
        <v>2020</v>
      </c>
      <c r="K143" s="69">
        <v>1</v>
      </c>
      <c r="L143" s="70">
        <v>3</v>
      </c>
      <c r="M143" s="71" t="s">
        <v>140</v>
      </c>
      <c r="N143" s="71" t="s">
        <v>18</v>
      </c>
      <c r="O143" s="71" t="s">
        <v>114</v>
      </c>
      <c r="P143" s="71" t="s">
        <v>102</v>
      </c>
      <c r="Q143" s="61" t="s">
        <v>474</v>
      </c>
      <c r="R143" s="63" t="s">
        <v>106</v>
      </c>
      <c r="S143" s="72" t="s">
        <v>643</v>
      </c>
      <c r="T143" s="61" t="s">
        <v>405</v>
      </c>
      <c r="U143" s="73" t="s">
        <v>646</v>
      </c>
      <c r="V143" s="62">
        <v>107870</v>
      </c>
      <c r="W143" s="62" t="s">
        <v>464</v>
      </c>
      <c r="X143" s="62" t="s">
        <v>402</v>
      </c>
      <c r="Y143" s="93">
        <v>1</v>
      </c>
      <c r="Z143" s="94">
        <v>1</v>
      </c>
      <c r="AA143" s="74">
        <v>166</v>
      </c>
      <c r="AB143" s="75">
        <v>322</v>
      </c>
      <c r="AC143" s="75">
        <v>9848.5474217105657</v>
      </c>
      <c r="AD143" s="76">
        <v>11818.256905634049</v>
      </c>
      <c r="AE143" s="77">
        <v>81.369814204999997</v>
      </c>
      <c r="AF143" s="75">
        <v>128.47071278999999</v>
      </c>
      <c r="AG143" s="78">
        <v>5007.1829861038432</v>
      </c>
      <c r="AH143" s="79">
        <v>6008.6195833478687</v>
      </c>
      <c r="AI143" s="74">
        <v>3004.3097916157917</v>
      </c>
      <c r="AJ143" s="75">
        <v>0</v>
      </c>
      <c r="AK143" s="75">
        <v>0</v>
      </c>
      <c r="AL143" s="80">
        <v>3004.3097916157917</v>
      </c>
      <c r="AM143" s="74">
        <v>1</v>
      </c>
      <c r="AN143" s="74">
        <v>0</v>
      </c>
      <c r="AO143" s="81">
        <v>0</v>
      </c>
      <c r="AP143" s="82">
        <v>1</v>
      </c>
      <c r="AQ143" s="75">
        <v>140.25234096168381</v>
      </c>
      <c r="AR143" s="75">
        <v>140.25234096168381</v>
      </c>
      <c r="AS143" s="80">
        <v>280.50468192336763</v>
      </c>
      <c r="AT143" s="74">
        <v>102.1465329158672</v>
      </c>
      <c r="AU143" s="75">
        <v>150.71620788417931</v>
      </c>
      <c r="AV143" s="75">
        <v>198.28444624687481</v>
      </c>
      <c r="AW143" s="75">
        <v>93.534178180126759</v>
      </c>
      <c r="AX143" s="80">
        <v>544.6813652270481</v>
      </c>
      <c r="AY143" s="81">
        <v>7.7838752372660523E-3</v>
      </c>
      <c r="AZ143" s="83">
        <v>280.50468192336763</v>
      </c>
      <c r="BA143" s="80">
        <v>2.1834134475604916</v>
      </c>
      <c r="BB143" s="84">
        <v>1375.9715935845106</v>
      </c>
      <c r="BC143" s="85">
        <v>6.939382385400779</v>
      </c>
      <c r="BD143" s="86">
        <v>0.27479954245793858</v>
      </c>
      <c r="BE143" s="84">
        <v>1469.5057717646373</v>
      </c>
      <c r="BF143" s="87">
        <v>5.0356819228041907</v>
      </c>
      <c r="BG143" s="88">
        <v>0.29347954245787999</v>
      </c>
      <c r="BH143" s="89">
        <v>5.60204575510495E-2</v>
      </c>
      <c r="BI143" s="90">
        <v>0.59999999999071052</v>
      </c>
      <c r="BJ143" s="90">
        <v>0.10877999999973478</v>
      </c>
      <c r="BK143" s="91">
        <v>0.76480045754149473</v>
      </c>
      <c r="BL143" s="92">
        <v>1177.6871473376359</v>
      </c>
      <c r="BM143" s="95">
        <v>0</v>
      </c>
      <c r="BN143" t="s">
        <v>402</v>
      </c>
      <c r="BO143">
        <v>0.85994999999999999</v>
      </c>
    </row>
    <row r="144" spans="1:67">
      <c r="A144" s="61" t="str">
        <f t="shared" si="2"/>
        <v>UK</v>
      </c>
      <c r="B144" s="62" t="s">
        <v>64</v>
      </c>
      <c r="C144" s="62" t="s">
        <v>176</v>
      </c>
      <c r="D144" s="63" t="s">
        <v>97</v>
      </c>
      <c r="E144" s="64">
        <v>43831</v>
      </c>
      <c r="F144" s="64">
        <v>43921</v>
      </c>
      <c r="G144" s="65">
        <v>43995</v>
      </c>
      <c r="H144" s="66" t="s">
        <v>132</v>
      </c>
      <c r="I144" s="67">
        <v>3</v>
      </c>
      <c r="J144" s="68">
        <v>2020</v>
      </c>
      <c r="K144" s="69">
        <v>1</v>
      </c>
      <c r="L144" s="70">
        <v>3</v>
      </c>
      <c r="M144" s="71" t="s">
        <v>140</v>
      </c>
      <c r="N144" s="71" t="s">
        <v>18</v>
      </c>
      <c r="O144" s="71" t="s">
        <v>114</v>
      </c>
      <c r="P144" s="71" t="s">
        <v>102</v>
      </c>
      <c r="Q144" s="61" t="s">
        <v>474</v>
      </c>
      <c r="R144" s="63" t="s">
        <v>165</v>
      </c>
      <c r="S144" s="72" t="s">
        <v>643</v>
      </c>
      <c r="T144" s="61" t="s">
        <v>405</v>
      </c>
      <c r="U144" s="73" t="s">
        <v>647</v>
      </c>
      <c r="V144" s="62">
        <v>107211</v>
      </c>
      <c r="W144" s="62" t="s">
        <v>464</v>
      </c>
      <c r="X144" s="62" t="s">
        <v>402</v>
      </c>
      <c r="Y144" s="93">
        <v>1</v>
      </c>
      <c r="Z144" s="94">
        <v>1</v>
      </c>
      <c r="AA144" s="74">
        <v>0</v>
      </c>
      <c r="AB144" s="75">
        <v>0</v>
      </c>
      <c r="AC144" s="75">
        <v>0</v>
      </c>
      <c r="AD144" s="76">
        <v>0</v>
      </c>
      <c r="AE144" s="77">
        <v>31.723517853000001</v>
      </c>
      <c r="AF144" s="75">
        <v>60.967853132999998</v>
      </c>
      <c r="AG144" s="78">
        <v>6689.0030573870572</v>
      </c>
      <c r="AH144" s="79">
        <v>8026.8036688179545</v>
      </c>
      <c r="AI144" s="74">
        <v>4013.4018344089773</v>
      </c>
      <c r="AJ144" s="75">
        <v>0</v>
      </c>
      <c r="AK144" s="75">
        <v>0</v>
      </c>
      <c r="AL144" s="80">
        <v>4013.4018344089773</v>
      </c>
      <c r="AM144" s="74">
        <v>0</v>
      </c>
      <c r="AN144" s="74">
        <v>0</v>
      </c>
      <c r="AO144" s="81" t="s">
        <v>403</v>
      </c>
      <c r="AP144" s="82">
        <v>0</v>
      </c>
      <c r="AQ144" s="75">
        <v>0</v>
      </c>
      <c r="AR144" s="75">
        <v>0</v>
      </c>
      <c r="AS144" s="80">
        <v>0</v>
      </c>
      <c r="AT144" s="74">
        <v>136.45566236409093</v>
      </c>
      <c r="AU144" s="75">
        <v>201.33899202279201</v>
      </c>
      <c r="AV144" s="75">
        <v>264.88452106517821</v>
      </c>
      <c r="AW144" s="75">
        <v>124.95057711494854</v>
      </c>
      <c r="AX144" s="80">
        <v>727.62975256700975</v>
      </c>
      <c r="AY144" s="81">
        <v>0</v>
      </c>
      <c r="AZ144" s="83" t="s">
        <v>403</v>
      </c>
      <c r="BA144" s="80" t="s">
        <v>403</v>
      </c>
      <c r="BB144" s="84">
        <v>2212.8559914762482</v>
      </c>
      <c r="BC144" s="85">
        <v>8.3540404043909646</v>
      </c>
      <c r="BD144" s="86">
        <v>0.33082000000470352</v>
      </c>
      <c r="BE144" s="84">
        <v>2337.806568591197</v>
      </c>
      <c r="BF144" s="87">
        <v>5.9969114620638724</v>
      </c>
      <c r="BG144" s="88">
        <v>0.34950000000514586</v>
      </c>
      <c r="BH144" s="89">
        <v>0</v>
      </c>
      <c r="BI144" s="90">
        <v>0.59999999999652309</v>
      </c>
      <c r="BJ144" s="90">
        <v>0.10877999999767464</v>
      </c>
      <c r="BK144" s="91">
        <v>0.70877999999419772</v>
      </c>
      <c r="BL144" s="92">
        <v>1947.9714704110702</v>
      </c>
      <c r="BM144" s="95">
        <v>0</v>
      </c>
      <c r="BN144" t="s">
        <v>402</v>
      </c>
      <c r="BO144">
        <v>0.85994999999999999</v>
      </c>
    </row>
    <row r="145" spans="1:67">
      <c r="A145" s="61" t="str">
        <f t="shared" si="2"/>
        <v>UK</v>
      </c>
      <c r="B145" s="62" t="s">
        <v>64</v>
      </c>
      <c r="C145" s="62" t="s">
        <v>176</v>
      </c>
      <c r="D145" s="63" t="s">
        <v>97</v>
      </c>
      <c r="E145" s="64">
        <v>43831</v>
      </c>
      <c r="F145" s="64">
        <v>43921</v>
      </c>
      <c r="G145" s="65">
        <v>43995</v>
      </c>
      <c r="H145" s="66" t="s">
        <v>132</v>
      </c>
      <c r="I145" s="67">
        <v>3</v>
      </c>
      <c r="J145" s="68">
        <v>2020</v>
      </c>
      <c r="K145" s="69">
        <v>1</v>
      </c>
      <c r="L145" s="70">
        <v>3</v>
      </c>
      <c r="M145" s="71" t="s">
        <v>140</v>
      </c>
      <c r="N145" s="71" t="s">
        <v>18</v>
      </c>
      <c r="O145" s="71" t="s">
        <v>114</v>
      </c>
      <c r="P145" s="71" t="s">
        <v>102</v>
      </c>
      <c r="Q145" s="61" t="s">
        <v>474</v>
      </c>
      <c r="R145" s="63" t="s">
        <v>112</v>
      </c>
      <c r="S145" s="72" t="s">
        <v>643</v>
      </c>
      <c r="T145" s="61" t="s">
        <v>405</v>
      </c>
      <c r="U145" s="73" t="s">
        <v>648</v>
      </c>
      <c r="V145" s="62">
        <v>107886</v>
      </c>
      <c r="W145" s="62" t="s">
        <v>464</v>
      </c>
      <c r="X145" s="62" t="s">
        <v>402</v>
      </c>
      <c r="Y145" s="93">
        <v>1</v>
      </c>
      <c r="Z145" s="94">
        <v>1</v>
      </c>
      <c r="AA145" s="74">
        <v>119</v>
      </c>
      <c r="AB145" s="75">
        <v>219</v>
      </c>
      <c r="AC145" s="75">
        <v>47913.570712250716</v>
      </c>
      <c r="AD145" s="76">
        <v>57496.284854933423</v>
      </c>
      <c r="AE145" s="77">
        <v>41.611506867999999</v>
      </c>
      <c r="AF145" s="75">
        <v>71.057730793000005</v>
      </c>
      <c r="AG145" s="78">
        <v>14988.111372754229</v>
      </c>
      <c r="AH145" s="79">
        <v>17985.733647305075</v>
      </c>
      <c r="AI145" s="74">
        <v>8992.8668236525373</v>
      </c>
      <c r="AJ145" s="75">
        <v>0</v>
      </c>
      <c r="AK145" s="75">
        <v>0</v>
      </c>
      <c r="AL145" s="80">
        <v>8992.8668236525373</v>
      </c>
      <c r="AM145" s="74">
        <v>4</v>
      </c>
      <c r="AN145" s="74">
        <v>0</v>
      </c>
      <c r="AO145" s="81">
        <v>0</v>
      </c>
      <c r="AP145" s="82">
        <v>10</v>
      </c>
      <c r="AQ145" s="75">
        <v>8574.719480318623</v>
      </c>
      <c r="AR145" s="75">
        <v>8574.7311089016803</v>
      </c>
      <c r="AS145" s="80">
        <v>17149.450589220301</v>
      </c>
      <c r="AT145" s="74">
        <v>305.7574720041863</v>
      </c>
      <c r="AU145" s="75">
        <v>451.14215232280947</v>
      </c>
      <c r="AV145" s="75">
        <v>593.5292103610675</v>
      </c>
      <c r="AW145" s="75">
        <v>279.9779204488633</v>
      </c>
      <c r="AX145" s="80">
        <v>1630.4067551369267</v>
      </c>
      <c r="AY145" s="81">
        <v>0.14073064096475643</v>
      </c>
      <c r="AZ145" s="83">
        <v>1714.9450589220301</v>
      </c>
      <c r="BA145" s="80">
        <v>241.34531736143927</v>
      </c>
      <c r="BB145" s="84">
        <v>-12191.083584894466</v>
      </c>
      <c r="BC145" s="85">
        <v>-20.539989223913924</v>
      </c>
      <c r="BD145" s="86">
        <v>-0.8133835732669914</v>
      </c>
      <c r="BE145" s="84">
        <v>-11911.105664445604</v>
      </c>
      <c r="BF145" s="87">
        <v>-13.635956988011561</v>
      </c>
      <c r="BG145" s="88">
        <v>-0.79470357326660357</v>
      </c>
      <c r="BH145" s="89">
        <v>1.1442035732664098</v>
      </c>
      <c r="BI145" s="90">
        <v>0.6</v>
      </c>
      <c r="BJ145" s="90">
        <v>0.10878000000058191</v>
      </c>
      <c r="BK145" s="91">
        <v>1.8529835732669915</v>
      </c>
      <c r="BL145" s="92">
        <v>-12784.612795255536</v>
      </c>
      <c r="BM145" s="95">
        <v>0</v>
      </c>
      <c r="BN145" t="s">
        <v>402</v>
      </c>
      <c r="BO145">
        <v>0.85994999999999999</v>
      </c>
    </row>
    <row r="146" spans="1:67">
      <c r="A146" s="61" t="str">
        <f t="shared" si="2"/>
        <v>UK</v>
      </c>
      <c r="B146" s="62" t="s">
        <v>64</v>
      </c>
      <c r="C146" s="62" t="s">
        <v>176</v>
      </c>
      <c r="D146" s="63" t="s">
        <v>97</v>
      </c>
      <c r="E146" s="64">
        <v>43831</v>
      </c>
      <c r="F146" s="64">
        <v>43921</v>
      </c>
      <c r="G146" s="65">
        <v>43995</v>
      </c>
      <c r="H146" s="66" t="s">
        <v>132</v>
      </c>
      <c r="I146" s="67">
        <v>3</v>
      </c>
      <c r="J146" s="68">
        <v>2020</v>
      </c>
      <c r="K146" s="69">
        <v>1</v>
      </c>
      <c r="L146" s="70">
        <v>3</v>
      </c>
      <c r="M146" s="71" t="s">
        <v>140</v>
      </c>
      <c r="N146" s="71" t="s">
        <v>18</v>
      </c>
      <c r="O146" s="71" t="s">
        <v>114</v>
      </c>
      <c r="P146" s="71" t="s">
        <v>102</v>
      </c>
      <c r="Q146" s="61" t="s">
        <v>474</v>
      </c>
      <c r="R146" s="63" t="s">
        <v>165</v>
      </c>
      <c r="S146" s="72" t="s">
        <v>643</v>
      </c>
      <c r="T146" s="61" t="s">
        <v>405</v>
      </c>
      <c r="U146" s="73" t="s">
        <v>649</v>
      </c>
      <c r="V146" s="62">
        <v>107196</v>
      </c>
      <c r="W146" s="62" t="s">
        <v>464</v>
      </c>
      <c r="X146" s="62" t="s">
        <v>402</v>
      </c>
      <c r="Y146" s="93">
        <v>1</v>
      </c>
      <c r="Z146" s="94">
        <v>1</v>
      </c>
      <c r="AA146" s="74">
        <v>0</v>
      </c>
      <c r="AB146" s="75">
        <v>0</v>
      </c>
      <c r="AC146" s="75">
        <v>0</v>
      </c>
      <c r="AD146" s="76">
        <v>0</v>
      </c>
      <c r="AE146" s="77">
        <v>2.5459558823999999</v>
      </c>
      <c r="AF146" s="75">
        <v>3.3400735294000001</v>
      </c>
      <c r="AG146" s="78">
        <v>154.91584581661724</v>
      </c>
      <c r="AH146" s="79">
        <v>185.89901498924357</v>
      </c>
      <c r="AI146" s="74">
        <v>92.949507492296064</v>
      </c>
      <c r="AJ146" s="75">
        <v>0</v>
      </c>
      <c r="AK146" s="75">
        <v>0</v>
      </c>
      <c r="AL146" s="80">
        <v>92.949507492296064</v>
      </c>
      <c r="AM146" s="74">
        <v>0</v>
      </c>
      <c r="AN146" s="74">
        <v>0</v>
      </c>
      <c r="AO146" s="81" t="s">
        <v>403</v>
      </c>
      <c r="AP146" s="82">
        <v>0</v>
      </c>
      <c r="AQ146" s="75">
        <v>0</v>
      </c>
      <c r="AR146" s="75">
        <v>0</v>
      </c>
      <c r="AS146" s="80">
        <v>0</v>
      </c>
      <c r="AT146" s="74">
        <v>3.1602832547241118</v>
      </c>
      <c r="AU146" s="75">
        <v>4.6629669591255301</v>
      </c>
      <c r="AV146" s="75">
        <v>6.1346674945054946</v>
      </c>
      <c r="AW146" s="75">
        <v>2.893827999883714</v>
      </c>
      <c r="AX146" s="80">
        <v>16.851745708238852</v>
      </c>
      <c r="AY146" s="81">
        <v>0</v>
      </c>
      <c r="AZ146" s="83" t="s">
        <v>403</v>
      </c>
      <c r="BA146" s="80" t="s">
        <v>403</v>
      </c>
      <c r="BB146" s="84">
        <v>51.249260110587826</v>
      </c>
      <c r="BC146" s="85">
        <v>8.3540404034104778</v>
      </c>
      <c r="BD146" s="86">
        <v>0.33081999998408501</v>
      </c>
      <c r="BE146" s="84">
        <v>54.143088110471538</v>
      </c>
      <c r="BF146" s="87">
        <v>5.9969114615075085</v>
      </c>
      <c r="BG146" s="88">
        <v>0.34949999998427411</v>
      </c>
      <c r="BH146" s="89">
        <v>0</v>
      </c>
      <c r="BI146" s="90">
        <v>0.60000000001501286</v>
      </c>
      <c r="BJ146" s="90">
        <v>0.10878000000198319</v>
      </c>
      <c r="BK146" s="91">
        <v>0.70878000001699604</v>
      </c>
      <c r="BL146" s="92">
        <v>45.114592616082319</v>
      </c>
      <c r="BM146" s="95">
        <v>0</v>
      </c>
      <c r="BN146" t="s">
        <v>402</v>
      </c>
      <c r="BO146">
        <v>0.85994999999999999</v>
      </c>
    </row>
    <row r="147" spans="1:67">
      <c r="A147" s="61" t="str">
        <f t="shared" si="2"/>
        <v>UK</v>
      </c>
      <c r="B147" s="62" t="s">
        <v>64</v>
      </c>
      <c r="C147" s="62" t="s">
        <v>176</v>
      </c>
      <c r="D147" s="63" t="s">
        <v>97</v>
      </c>
      <c r="E147" s="64">
        <v>43831</v>
      </c>
      <c r="F147" s="64">
        <v>43921</v>
      </c>
      <c r="G147" s="65">
        <v>43995</v>
      </c>
      <c r="H147" s="66" t="s">
        <v>132</v>
      </c>
      <c r="I147" s="67">
        <v>3</v>
      </c>
      <c r="J147" s="68">
        <v>2020</v>
      </c>
      <c r="K147" s="69">
        <v>1</v>
      </c>
      <c r="L147" s="70">
        <v>3</v>
      </c>
      <c r="M147" s="71" t="s">
        <v>140</v>
      </c>
      <c r="N147" s="71" t="s">
        <v>18</v>
      </c>
      <c r="O147" s="71" t="s">
        <v>114</v>
      </c>
      <c r="P147" s="71" t="s">
        <v>102</v>
      </c>
      <c r="Q147" s="61" t="s">
        <v>474</v>
      </c>
      <c r="R147" s="63" t="s">
        <v>106</v>
      </c>
      <c r="S147" s="72" t="s">
        <v>643</v>
      </c>
      <c r="T147" s="61" t="s">
        <v>405</v>
      </c>
      <c r="U147" s="73" t="s">
        <v>650</v>
      </c>
      <c r="V147" s="62">
        <v>107871</v>
      </c>
      <c r="W147" s="62" t="s">
        <v>464</v>
      </c>
      <c r="X147" s="62" t="s">
        <v>402</v>
      </c>
      <c r="Y147" s="93">
        <v>1</v>
      </c>
      <c r="Z147" s="94">
        <v>1</v>
      </c>
      <c r="AA147" s="74">
        <v>125</v>
      </c>
      <c r="AB147" s="75">
        <v>303</v>
      </c>
      <c r="AC147" s="75">
        <v>17494.14693877551</v>
      </c>
      <c r="AD147" s="76">
        <v>20992.976326530614</v>
      </c>
      <c r="AE147" s="77">
        <v>38.675655143999997</v>
      </c>
      <c r="AF147" s="75">
        <v>65.863750382000006</v>
      </c>
      <c r="AG147" s="78">
        <v>4222.8578003372286</v>
      </c>
      <c r="AH147" s="79">
        <v>5067.4293604279319</v>
      </c>
      <c r="AI147" s="74">
        <v>2533.714680272109</v>
      </c>
      <c r="AJ147" s="75">
        <v>0</v>
      </c>
      <c r="AK147" s="75">
        <v>0</v>
      </c>
      <c r="AL147" s="80">
        <v>2533.714680272109</v>
      </c>
      <c r="AM147" s="74">
        <v>2</v>
      </c>
      <c r="AN147" s="74">
        <v>1</v>
      </c>
      <c r="AO147" s="81">
        <v>0.5</v>
      </c>
      <c r="AP147" s="82">
        <v>2</v>
      </c>
      <c r="AQ147" s="75">
        <v>11552.520287109717</v>
      </c>
      <c r="AR147" s="75">
        <v>11552.520287109717</v>
      </c>
      <c r="AS147" s="80">
        <v>23105.040574219434</v>
      </c>
      <c r="AT147" s="74">
        <v>86.146299127856267</v>
      </c>
      <c r="AU147" s="75">
        <v>127.10801979184836</v>
      </c>
      <c r="AV147" s="75">
        <v>167.22516889354031</v>
      </c>
      <c r="AW147" s="75">
        <v>78.882983711843721</v>
      </c>
      <c r="AX147" s="80">
        <v>459.36247152508872</v>
      </c>
      <c r="AY147" s="81">
        <v>3.0365716929271352E-2</v>
      </c>
      <c r="AZ147" s="83">
        <v>11552.520287109717</v>
      </c>
      <c r="BA147" s="80">
        <v>350.8005608580383</v>
      </c>
      <c r="BB147" s="84">
        <v>-21708.034756785866</v>
      </c>
      <c r="BC147" s="85">
        <v>-129.81320276378815</v>
      </c>
      <c r="BD147" s="86">
        <v>-5.1406028294517299</v>
      </c>
      <c r="BE147" s="84">
        <v>-21629.151773074023</v>
      </c>
      <c r="BF147" s="87">
        <v>-87.884743126550333</v>
      </c>
      <c r="BG147" s="88">
        <v>-5.121922829451365</v>
      </c>
      <c r="BH147" s="89">
        <v>5.471422829434208</v>
      </c>
      <c r="BI147" s="90">
        <v>0.60000000001652243</v>
      </c>
      <c r="BJ147" s="90">
        <v>0.10878000000104313</v>
      </c>
      <c r="BK147" s="91">
        <v>6.1802028294517735</v>
      </c>
      <c r="BL147" s="92">
        <v>-21875.259925679406</v>
      </c>
      <c r="BM147" s="95">
        <v>0</v>
      </c>
      <c r="BN147" t="s">
        <v>402</v>
      </c>
      <c r="BO147">
        <v>0.85994999999999999</v>
      </c>
    </row>
    <row r="148" spans="1:67">
      <c r="A148" s="61" t="str">
        <f t="shared" si="2"/>
        <v>UK</v>
      </c>
      <c r="B148" s="62" t="s">
        <v>64</v>
      </c>
      <c r="C148" s="62" t="s">
        <v>176</v>
      </c>
      <c r="D148" s="63" t="s">
        <v>97</v>
      </c>
      <c r="E148" s="64">
        <v>43831</v>
      </c>
      <c r="F148" s="64">
        <v>43921</v>
      </c>
      <c r="G148" s="65">
        <v>43995</v>
      </c>
      <c r="H148" s="66" t="s">
        <v>132</v>
      </c>
      <c r="I148" s="67">
        <v>3</v>
      </c>
      <c r="J148" s="68">
        <v>2020</v>
      </c>
      <c r="K148" s="69">
        <v>1</v>
      </c>
      <c r="L148" s="70">
        <v>3</v>
      </c>
      <c r="M148" s="71" t="s">
        <v>140</v>
      </c>
      <c r="N148" s="71" t="s">
        <v>18</v>
      </c>
      <c r="O148" s="71" t="s">
        <v>114</v>
      </c>
      <c r="P148" s="71" t="s">
        <v>102</v>
      </c>
      <c r="Q148" s="61" t="s">
        <v>474</v>
      </c>
      <c r="R148" s="63" t="s">
        <v>165</v>
      </c>
      <c r="S148" s="72" t="s">
        <v>643</v>
      </c>
      <c r="T148" s="61" t="s">
        <v>405</v>
      </c>
      <c r="U148" s="73" t="s">
        <v>651</v>
      </c>
      <c r="V148" s="62">
        <v>107212</v>
      </c>
      <c r="W148" s="62" t="s">
        <v>464</v>
      </c>
      <c r="X148" s="62" t="s">
        <v>402</v>
      </c>
      <c r="Y148" s="93">
        <v>1</v>
      </c>
      <c r="Z148" s="94">
        <v>1</v>
      </c>
      <c r="AA148" s="74">
        <v>0</v>
      </c>
      <c r="AB148" s="75">
        <v>0</v>
      </c>
      <c r="AC148" s="75">
        <v>0</v>
      </c>
      <c r="AD148" s="76">
        <v>0</v>
      </c>
      <c r="AE148" s="77">
        <v>61.829412755</v>
      </c>
      <c r="AF148" s="75">
        <v>119.91449023</v>
      </c>
      <c r="AG148" s="78">
        <v>10186.003710564568</v>
      </c>
      <c r="AH148" s="79">
        <v>12223.204452584452</v>
      </c>
      <c r="AI148" s="74">
        <v>6111.6022262922261</v>
      </c>
      <c r="AJ148" s="75">
        <v>0</v>
      </c>
      <c r="AK148" s="75">
        <v>0</v>
      </c>
      <c r="AL148" s="80">
        <v>6111.6022262922261</v>
      </c>
      <c r="AM148" s="74">
        <v>0</v>
      </c>
      <c r="AN148" s="74">
        <v>0</v>
      </c>
      <c r="AO148" s="81" t="s">
        <v>403</v>
      </c>
      <c r="AP148" s="82">
        <v>0</v>
      </c>
      <c r="AQ148" s="75">
        <v>0</v>
      </c>
      <c r="AR148" s="75">
        <v>0</v>
      </c>
      <c r="AS148" s="80">
        <v>0</v>
      </c>
      <c r="AT148" s="74">
        <v>207.79447569044714</v>
      </c>
      <c r="AU148" s="75">
        <v>306.59871169254023</v>
      </c>
      <c r="AV148" s="75">
        <v>403.36574693877549</v>
      </c>
      <c r="AW148" s="75">
        <v>190.27454931100647</v>
      </c>
      <c r="AX148" s="80">
        <v>1108.0334836327693</v>
      </c>
      <c r="AY148" s="81">
        <v>0</v>
      </c>
      <c r="AZ148" s="83" t="s">
        <v>403</v>
      </c>
      <c r="BA148" s="80" t="s">
        <v>403</v>
      </c>
      <c r="BB148" s="84">
        <v>3369.7337475783479</v>
      </c>
      <c r="BC148" s="85">
        <v>8.3540404041541478</v>
      </c>
      <c r="BD148" s="86">
        <v>0.33082000000484757</v>
      </c>
      <c r="BE148" s="84">
        <v>3560.0082968893548</v>
      </c>
      <c r="BF148" s="87">
        <v>5.9969114620066737</v>
      </c>
      <c r="BG148" s="88">
        <v>0.34950000000461795</v>
      </c>
      <c r="BH148" s="89">
        <v>0</v>
      </c>
      <c r="BI148" s="90">
        <v>0.59999999999543352</v>
      </c>
      <c r="BJ148" s="90">
        <v>0.10877999999976003</v>
      </c>
      <c r="BK148" s="91">
        <v>0.70877999999519359</v>
      </c>
      <c r="BL148" s="92">
        <v>2966.3680006395725</v>
      </c>
      <c r="BM148" s="95">
        <v>0</v>
      </c>
      <c r="BN148" t="s">
        <v>402</v>
      </c>
      <c r="BO148">
        <v>0.85994999999999999</v>
      </c>
    </row>
    <row r="149" spans="1:67">
      <c r="A149" s="61" t="str">
        <f t="shared" si="2"/>
        <v>UK</v>
      </c>
      <c r="B149" s="62" t="s">
        <v>64</v>
      </c>
      <c r="C149" s="62" t="s">
        <v>176</v>
      </c>
      <c r="D149" s="63" t="s">
        <v>97</v>
      </c>
      <c r="E149" s="64">
        <v>43831</v>
      </c>
      <c r="F149" s="64">
        <v>43921</v>
      </c>
      <c r="G149" s="65">
        <v>43995</v>
      </c>
      <c r="H149" s="66" t="s">
        <v>132</v>
      </c>
      <c r="I149" s="67">
        <v>3</v>
      </c>
      <c r="J149" s="68">
        <v>2020</v>
      </c>
      <c r="K149" s="69">
        <v>1</v>
      </c>
      <c r="L149" s="70">
        <v>3</v>
      </c>
      <c r="M149" s="71" t="s">
        <v>140</v>
      </c>
      <c r="N149" s="71" t="s">
        <v>18</v>
      </c>
      <c r="O149" s="71" t="s">
        <v>114</v>
      </c>
      <c r="P149" s="71" t="s">
        <v>102</v>
      </c>
      <c r="Q149" s="61" t="s">
        <v>474</v>
      </c>
      <c r="R149" s="63" t="s">
        <v>112</v>
      </c>
      <c r="S149" s="72" t="s">
        <v>643</v>
      </c>
      <c r="T149" s="61" t="s">
        <v>405</v>
      </c>
      <c r="U149" s="73" t="s">
        <v>652</v>
      </c>
      <c r="V149" s="62">
        <v>107887</v>
      </c>
      <c r="W149" s="62" t="s">
        <v>464</v>
      </c>
      <c r="X149" s="62" t="s">
        <v>402</v>
      </c>
      <c r="Y149" s="93">
        <v>1</v>
      </c>
      <c r="Z149" s="94">
        <v>1</v>
      </c>
      <c r="AA149" s="74">
        <v>202</v>
      </c>
      <c r="AB149" s="75">
        <v>410</v>
      </c>
      <c r="AC149" s="75">
        <v>54637.314289202855</v>
      </c>
      <c r="AD149" s="76">
        <v>65564.777146345717</v>
      </c>
      <c r="AE149" s="77">
        <v>70.723342893999998</v>
      </c>
      <c r="AF149" s="75">
        <v>135.76436931999999</v>
      </c>
      <c r="AG149" s="78">
        <v>17438.830398278969</v>
      </c>
      <c r="AH149" s="79">
        <v>20926.596478865049</v>
      </c>
      <c r="AI149" s="74">
        <v>10463.298239316238</v>
      </c>
      <c r="AJ149" s="75">
        <v>0</v>
      </c>
      <c r="AK149" s="75">
        <v>0</v>
      </c>
      <c r="AL149" s="80">
        <v>10463.298239316238</v>
      </c>
      <c r="AM149" s="74">
        <v>6</v>
      </c>
      <c r="AN149" s="74">
        <v>1</v>
      </c>
      <c r="AO149" s="81">
        <v>0.16666666666666666</v>
      </c>
      <c r="AP149" s="82">
        <v>17</v>
      </c>
      <c r="AQ149" s="75">
        <v>7945.0200855863714</v>
      </c>
      <c r="AR149" s="75">
        <v>8048.8081703587422</v>
      </c>
      <c r="AS149" s="80">
        <v>15993.828255945115</v>
      </c>
      <c r="AT149" s="74">
        <v>355.75214013605444</v>
      </c>
      <c r="AU149" s="75">
        <v>524.90879499970936</v>
      </c>
      <c r="AV149" s="75">
        <v>690.57768379556944</v>
      </c>
      <c r="AW149" s="75">
        <v>325.75735184603758</v>
      </c>
      <c r="AX149" s="80">
        <v>1896.995970777371</v>
      </c>
      <c r="AY149" s="81">
        <v>0.1252169481959628</v>
      </c>
      <c r="AZ149" s="83">
        <v>940.81342682030083</v>
      </c>
      <c r="BA149" s="80">
        <v>117.80578612822384</v>
      </c>
      <c r="BB149" s="84">
        <v>-10224.714383964183</v>
      </c>
      <c r="BC149" s="85">
        <v>-14.806030695586433</v>
      </c>
      <c r="BD149" s="86">
        <v>-0.58631881556536358</v>
      </c>
      <c r="BE149" s="84">
        <v>-9898.9570321181454</v>
      </c>
      <c r="BF149" s="87">
        <v>-9.7398561350086545</v>
      </c>
      <c r="BG149" s="88">
        <v>-0.56763881556500884</v>
      </c>
      <c r="BH149" s="89">
        <v>0.91713881554370402</v>
      </c>
      <c r="BI149" s="90">
        <v>0.60000000002000464</v>
      </c>
      <c r="BJ149" s="90">
        <v>0.10878000000301538</v>
      </c>
      <c r="BK149" s="91">
        <v>1.6259188155667241</v>
      </c>
      <c r="BL149" s="92">
        <v>-10915.292067759754</v>
      </c>
      <c r="BM149" s="95">
        <v>0</v>
      </c>
      <c r="BN149" t="s">
        <v>402</v>
      </c>
      <c r="BO149">
        <v>0.85994999999999999</v>
      </c>
    </row>
    <row r="150" spans="1:67">
      <c r="A150" s="61" t="str">
        <f t="shared" si="2"/>
        <v>UK</v>
      </c>
      <c r="B150" s="62" t="s">
        <v>64</v>
      </c>
      <c r="C150" s="62" t="s">
        <v>176</v>
      </c>
      <c r="D150" s="63" t="s">
        <v>97</v>
      </c>
      <c r="E150" s="64">
        <v>43831</v>
      </c>
      <c r="F150" s="64">
        <v>43921</v>
      </c>
      <c r="G150" s="65">
        <v>43995</v>
      </c>
      <c r="H150" s="66" t="s">
        <v>132</v>
      </c>
      <c r="I150" s="67">
        <v>3</v>
      </c>
      <c r="J150" s="68">
        <v>2020</v>
      </c>
      <c r="K150" s="69">
        <v>1</v>
      </c>
      <c r="L150" s="70">
        <v>3</v>
      </c>
      <c r="M150" s="71" t="s">
        <v>140</v>
      </c>
      <c r="N150" s="71" t="s">
        <v>18</v>
      </c>
      <c r="O150" s="71" t="s">
        <v>114</v>
      </c>
      <c r="P150" s="71" t="s">
        <v>102</v>
      </c>
      <c r="Q150" s="61" t="s">
        <v>474</v>
      </c>
      <c r="R150" s="63" t="s">
        <v>106</v>
      </c>
      <c r="S150" s="72" t="s">
        <v>643</v>
      </c>
      <c r="T150" s="61" t="s">
        <v>405</v>
      </c>
      <c r="U150" s="73" t="s">
        <v>653</v>
      </c>
      <c r="V150" s="62">
        <v>107872</v>
      </c>
      <c r="W150" s="62" t="s">
        <v>464</v>
      </c>
      <c r="X150" s="62" t="s">
        <v>402</v>
      </c>
      <c r="Y150" s="93">
        <v>1</v>
      </c>
      <c r="Z150" s="94">
        <v>1</v>
      </c>
      <c r="AA150" s="74">
        <v>206</v>
      </c>
      <c r="AB150" s="75">
        <v>554</v>
      </c>
      <c r="AC150" s="75">
        <v>18151.646441072156</v>
      </c>
      <c r="AD150" s="76">
        <v>21781.975728821442</v>
      </c>
      <c r="AE150" s="77">
        <v>36.691827449000002</v>
      </c>
      <c r="AF150" s="75">
        <v>78.709982210999996</v>
      </c>
      <c r="AG150" s="78">
        <v>3462.216158497587</v>
      </c>
      <c r="AH150" s="79">
        <v>4154.6593901971046</v>
      </c>
      <c r="AI150" s="74">
        <v>2077.3296950985523</v>
      </c>
      <c r="AJ150" s="75">
        <v>0</v>
      </c>
      <c r="AK150" s="75">
        <v>0</v>
      </c>
      <c r="AL150" s="80">
        <v>2077.3296950985523</v>
      </c>
      <c r="AM150" s="74">
        <v>0</v>
      </c>
      <c r="AN150" s="74">
        <v>0</v>
      </c>
      <c r="AO150" s="81" t="s">
        <v>403</v>
      </c>
      <c r="AP150" s="82">
        <v>0</v>
      </c>
      <c r="AQ150" s="75">
        <v>0</v>
      </c>
      <c r="AR150" s="75">
        <v>0</v>
      </c>
      <c r="AS150" s="80">
        <v>0</v>
      </c>
      <c r="AT150" s="74">
        <v>70.629209633118208</v>
      </c>
      <c r="AU150" s="75">
        <v>104.21270637013779</v>
      </c>
      <c r="AV150" s="75">
        <v>137.10375986975987</v>
      </c>
      <c r="AW150" s="75">
        <v>64.67419784057212</v>
      </c>
      <c r="AX150" s="80">
        <v>376.61987371358799</v>
      </c>
      <c r="AY150" s="81">
        <v>0</v>
      </c>
      <c r="AZ150" s="83" t="s">
        <v>403</v>
      </c>
      <c r="BA150" s="80" t="s">
        <v>403</v>
      </c>
      <c r="BB150" s="84">
        <v>1145.3703495552068</v>
      </c>
      <c r="BC150" s="85">
        <v>8.3540404044589156</v>
      </c>
      <c r="BD150" s="86">
        <v>0.33082000000029893</v>
      </c>
      <c r="BE150" s="84">
        <v>1210.0445473957789</v>
      </c>
      <c r="BF150" s="87">
        <v>5.9969114621176427</v>
      </c>
      <c r="BG150" s="88">
        <v>0.34950000000025194</v>
      </c>
      <c r="BH150" s="89">
        <v>0</v>
      </c>
      <c r="BI150" s="90">
        <v>0.6</v>
      </c>
      <c r="BJ150" s="90">
        <v>0.10877999999775302</v>
      </c>
      <c r="BK150" s="91">
        <v>0.70877999999775299</v>
      </c>
      <c r="BL150" s="92">
        <v>1008.2665896854469</v>
      </c>
      <c r="BM150" s="95">
        <v>0</v>
      </c>
      <c r="BN150" t="s">
        <v>402</v>
      </c>
      <c r="BO150">
        <v>0.85994999999999999</v>
      </c>
    </row>
    <row r="151" spans="1:67">
      <c r="A151" s="61" t="str">
        <f t="shared" si="2"/>
        <v>UK</v>
      </c>
      <c r="B151" s="62" t="s">
        <v>64</v>
      </c>
      <c r="C151" s="62" t="s">
        <v>176</v>
      </c>
      <c r="D151" s="63" t="s">
        <v>97</v>
      </c>
      <c r="E151" s="64">
        <v>43831</v>
      </c>
      <c r="F151" s="64">
        <v>43921</v>
      </c>
      <c r="G151" s="65">
        <v>43995</v>
      </c>
      <c r="H151" s="66" t="s">
        <v>132</v>
      </c>
      <c r="I151" s="67">
        <v>3</v>
      </c>
      <c r="J151" s="68">
        <v>2020</v>
      </c>
      <c r="K151" s="69">
        <v>1</v>
      </c>
      <c r="L151" s="70">
        <v>3</v>
      </c>
      <c r="M151" s="71" t="s">
        <v>140</v>
      </c>
      <c r="N151" s="71" t="s">
        <v>18</v>
      </c>
      <c r="O151" s="71" t="s">
        <v>114</v>
      </c>
      <c r="P151" s="71" t="s">
        <v>102</v>
      </c>
      <c r="Q151" s="61" t="s">
        <v>474</v>
      </c>
      <c r="R151" s="63" t="s">
        <v>165</v>
      </c>
      <c r="S151" s="72" t="s">
        <v>643</v>
      </c>
      <c r="T151" s="61" t="s">
        <v>405</v>
      </c>
      <c r="U151" s="73" t="s">
        <v>654</v>
      </c>
      <c r="V151" s="62">
        <v>107213</v>
      </c>
      <c r="W151" s="62" t="s">
        <v>556</v>
      </c>
      <c r="X151" s="62" t="s">
        <v>402</v>
      </c>
      <c r="Y151" s="93">
        <v>1</v>
      </c>
      <c r="Z151" s="94">
        <v>1</v>
      </c>
      <c r="AA151" s="74">
        <v>0</v>
      </c>
      <c r="AB151" s="75">
        <v>0</v>
      </c>
      <c r="AC151" s="75">
        <v>0</v>
      </c>
      <c r="AD151" s="76">
        <v>0</v>
      </c>
      <c r="AE151" s="77">
        <v>9.0700819672000002</v>
      </c>
      <c r="AF151" s="75">
        <v>17.080434538999999</v>
      </c>
      <c r="AG151" s="78">
        <v>1206.2895690447119</v>
      </c>
      <c r="AH151" s="79">
        <v>1447.5474828769115</v>
      </c>
      <c r="AI151" s="74">
        <v>723.77374141519863</v>
      </c>
      <c r="AJ151" s="75">
        <v>0</v>
      </c>
      <c r="AK151" s="75">
        <v>0</v>
      </c>
      <c r="AL151" s="80">
        <v>723.77374141519863</v>
      </c>
      <c r="AM151" s="74">
        <v>0</v>
      </c>
      <c r="AN151" s="74">
        <v>0</v>
      </c>
      <c r="AO151" s="81" t="s">
        <v>403</v>
      </c>
      <c r="AP151" s="82">
        <v>0</v>
      </c>
      <c r="AQ151" s="75">
        <v>0</v>
      </c>
      <c r="AR151" s="75">
        <v>0</v>
      </c>
      <c r="AS151" s="80">
        <v>0</v>
      </c>
      <c r="AT151" s="74">
        <v>24.608307208558635</v>
      </c>
      <c r="AU151" s="75">
        <v>36.309316027676026</v>
      </c>
      <c r="AV151" s="75">
        <v>47.769066934124076</v>
      </c>
      <c r="AW151" s="75">
        <v>22.533489149369149</v>
      </c>
      <c r="AX151" s="80">
        <v>131.22017931972789</v>
      </c>
      <c r="AY151" s="81">
        <v>0</v>
      </c>
      <c r="AZ151" s="83" t="s">
        <v>403</v>
      </c>
      <c r="BA151" s="80" t="s">
        <v>403</v>
      </c>
      <c r="BB151" s="84">
        <v>399.06471524390952</v>
      </c>
      <c r="BC151" s="85">
        <v>8.354040404311009</v>
      </c>
      <c r="BD151" s="86">
        <v>0.3308200000103938</v>
      </c>
      <c r="BE151" s="84">
        <v>421.59820439327871</v>
      </c>
      <c r="BF151" s="87">
        <v>5.9969114621177813</v>
      </c>
      <c r="BG151" s="88">
        <v>0.34950000001007375</v>
      </c>
      <c r="BH151" s="89">
        <v>0</v>
      </c>
      <c r="BI151" s="90">
        <v>0.59999999999036013</v>
      </c>
      <c r="BJ151" s="90">
        <v>0.10877999999920759</v>
      </c>
      <c r="BK151" s="91">
        <v>0.70877999998956775</v>
      </c>
      <c r="BL151" s="92">
        <v>351.29564830978541</v>
      </c>
      <c r="BM151" s="95">
        <v>0</v>
      </c>
      <c r="BN151" t="s">
        <v>402</v>
      </c>
      <c r="BO151">
        <v>0.85994999999999999</v>
      </c>
    </row>
    <row r="152" spans="1:67">
      <c r="A152" s="61" t="str">
        <f t="shared" si="2"/>
        <v>UK</v>
      </c>
      <c r="B152" s="62" t="s">
        <v>64</v>
      </c>
      <c r="C152" s="62" t="s">
        <v>176</v>
      </c>
      <c r="D152" s="63" t="s">
        <v>97</v>
      </c>
      <c r="E152" s="64">
        <v>43831</v>
      </c>
      <c r="F152" s="64">
        <v>43921</v>
      </c>
      <c r="G152" s="65">
        <v>43995</v>
      </c>
      <c r="H152" s="66" t="s">
        <v>132</v>
      </c>
      <c r="I152" s="67">
        <v>3</v>
      </c>
      <c r="J152" s="68">
        <v>2020</v>
      </c>
      <c r="K152" s="69">
        <v>1</v>
      </c>
      <c r="L152" s="70">
        <v>3</v>
      </c>
      <c r="M152" s="71" t="s">
        <v>140</v>
      </c>
      <c r="N152" s="71" t="s">
        <v>18</v>
      </c>
      <c r="O152" s="71" t="s">
        <v>114</v>
      </c>
      <c r="P152" s="71" t="s">
        <v>102</v>
      </c>
      <c r="Q152" s="61" t="s">
        <v>474</v>
      </c>
      <c r="R152" s="63" t="s">
        <v>112</v>
      </c>
      <c r="S152" s="72" t="s">
        <v>643</v>
      </c>
      <c r="T152" s="61" t="s">
        <v>405</v>
      </c>
      <c r="U152" s="73" t="s">
        <v>655</v>
      </c>
      <c r="V152" s="62">
        <v>107888</v>
      </c>
      <c r="W152" s="62" t="s">
        <v>556</v>
      </c>
      <c r="X152" s="62" t="s">
        <v>402</v>
      </c>
      <c r="Y152" s="93">
        <v>1</v>
      </c>
      <c r="Z152" s="94">
        <v>1</v>
      </c>
      <c r="AA152" s="74">
        <v>16</v>
      </c>
      <c r="AB152" s="75">
        <v>27</v>
      </c>
      <c r="AC152" s="75">
        <v>4315.2218625501482</v>
      </c>
      <c r="AD152" s="76">
        <v>5178.2662350136634</v>
      </c>
      <c r="AE152" s="77">
        <v>4.3753211881</v>
      </c>
      <c r="AF152" s="75">
        <v>7.9634359422000003</v>
      </c>
      <c r="AG152" s="78">
        <v>1150.367491063434</v>
      </c>
      <c r="AH152" s="79">
        <v>1380.4409892435608</v>
      </c>
      <c r="AI152" s="74">
        <v>690.22049464503743</v>
      </c>
      <c r="AJ152" s="75">
        <v>0</v>
      </c>
      <c r="AK152" s="75">
        <v>0</v>
      </c>
      <c r="AL152" s="80">
        <v>690.22049464503743</v>
      </c>
      <c r="AM152" s="74">
        <v>0</v>
      </c>
      <c r="AN152" s="74">
        <v>0</v>
      </c>
      <c r="AO152" s="81" t="s">
        <v>403</v>
      </c>
      <c r="AP152" s="82">
        <v>0</v>
      </c>
      <c r="AQ152" s="75">
        <v>0</v>
      </c>
      <c r="AR152" s="75">
        <v>0</v>
      </c>
      <c r="AS152" s="80">
        <v>0</v>
      </c>
      <c r="AT152" s="74">
        <v>23.467496817256819</v>
      </c>
      <c r="AU152" s="75">
        <v>34.626061481481486</v>
      </c>
      <c r="AV152" s="75">
        <v>45.554552646084076</v>
      </c>
      <c r="AW152" s="75">
        <v>21.488864732833303</v>
      </c>
      <c r="AX152" s="80">
        <v>125.13697567765568</v>
      </c>
      <c r="AY152" s="81">
        <v>0</v>
      </c>
      <c r="AZ152" s="83" t="s">
        <v>403</v>
      </c>
      <c r="BA152" s="80" t="s">
        <v>403</v>
      </c>
      <c r="BB152" s="84">
        <v>380.56457338682492</v>
      </c>
      <c r="BC152" s="85">
        <v>8.3540404038966827</v>
      </c>
      <c r="BD152" s="86">
        <v>0.33081999999410594</v>
      </c>
      <c r="BE152" s="84">
        <v>402.05343811965827</v>
      </c>
      <c r="BF152" s="87">
        <v>5.9969114618266586</v>
      </c>
      <c r="BG152" s="88">
        <v>0.34949999999390463</v>
      </c>
      <c r="BH152" s="89">
        <v>0</v>
      </c>
      <c r="BI152" s="90">
        <v>0.60000000000606502</v>
      </c>
      <c r="BJ152" s="90">
        <v>0.1087799999998047</v>
      </c>
      <c r="BK152" s="91">
        <v>0.70878000000586971</v>
      </c>
      <c r="BL152" s="92">
        <v>335.01002074074097</v>
      </c>
      <c r="BM152" s="95">
        <v>0</v>
      </c>
      <c r="BN152" t="s">
        <v>402</v>
      </c>
      <c r="BO152">
        <v>0.85994999999999999</v>
      </c>
    </row>
    <row r="153" spans="1:67">
      <c r="A153" s="61" t="str">
        <f t="shared" si="2"/>
        <v>UK</v>
      </c>
      <c r="B153" s="62" t="s">
        <v>64</v>
      </c>
      <c r="C153" s="62" t="s">
        <v>176</v>
      </c>
      <c r="D153" s="63" t="s">
        <v>97</v>
      </c>
      <c r="E153" s="64">
        <v>43831</v>
      </c>
      <c r="F153" s="64">
        <v>43921</v>
      </c>
      <c r="G153" s="65">
        <v>43995</v>
      </c>
      <c r="H153" s="66" t="s">
        <v>132</v>
      </c>
      <c r="I153" s="67">
        <v>3</v>
      </c>
      <c r="J153" s="68">
        <v>2020</v>
      </c>
      <c r="K153" s="69">
        <v>1</v>
      </c>
      <c r="L153" s="70">
        <v>3</v>
      </c>
      <c r="M153" s="71" t="s">
        <v>140</v>
      </c>
      <c r="N153" s="71" t="s">
        <v>18</v>
      </c>
      <c r="O153" s="71" t="s">
        <v>114</v>
      </c>
      <c r="P153" s="71" t="s">
        <v>102</v>
      </c>
      <c r="Q153" s="61" t="s">
        <v>474</v>
      </c>
      <c r="R153" s="63" t="s">
        <v>165</v>
      </c>
      <c r="S153" s="72" t="s">
        <v>643</v>
      </c>
      <c r="T153" s="61" t="s">
        <v>405</v>
      </c>
      <c r="U153" s="73" t="s">
        <v>656</v>
      </c>
      <c r="V153" s="62">
        <v>107198</v>
      </c>
      <c r="W153" s="62" t="s">
        <v>556</v>
      </c>
      <c r="X153" s="62" t="s">
        <v>402</v>
      </c>
      <c r="Y153" s="93">
        <v>1</v>
      </c>
      <c r="Z153" s="94">
        <v>1</v>
      </c>
      <c r="AA153" s="74">
        <v>0</v>
      </c>
      <c r="AB153" s="75">
        <v>0</v>
      </c>
      <c r="AC153" s="75">
        <v>0</v>
      </c>
      <c r="AD153" s="76">
        <v>0</v>
      </c>
      <c r="AE153" s="77">
        <v>3.7653846153999999</v>
      </c>
      <c r="AF153" s="75">
        <v>7.6461538461999998</v>
      </c>
      <c r="AG153" s="78">
        <v>416.32003439734871</v>
      </c>
      <c r="AH153" s="79">
        <v>499.58404126984129</v>
      </c>
      <c r="AI153" s="74">
        <v>249.79202064073493</v>
      </c>
      <c r="AJ153" s="75">
        <v>0</v>
      </c>
      <c r="AK153" s="75">
        <v>0</v>
      </c>
      <c r="AL153" s="80">
        <v>249.79202064073493</v>
      </c>
      <c r="AM153" s="74">
        <v>0</v>
      </c>
      <c r="AN153" s="74">
        <v>0</v>
      </c>
      <c r="AO153" s="81" t="s">
        <v>403</v>
      </c>
      <c r="AP153" s="82">
        <v>0</v>
      </c>
      <c r="AQ153" s="75">
        <v>0</v>
      </c>
      <c r="AR153" s="75">
        <v>0</v>
      </c>
      <c r="AS153" s="80">
        <v>0</v>
      </c>
      <c r="AT153" s="74">
        <v>8.4929287016687027</v>
      </c>
      <c r="AU153" s="75">
        <v>12.531233035641607</v>
      </c>
      <c r="AV153" s="75">
        <v>16.486273362404791</v>
      </c>
      <c r="AW153" s="75">
        <v>7.7768582424559565</v>
      </c>
      <c r="AX153" s="80">
        <v>45.287293342171054</v>
      </c>
      <c r="AY153" s="81">
        <v>0</v>
      </c>
      <c r="AZ153" s="83" t="s">
        <v>403</v>
      </c>
      <c r="BA153" s="80" t="s">
        <v>403</v>
      </c>
      <c r="BB153" s="84">
        <v>137.72699377684751</v>
      </c>
      <c r="BC153" s="85">
        <v>8.3540404037530642</v>
      </c>
      <c r="BD153" s="86">
        <v>0.33081999999403489</v>
      </c>
      <c r="BE153" s="84">
        <v>145.50385201930345</v>
      </c>
      <c r="BF153" s="87">
        <v>5.9969114617568158</v>
      </c>
      <c r="BG153" s="88">
        <v>0.34949999999382703</v>
      </c>
      <c r="BH153" s="89">
        <v>0</v>
      </c>
      <c r="BI153" s="90">
        <v>0.6000000000055864</v>
      </c>
      <c r="BJ153" s="90">
        <v>0.10878000000102676</v>
      </c>
      <c r="BK153" s="91">
        <v>0.70878000000661312</v>
      </c>
      <c r="BL153" s="92">
        <v>121.24072041444271</v>
      </c>
      <c r="BM153" s="95">
        <v>0</v>
      </c>
      <c r="BN153" t="s">
        <v>402</v>
      </c>
      <c r="BO153">
        <v>0.85994999999999999</v>
      </c>
    </row>
    <row r="154" spans="1:67">
      <c r="A154" s="61" t="str">
        <f t="shared" si="2"/>
        <v>UK</v>
      </c>
      <c r="B154" s="62" t="s">
        <v>64</v>
      </c>
      <c r="C154" s="62" t="s">
        <v>176</v>
      </c>
      <c r="D154" s="63" t="s">
        <v>97</v>
      </c>
      <c r="E154" s="64">
        <v>43831</v>
      </c>
      <c r="F154" s="64">
        <v>43921</v>
      </c>
      <c r="G154" s="65">
        <v>43995</v>
      </c>
      <c r="H154" s="66" t="s">
        <v>132</v>
      </c>
      <c r="I154" s="67">
        <v>3</v>
      </c>
      <c r="J154" s="68">
        <v>2020</v>
      </c>
      <c r="K154" s="69">
        <v>1</v>
      </c>
      <c r="L154" s="70">
        <v>3</v>
      </c>
      <c r="M154" s="71" t="s">
        <v>140</v>
      </c>
      <c r="N154" s="71" t="s">
        <v>18</v>
      </c>
      <c r="O154" s="71" t="s">
        <v>114</v>
      </c>
      <c r="P154" s="71" t="s">
        <v>102</v>
      </c>
      <c r="Q154" s="61" t="s">
        <v>474</v>
      </c>
      <c r="R154" s="63" t="s">
        <v>106</v>
      </c>
      <c r="S154" s="72" t="s">
        <v>643</v>
      </c>
      <c r="T154" s="61" t="s">
        <v>405</v>
      </c>
      <c r="U154" s="73" t="s">
        <v>657</v>
      </c>
      <c r="V154" s="62">
        <v>107873</v>
      </c>
      <c r="W154" s="62" t="s">
        <v>556</v>
      </c>
      <c r="X154" s="62" t="s">
        <v>402</v>
      </c>
      <c r="Y154" s="93">
        <v>1</v>
      </c>
      <c r="Z154" s="94">
        <v>1</v>
      </c>
      <c r="AA154" s="74">
        <v>44</v>
      </c>
      <c r="AB154" s="75">
        <v>113</v>
      </c>
      <c r="AC154" s="75">
        <v>1994.2729328449327</v>
      </c>
      <c r="AD154" s="76">
        <v>2393.1275193906622</v>
      </c>
      <c r="AE154" s="77">
        <v>10.974839744000001</v>
      </c>
      <c r="AF154" s="75">
        <v>24.224358974000001</v>
      </c>
      <c r="AG154" s="78">
        <v>607.09050571544856</v>
      </c>
      <c r="AH154" s="79">
        <v>728.50860684923543</v>
      </c>
      <c r="AI154" s="74">
        <v>364.25430342461772</v>
      </c>
      <c r="AJ154" s="75">
        <v>0</v>
      </c>
      <c r="AK154" s="75">
        <v>0</v>
      </c>
      <c r="AL154" s="80">
        <v>364.25430342461772</v>
      </c>
      <c r="AM154" s="74">
        <v>1</v>
      </c>
      <c r="AN154" s="74">
        <v>1</v>
      </c>
      <c r="AO154" s="81">
        <v>1</v>
      </c>
      <c r="AP154" s="82">
        <v>3</v>
      </c>
      <c r="AQ154" s="75">
        <v>0</v>
      </c>
      <c r="AR154" s="75">
        <v>1139.6011396011397</v>
      </c>
      <c r="AS154" s="80">
        <v>1139.6011396011397</v>
      </c>
      <c r="AT154" s="74">
        <v>12.384646316646316</v>
      </c>
      <c r="AU154" s="75">
        <v>18.273424222338509</v>
      </c>
      <c r="AV154" s="75">
        <v>24.040784025815455</v>
      </c>
      <c r="AW154" s="75">
        <v>11.340450646665502</v>
      </c>
      <c r="AX154" s="80">
        <v>66.039305211465773</v>
      </c>
      <c r="AY154" s="81">
        <v>0.12384228632096722</v>
      </c>
      <c r="AZ154" s="83">
        <v>379.86704653371322</v>
      </c>
      <c r="BA154" s="80">
        <v>47.043603540728292</v>
      </c>
      <c r="BB154" s="84">
        <v>-938.76345849595907</v>
      </c>
      <c r="BC154" s="85">
        <v>-39.04878715635467</v>
      </c>
      <c r="BD154" s="86">
        <v>-1.5463319713584354</v>
      </c>
      <c r="BE154" s="84">
        <v>-927.42300784929364</v>
      </c>
      <c r="BF154" s="87">
        <v>-26.212285027199197</v>
      </c>
      <c r="BG154" s="88">
        <v>-1.5276519713585988</v>
      </c>
      <c r="BH154" s="89">
        <v>1.8771519713656764</v>
      </c>
      <c r="BI154" s="90">
        <v>0.59999999999233822</v>
      </c>
      <c r="BJ154" s="90">
        <v>0.10877999999957054</v>
      </c>
      <c r="BK154" s="91">
        <v>2.585931971357585</v>
      </c>
      <c r="BL154" s="92">
        <v>-962.80424252177465</v>
      </c>
      <c r="BM154" s="95">
        <v>0</v>
      </c>
      <c r="BN154" t="s">
        <v>402</v>
      </c>
      <c r="BO154">
        <v>0.85994999999999999</v>
      </c>
    </row>
    <row r="155" spans="1:67">
      <c r="A155" s="61" t="str">
        <f t="shared" si="2"/>
        <v>UK</v>
      </c>
      <c r="B155" s="62" t="s">
        <v>64</v>
      </c>
      <c r="C155" s="62" t="s">
        <v>176</v>
      </c>
      <c r="D155" s="63" t="s">
        <v>97</v>
      </c>
      <c r="E155" s="64">
        <v>43831</v>
      </c>
      <c r="F155" s="64">
        <v>43921</v>
      </c>
      <c r="G155" s="65">
        <v>43995</v>
      </c>
      <c r="H155" s="66" t="s">
        <v>132</v>
      </c>
      <c r="I155" s="67">
        <v>3</v>
      </c>
      <c r="J155" s="68">
        <v>2020</v>
      </c>
      <c r="K155" s="69">
        <v>1</v>
      </c>
      <c r="L155" s="70">
        <v>3</v>
      </c>
      <c r="M155" s="71" t="s">
        <v>140</v>
      </c>
      <c r="N155" s="71" t="s">
        <v>18</v>
      </c>
      <c r="O155" s="71" t="s">
        <v>114</v>
      </c>
      <c r="P155" s="71" t="s">
        <v>102</v>
      </c>
      <c r="Q155" s="61" t="s">
        <v>474</v>
      </c>
      <c r="R155" s="63" t="s">
        <v>165</v>
      </c>
      <c r="S155" s="72" t="s">
        <v>643</v>
      </c>
      <c r="T155" s="61" t="s">
        <v>405</v>
      </c>
      <c r="U155" s="73" t="s">
        <v>658</v>
      </c>
      <c r="V155" s="62">
        <v>107214</v>
      </c>
      <c r="W155" s="62" t="s">
        <v>556</v>
      </c>
      <c r="X155" s="62" t="s">
        <v>402</v>
      </c>
      <c r="Y155" s="93">
        <v>1</v>
      </c>
      <c r="Z155" s="94">
        <v>1</v>
      </c>
      <c r="AA155" s="74">
        <v>0</v>
      </c>
      <c r="AB155" s="75">
        <v>0</v>
      </c>
      <c r="AC155" s="75">
        <v>0</v>
      </c>
      <c r="AD155" s="76">
        <v>0</v>
      </c>
      <c r="AE155" s="77">
        <v>0.4140579385</v>
      </c>
      <c r="AF155" s="75">
        <v>0.59848416800000004</v>
      </c>
      <c r="AG155" s="78">
        <v>31.791651704168846</v>
      </c>
      <c r="AH155" s="79">
        <v>38.149982045467759</v>
      </c>
      <c r="AI155" s="74">
        <v>19.074991022733879</v>
      </c>
      <c r="AJ155" s="75">
        <v>0</v>
      </c>
      <c r="AK155" s="75">
        <v>0</v>
      </c>
      <c r="AL155" s="80">
        <v>19.074991022733879</v>
      </c>
      <c r="AM155" s="74">
        <v>0</v>
      </c>
      <c r="AN155" s="74">
        <v>0</v>
      </c>
      <c r="AO155" s="81" t="s">
        <v>403</v>
      </c>
      <c r="AP155" s="82">
        <v>0</v>
      </c>
      <c r="AQ155" s="75">
        <v>0</v>
      </c>
      <c r="AR155" s="75">
        <v>0</v>
      </c>
      <c r="AS155" s="80">
        <v>0</v>
      </c>
      <c r="AT155" s="74">
        <v>0.64854969474969471</v>
      </c>
      <c r="AU155" s="75">
        <v>0.95692871632071641</v>
      </c>
      <c r="AV155" s="75">
        <v>1.2589494075236933</v>
      </c>
      <c r="AW155" s="75">
        <v>0.59386805384033958</v>
      </c>
      <c r="AX155" s="80">
        <v>3.4582958724344444</v>
      </c>
      <c r="AY155" s="81">
        <v>0</v>
      </c>
      <c r="AZ155" s="83" t="s">
        <v>403</v>
      </c>
      <c r="BA155" s="80" t="s">
        <v>403</v>
      </c>
      <c r="BB155" s="84">
        <v>10.517314216524216</v>
      </c>
      <c r="BC155" s="85">
        <v>8.354040403586497</v>
      </c>
      <c r="BD155" s="86">
        <v>0.33081999999217021</v>
      </c>
      <c r="BE155" s="84">
        <v>11.111182270364555</v>
      </c>
      <c r="BF155" s="87">
        <v>5.9969114616312877</v>
      </c>
      <c r="BG155" s="88">
        <v>0.34949999999237358</v>
      </c>
      <c r="BH155" s="89">
        <v>0</v>
      </c>
      <c r="BI155" s="90">
        <v>0.60000000000731546</v>
      </c>
      <c r="BJ155" s="90">
        <v>0.10878000000172867</v>
      </c>
      <c r="BK155" s="91">
        <v>0.70878000000904418</v>
      </c>
      <c r="BL155" s="92">
        <v>9.2583648090005219</v>
      </c>
      <c r="BM155" s="95">
        <v>0</v>
      </c>
      <c r="BN155" t="s">
        <v>402</v>
      </c>
      <c r="BO155">
        <v>0.85994999999999999</v>
      </c>
    </row>
    <row r="156" spans="1:67">
      <c r="A156" s="61" t="str">
        <f t="shared" si="2"/>
        <v>UK</v>
      </c>
      <c r="B156" s="62" t="s">
        <v>64</v>
      </c>
      <c r="C156" s="62" t="s">
        <v>176</v>
      </c>
      <c r="D156" s="63" t="s">
        <v>97</v>
      </c>
      <c r="E156" s="64">
        <v>43831</v>
      </c>
      <c r="F156" s="64">
        <v>43921</v>
      </c>
      <c r="G156" s="65">
        <v>43995</v>
      </c>
      <c r="H156" s="66" t="s">
        <v>132</v>
      </c>
      <c r="I156" s="67">
        <v>3</v>
      </c>
      <c r="J156" s="68">
        <v>2020</v>
      </c>
      <c r="K156" s="69">
        <v>1</v>
      </c>
      <c r="L156" s="70">
        <v>3</v>
      </c>
      <c r="M156" s="71" t="s">
        <v>140</v>
      </c>
      <c r="N156" s="71" t="s">
        <v>18</v>
      </c>
      <c r="O156" s="71" t="s">
        <v>114</v>
      </c>
      <c r="P156" s="71" t="s">
        <v>102</v>
      </c>
      <c r="Q156" s="61" t="s">
        <v>474</v>
      </c>
      <c r="R156" s="63" t="s">
        <v>112</v>
      </c>
      <c r="S156" s="72" t="s">
        <v>643</v>
      </c>
      <c r="T156" s="61" t="s">
        <v>405</v>
      </c>
      <c r="U156" s="73" t="s">
        <v>659</v>
      </c>
      <c r="V156" s="62">
        <v>107889</v>
      </c>
      <c r="W156" s="62" t="s">
        <v>556</v>
      </c>
      <c r="X156" s="62" t="s">
        <v>402</v>
      </c>
      <c r="Y156" s="93">
        <v>1</v>
      </c>
      <c r="Z156" s="94">
        <v>1</v>
      </c>
      <c r="AA156" s="74">
        <v>2</v>
      </c>
      <c r="AB156" s="75">
        <v>2</v>
      </c>
      <c r="AC156" s="75">
        <v>103.99829417873131</v>
      </c>
      <c r="AD156" s="76">
        <v>124.79795300889587</v>
      </c>
      <c r="AE156" s="77">
        <v>0.34631147540000001</v>
      </c>
      <c r="AF156" s="75">
        <v>0.34631147540000001</v>
      </c>
      <c r="AG156" s="78">
        <v>21.582261425664285</v>
      </c>
      <c r="AH156" s="79">
        <v>25.898713710099425</v>
      </c>
      <c r="AI156" s="74">
        <v>12.949356855631143</v>
      </c>
      <c r="AJ156" s="75">
        <v>0</v>
      </c>
      <c r="AK156" s="75">
        <v>0</v>
      </c>
      <c r="AL156" s="80">
        <v>12.949356855631143</v>
      </c>
      <c r="AM156" s="74">
        <v>0</v>
      </c>
      <c r="AN156" s="74">
        <v>0</v>
      </c>
      <c r="AO156" s="81" t="s">
        <v>403</v>
      </c>
      <c r="AP156" s="82">
        <v>0</v>
      </c>
      <c r="AQ156" s="75">
        <v>0</v>
      </c>
      <c r="AR156" s="75">
        <v>0</v>
      </c>
      <c r="AS156" s="80">
        <v>0</v>
      </c>
      <c r="AT156" s="74">
        <v>0.44027813303099017</v>
      </c>
      <c r="AU156" s="75">
        <v>0.64962606884121166</v>
      </c>
      <c r="AV156" s="75">
        <v>0.85465755241583818</v>
      </c>
      <c r="AW156" s="75">
        <v>0.40315664340950058</v>
      </c>
      <c r="AX156" s="80">
        <v>2.3477183976975406</v>
      </c>
      <c r="AY156" s="81">
        <v>0</v>
      </c>
      <c r="AZ156" s="83" t="s">
        <v>403</v>
      </c>
      <c r="BA156" s="80" t="s">
        <v>403</v>
      </c>
      <c r="BB156" s="84">
        <v>7.1398437247514401</v>
      </c>
      <c r="BC156" s="85">
        <v>8.3540404043343806</v>
      </c>
      <c r="BD156" s="86">
        <v>0.33081999999597733</v>
      </c>
      <c r="BE156" s="84">
        <v>7.543000368160941</v>
      </c>
      <c r="BF156" s="87">
        <v>5.9969114621189794</v>
      </c>
      <c r="BG156" s="88">
        <v>0.34949999999496223</v>
      </c>
      <c r="BH156" s="89">
        <v>0</v>
      </c>
      <c r="BI156" s="90">
        <v>0.60000000001077602</v>
      </c>
      <c r="BJ156" s="90">
        <v>0.1087799999913716</v>
      </c>
      <c r="BK156" s="91">
        <v>0.70878000000214758</v>
      </c>
      <c r="BL156" s="92">
        <v>6.2851861723356013</v>
      </c>
      <c r="BM156" s="95">
        <v>0</v>
      </c>
      <c r="BN156" t="s">
        <v>402</v>
      </c>
      <c r="BO156">
        <v>0.85994999999999999</v>
      </c>
    </row>
    <row r="157" spans="1:67">
      <c r="A157" s="61" t="str">
        <f t="shared" si="2"/>
        <v>UK</v>
      </c>
      <c r="B157" s="62" t="s">
        <v>64</v>
      </c>
      <c r="C157" s="62" t="s">
        <v>176</v>
      </c>
      <c r="D157" s="63" t="s">
        <v>97</v>
      </c>
      <c r="E157" s="64">
        <v>43831</v>
      </c>
      <c r="F157" s="64">
        <v>43921</v>
      </c>
      <c r="G157" s="65">
        <v>43995</v>
      </c>
      <c r="H157" s="66" t="s">
        <v>132</v>
      </c>
      <c r="I157" s="67">
        <v>3</v>
      </c>
      <c r="J157" s="68">
        <v>2020</v>
      </c>
      <c r="K157" s="69">
        <v>1</v>
      </c>
      <c r="L157" s="70">
        <v>3</v>
      </c>
      <c r="M157" s="71" t="s">
        <v>140</v>
      </c>
      <c r="N157" s="71" t="s">
        <v>18</v>
      </c>
      <c r="O157" s="71" t="s">
        <v>114</v>
      </c>
      <c r="P157" s="71" t="s">
        <v>102</v>
      </c>
      <c r="Q157" s="61" t="s">
        <v>474</v>
      </c>
      <c r="R157" s="63" t="s">
        <v>106</v>
      </c>
      <c r="S157" s="72" t="s">
        <v>643</v>
      </c>
      <c r="T157" s="61" t="s">
        <v>405</v>
      </c>
      <c r="U157" s="73" t="s">
        <v>660</v>
      </c>
      <c r="V157" s="62">
        <v>107874</v>
      </c>
      <c r="W157" s="62" t="s">
        <v>556</v>
      </c>
      <c r="X157" s="62" t="s">
        <v>402</v>
      </c>
      <c r="Y157" s="93">
        <v>1</v>
      </c>
      <c r="Z157" s="94">
        <v>1</v>
      </c>
      <c r="AA157" s="74">
        <v>63</v>
      </c>
      <c r="AB157" s="75">
        <v>121</v>
      </c>
      <c r="AC157" s="75">
        <v>1313.5938101052386</v>
      </c>
      <c r="AD157" s="76">
        <v>1576.3125721262866</v>
      </c>
      <c r="AE157" s="77">
        <v>19.052656076000002</v>
      </c>
      <c r="AF157" s="75">
        <v>29.202656076</v>
      </c>
      <c r="AG157" s="78">
        <v>531.52842307110882</v>
      </c>
      <c r="AH157" s="79">
        <v>637.83410768067915</v>
      </c>
      <c r="AI157" s="74">
        <v>318.91705384033958</v>
      </c>
      <c r="AJ157" s="75">
        <v>0</v>
      </c>
      <c r="AK157" s="75">
        <v>0</v>
      </c>
      <c r="AL157" s="80">
        <v>318.91705384033958</v>
      </c>
      <c r="AM157" s="74">
        <v>0</v>
      </c>
      <c r="AN157" s="74">
        <v>0</v>
      </c>
      <c r="AO157" s="81" t="s">
        <v>403</v>
      </c>
      <c r="AP157" s="82">
        <v>0</v>
      </c>
      <c r="AQ157" s="75">
        <v>0</v>
      </c>
      <c r="AR157" s="75">
        <v>0</v>
      </c>
      <c r="AS157" s="80">
        <v>0</v>
      </c>
      <c r="AT157" s="74">
        <v>10.843179830687831</v>
      </c>
      <c r="AU157" s="75">
        <v>15.999005534042677</v>
      </c>
      <c r="AV157" s="75">
        <v>21.048525553811267</v>
      </c>
      <c r="AW157" s="75">
        <v>9.9289509429617997</v>
      </c>
      <c r="AX157" s="80">
        <v>57.819661861503569</v>
      </c>
      <c r="AY157" s="81">
        <v>0</v>
      </c>
      <c r="AZ157" s="83" t="s">
        <v>403</v>
      </c>
      <c r="BA157" s="80" t="s">
        <v>403</v>
      </c>
      <c r="BB157" s="84">
        <v>175.84023292307688</v>
      </c>
      <c r="BC157" s="85">
        <v>8.3540404040907941</v>
      </c>
      <c r="BD157" s="86">
        <v>0.3308200000050659</v>
      </c>
      <c r="BE157" s="84">
        <v>185.7691838660387</v>
      </c>
      <c r="BF157" s="87">
        <v>5.9969114619581863</v>
      </c>
      <c r="BG157" s="88">
        <v>0.34950000000505366</v>
      </c>
      <c r="BH157" s="89">
        <v>0</v>
      </c>
      <c r="BI157" s="90">
        <v>0.59999999999562448</v>
      </c>
      <c r="BJ157" s="90">
        <v>0.10877999999967707</v>
      </c>
      <c r="BK157" s="91">
        <v>0.7087799999953015</v>
      </c>
      <c r="BL157" s="92">
        <v>154.79170736926568</v>
      </c>
      <c r="BM157" s="95">
        <v>0</v>
      </c>
      <c r="BN157" t="s">
        <v>402</v>
      </c>
      <c r="BO157">
        <v>0.85994999999999999</v>
      </c>
    </row>
    <row r="158" spans="1:67">
      <c r="A158" s="61" t="str">
        <f t="shared" si="2"/>
        <v>UK</v>
      </c>
      <c r="B158" s="62" t="s">
        <v>64</v>
      </c>
      <c r="C158" s="62" t="s">
        <v>176</v>
      </c>
      <c r="D158" s="63" t="s">
        <v>97</v>
      </c>
      <c r="E158" s="64">
        <v>43831</v>
      </c>
      <c r="F158" s="64">
        <v>43921</v>
      </c>
      <c r="G158" s="65">
        <v>43995</v>
      </c>
      <c r="H158" s="66" t="s">
        <v>132</v>
      </c>
      <c r="I158" s="67">
        <v>3</v>
      </c>
      <c r="J158" s="68">
        <v>2020</v>
      </c>
      <c r="K158" s="69">
        <v>1</v>
      </c>
      <c r="L158" s="70">
        <v>3</v>
      </c>
      <c r="M158" s="71" t="s">
        <v>140</v>
      </c>
      <c r="N158" s="71" t="s">
        <v>18</v>
      </c>
      <c r="O158" s="71" t="s">
        <v>114</v>
      </c>
      <c r="P158" s="71" t="s">
        <v>102</v>
      </c>
      <c r="Q158" s="61" t="s">
        <v>474</v>
      </c>
      <c r="R158" s="63" t="s">
        <v>165</v>
      </c>
      <c r="S158" s="72" t="s">
        <v>643</v>
      </c>
      <c r="T158" s="61" t="s">
        <v>405</v>
      </c>
      <c r="U158" s="73" t="s">
        <v>661</v>
      </c>
      <c r="V158" s="62">
        <v>107215</v>
      </c>
      <c r="W158" s="62" t="s">
        <v>556</v>
      </c>
      <c r="X158" s="62" t="s">
        <v>402</v>
      </c>
      <c r="Y158" s="93">
        <v>1</v>
      </c>
      <c r="Z158" s="94">
        <v>1</v>
      </c>
      <c r="AA158" s="74">
        <v>0</v>
      </c>
      <c r="AB158" s="75">
        <v>0</v>
      </c>
      <c r="AC158" s="75">
        <v>0</v>
      </c>
      <c r="AD158" s="76">
        <v>0</v>
      </c>
      <c r="AE158" s="77">
        <v>47.70990905</v>
      </c>
      <c r="AF158" s="75">
        <v>87.175314395000001</v>
      </c>
      <c r="AG158" s="78">
        <v>6882.9440432583287</v>
      </c>
      <c r="AH158" s="79">
        <v>8259.5328519099949</v>
      </c>
      <c r="AI158" s="74">
        <v>4129.7664259549974</v>
      </c>
      <c r="AJ158" s="75">
        <v>0</v>
      </c>
      <c r="AK158" s="75">
        <v>0</v>
      </c>
      <c r="AL158" s="80">
        <v>4129.7664259549974</v>
      </c>
      <c r="AM158" s="74">
        <v>0</v>
      </c>
      <c r="AN158" s="74">
        <v>0</v>
      </c>
      <c r="AO158" s="81" t="s">
        <v>403</v>
      </c>
      <c r="AP158" s="82">
        <v>0</v>
      </c>
      <c r="AQ158" s="75">
        <v>0</v>
      </c>
      <c r="AR158" s="75">
        <v>0</v>
      </c>
      <c r="AS158" s="80">
        <v>0</v>
      </c>
      <c r="AT158" s="74">
        <v>140.4120584801442</v>
      </c>
      <c r="AU158" s="75">
        <v>207.17661569858711</v>
      </c>
      <c r="AV158" s="75">
        <v>272.56458411535556</v>
      </c>
      <c r="AW158" s="75">
        <v>128.57339473225187</v>
      </c>
      <c r="AX158" s="80">
        <v>748.72665302633868</v>
      </c>
      <c r="AY158" s="81">
        <v>0</v>
      </c>
      <c r="AZ158" s="83" t="s">
        <v>403</v>
      </c>
      <c r="BA158" s="80" t="s">
        <v>403</v>
      </c>
      <c r="BB158" s="84">
        <v>2277.015548392349</v>
      </c>
      <c r="BC158" s="85">
        <v>8.3540404039750964</v>
      </c>
      <c r="BD158" s="86">
        <v>0.33082000000023665</v>
      </c>
      <c r="BE158" s="84">
        <v>2405.5889431246005</v>
      </c>
      <c r="BF158" s="87">
        <v>5.9969114618251727</v>
      </c>
      <c r="BG158" s="88">
        <v>0.3495000000008448</v>
      </c>
      <c r="BH158" s="89">
        <v>0</v>
      </c>
      <c r="BI158" s="90">
        <v>0.6</v>
      </c>
      <c r="BJ158" s="90">
        <v>0.10878000000010137</v>
      </c>
      <c r="BK158" s="91">
        <v>0.70878000000010133</v>
      </c>
      <c r="BL158" s="92">
        <v>2004.4509642769926</v>
      </c>
      <c r="BM158" s="95">
        <v>0</v>
      </c>
      <c r="BN158" t="s">
        <v>402</v>
      </c>
      <c r="BO158">
        <v>0.85994999999999999</v>
      </c>
    </row>
    <row r="159" spans="1:67">
      <c r="A159" s="61" t="str">
        <f t="shared" si="2"/>
        <v>UK</v>
      </c>
      <c r="B159" s="62" t="s">
        <v>64</v>
      </c>
      <c r="C159" s="62" t="s">
        <v>176</v>
      </c>
      <c r="D159" s="63" t="s">
        <v>97</v>
      </c>
      <c r="E159" s="64">
        <v>43831</v>
      </c>
      <c r="F159" s="64">
        <v>43921</v>
      </c>
      <c r="G159" s="65">
        <v>43995</v>
      </c>
      <c r="H159" s="66" t="s">
        <v>132</v>
      </c>
      <c r="I159" s="67">
        <v>3</v>
      </c>
      <c r="J159" s="68">
        <v>2020</v>
      </c>
      <c r="K159" s="69">
        <v>1</v>
      </c>
      <c r="L159" s="70">
        <v>3</v>
      </c>
      <c r="M159" s="71" t="s">
        <v>140</v>
      </c>
      <c r="N159" s="71" t="s">
        <v>18</v>
      </c>
      <c r="O159" s="71" t="s">
        <v>114</v>
      </c>
      <c r="P159" s="71" t="s">
        <v>102</v>
      </c>
      <c r="Q159" s="61" t="s">
        <v>474</v>
      </c>
      <c r="R159" s="63" t="s">
        <v>112</v>
      </c>
      <c r="S159" s="72" t="s">
        <v>643</v>
      </c>
      <c r="T159" s="61" t="s">
        <v>405</v>
      </c>
      <c r="U159" s="73" t="s">
        <v>662</v>
      </c>
      <c r="V159" s="62">
        <v>107890</v>
      </c>
      <c r="W159" s="62" t="s">
        <v>556</v>
      </c>
      <c r="X159" s="62" t="s">
        <v>402</v>
      </c>
      <c r="Y159" s="93">
        <v>1</v>
      </c>
      <c r="Z159" s="94">
        <v>1</v>
      </c>
      <c r="AA159" s="74">
        <v>187</v>
      </c>
      <c r="AB159" s="75">
        <v>349</v>
      </c>
      <c r="AC159" s="75">
        <v>42100.122198965058</v>
      </c>
      <c r="AD159" s="76">
        <v>50520.146638758066</v>
      </c>
      <c r="AE159" s="77">
        <v>47.508491354999997</v>
      </c>
      <c r="AF159" s="75">
        <v>86.554975505000002</v>
      </c>
      <c r="AG159" s="78">
        <v>10895.592255828828</v>
      </c>
      <c r="AH159" s="79">
        <v>13074.710707599279</v>
      </c>
      <c r="AI159" s="74">
        <v>6537.3553535670681</v>
      </c>
      <c r="AJ159" s="75">
        <v>0</v>
      </c>
      <c r="AK159" s="75">
        <v>0</v>
      </c>
      <c r="AL159" s="80">
        <v>6537.3553535670681</v>
      </c>
      <c r="AM159" s="74">
        <v>0</v>
      </c>
      <c r="AN159" s="74">
        <v>0</v>
      </c>
      <c r="AO159" s="81" t="s">
        <v>403</v>
      </c>
      <c r="AP159" s="82">
        <v>1</v>
      </c>
      <c r="AQ159" s="75">
        <v>0</v>
      </c>
      <c r="AR159" s="75">
        <v>0</v>
      </c>
      <c r="AS159" s="80">
        <v>0</v>
      </c>
      <c r="AT159" s="74">
        <v>222.27008201639629</v>
      </c>
      <c r="AU159" s="75">
        <v>327.95732690272689</v>
      </c>
      <c r="AV159" s="75">
        <v>431.46545332868186</v>
      </c>
      <c r="AW159" s="75">
        <v>203.52966334089191</v>
      </c>
      <c r="AX159" s="80">
        <v>1185.222525588697</v>
      </c>
      <c r="AY159" s="81">
        <v>1.1553350852051633E-2</v>
      </c>
      <c r="AZ159" s="83">
        <v>0</v>
      </c>
      <c r="BA159" s="80">
        <v>0</v>
      </c>
      <c r="BB159" s="84">
        <v>3604.4798300017446</v>
      </c>
      <c r="BC159" s="85">
        <v>8.3540404039160077</v>
      </c>
      <c r="BD159" s="86">
        <v>0.33081999999343331</v>
      </c>
      <c r="BE159" s="84">
        <v>3808.0094933426362</v>
      </c>
      <c r="BF159" s="87">
        <v>5.9969114617997494</v>
      </c>
      <c r="BG159" s="88">
        <v>0.34949999999361769</v>
      </c>
      <c r="BH159" s="89">
        <v>0</v>
      </c>
      <c r="BI159" s="90">
        <v>0.60000000000640363</v>
      </c>
      <c r="BJ159" s="90">
        <v>0.1087799999999667</v>
      </c>
      <c r="BK159" s="91">
        <v>0.70878000000637031</v>
      </c>
      <c r="BL159" s="92">
        <v>3173.0143766730625</v>
      </c>
      <c r="BM159" s="95">
        <v>0</v>
      </c>
      <c r="BN159" t="s">
        <v>402</v>
      </c>
      <c r="BO159">
        <v>0.85994999999999999</v>
      </c>
    </row>
    <row r="160" spans="1:67">
      <c r="A160" s="61" t="str">
        <f t="shared" si="2"/>
        <v>UK</v>
      </c>
      <c r="B160" s="62" t="s">
        <v>64</v>
      </c>
      <c r="C160" s="62" t="s">
        <v>176</v>
      </c>
      <c r="D160" s="63" t="s">
        <v>97</v>
      </c>
      <c r="E160" s="64">
        <v>43831</v>
      </c>
      <c r="F160" s="64">
        <v>43921</v>
      </c>
      <c r="G160" s="65">
        <v>43995</v>
      </c>
      <c r="H160" s="66" t="s">
        <v>132</v>
      </c>
      <c r="I160" s="67">
        <v>3</v>
      </c>
      <c r="J160" s="68">
        <v>2020</v>
      </c>
      <c r="K160" s="69">
        <v>1</v>
      </c>
      <c r="L160" s="70">
        <v>3</v>
      </c>
      <c r="M160" s="71" t="s">
        <v>140</v>
      </c>
      <c r="N160" s="71" t="s">
        <v>18</v>
      </c>
      <c r="O160" s="71" t="s">
        <v>114</v>
      </c>
      <c r="P160" s="71" t="s">
        <v>102</v>
      </c>
      <c r="Q160" s="61" t="s">
        <v>474</v>
      </c>
      <c r="R160" s="63" t="s">
        <v>165</v>
      </c>
      <c r="S160" s="72" t="s">
        <v>643</v>
      </c>
      <c r="T160" s="61" t="s">
        <v>405</v>
      </c>
      <c r="U160" s="73" t="s">
        <v>663</v>
      </c>
      <c r="V160" s="62">
        <v>107200</v>
      </c>
      <c r="W160" s="62" t="s">
        <v>556</v>
      </c>
      <c r="X160" s="62" t="s">
        <v>402</v>
      </c>
      <c r="Y160" s="93">
        <v>1</v>
      </c>
      <c r="Z160" s="94">
        <v>1</v>
      </c>
      <c r="AA160" s="74">
        <v>0</v>
      </c>
      <c r="AB160" s="75">
        <v>0</v>
      </c>
      <c r="AC160" s="75">
        <v>0</v>
      </c>
      <c r="AD160" s="76">
        <v>0</v>
      </c>
      <c r="AE160" s="77">
        <v>7.6916666666999998</v>
      </c>
      <c r="AF160" s="75">
        <v>14.483333332999999</v>
      </c>
      <c r="AG160" s="78">
        <v>605.04817935926508</v>
      </c>
      <c r="AH160" s="79">
        <v>726.05781522181519</v>
      </c>
      <c r="AI160" s="74">
        <v>363.02890761090759</v>
      </c>
      <c r="AJ160" s="75">
        <v>0</v>
      </c>
      <c r="AK160" s="75">
        <v>0</v>
      </c>
      <c r="AL160" s="80">
        <v>363.02890761090759</v>
      </c>
      <c r="AM160" s="74">
        <v>0</v>
      </c>
      <c r="AN160" s="74">
        <v>0</v>
      </c>
      <c r="AO160" s="81" t="s">
        <v>403</v>
      </c>
      <c r="AP160" s="82">
        <v>0</v>
      </c>
      <c r="AQ160" s="75">
        <v>0</v>
      </c>
      <c r="AR160" s="75">
        <v>0</v>
      </c>
      <c r="AS160" s="80">
        <v>0</v>
      </c>
      <c r="AT160" s="74">
        <v>12.342982858305716</v>
      </c>
      <c r="AU160" s="75">
        <v>18.211950198267342</v>
      </c>
      <c r="AV160" s="75">
        <v>23.959907902785044</v>
      </c>
      <c r="AW160" s="75">
        <v>11.302299990348276</v>
      </c>
      <c r="AX160" s="80">
        <v>65.817140949706371</v>
      </c>
      <c r="AY160" s="81">
        <v>0</v>
      </c>
      <c r="AZ160" s="83" t="s">
        <v>403</v>
      </c>
      <c r="BA160" s="80" t="s">
        <v>403</v>
      </c>
      <c r="BB160" s="84">
        <v>200.16203870143613</v>
      </c>
      <c r="BC160" s="85">
        <v>8.3540404042275043</v>
      </c>
      <c r="BD160" s="86">
        <v>0.33082000000959272</v>
      </c>
      <c r="BE160" s="84">
        <v>211.46433869178441</v>
      </c>
      <c r="BF160" s="87">
        <v>5.9969114620574642</v>
      </c>
      <c r="BG160" s="88">
        <v>0.34950000000945586</v>
      </c>
      <c r="BH160" s="89">
        <v>0</v>
      </c>
      <c r="BI160" s="90">
        <v>0.59999999999231224</v>
      </c>
      <c r="BJ160" s="90">
        <v>0.10877999999835636</v>
      </c>
      <c r="BK160" s="91">
        <v>0.70877999999066854</v>
      </c>
      <c r="BL160" s="92">
        <v>176.20213079865113</v>
      </c>
      <c r="BM160" s="95">
        <v>0</v>
      </c>
      <c r="BN160" t="s">
        <v>402</v>
      </c>
      <c r="BO160">
        <v>0.85994999999999999</v>
      </c>
    </row>
    <row r="161" spans="1:67">
      <c r="A161" s="61" t="str">
        <f t="shared" si="2"/>
        <v>UK</v>
      </c>
      <c r="B161" s="62" t="s">
        <v>64</v>
      </c>
      <c r="C161" s="62" t="s">
        <v>176</v>
      </c>
      <c r="D161" s="63" t="s">
        <v>97</v>
      </c>
      <c r="E161" s="64">
        <v>43831</v>
      </c>
      <c r="F161" s="64">
        <v>43921</v>
      </c>
      <c r="G161" s="65">
        <v>43995</v>
      </c>
      <c r="H161" s="66" t="s">
        <v>132</v>
      </c>
      <c r="I161" s="67">
        <v>3</v>
      </c>
      <c r="J161" s="68">
        <v>2020</v>
      </c>
      <c r="K161" s="69">
        <v>1</v>
      </c>
      <c r="L161" s="70">
        <v>3</v>
      </c>
      <c r="M161" s="71" t="s">
        <v>140</v>
      </c>
      <c r="N161" s="71" t="s">
        <v>18</v>
      </c>
      <c r="O161" s="71" t="s">
        <v>114</v>
      </c>
      <c r="P161" s="71" t="s">
        <v>102</v>
      </c>
      <c r="Q161" s="61" t="s">
        <v>474</v>
      </c>
      <c r="R161" s="63" t="s">
        <v>106</v>
      </c>
      <c r="S161" s="72" t="s">
        <v>643</v>
      </c>
      <c r="T161" s="61" t="s">
        <v>405</v>
      </c>
      <c r="U161" s="73" t="s">
        <v>664</v>
      </c>
      <c r="V161" s="62">
        <v>107875</v>
      </c>
      <c r="W161" s="62" t="s">
        <v>556</v>
      </c>
      <c r="X161" s="62" t="s">
        <v>402</v>
      </c>
      <c r="Y161" s="93">
        <v>1</v>
      </c>
      <c r="Z161" s="94">
        <v>1</v>
      </c>
      <c r="AA161" s="74">
        <v>963</v>
      </c>
      <c r="AB161" s="75">
        <v>2758</v>
      </c>
      <c r="AC161" s="75">
        <v>41548.7528240014</v>
      </c>
      <c r="AD161" s="76">
        <v>49858.503388569108</v>
      </c>
      <c r="AE161" s="77">
        <v>110.03606310000001</v>
      </c>
      <c r="AF161" s="75">
        <v>254.54551189</v>
      </c>
      <c r="AG161" s="78">
        <v>6372.7396789348213</v>
      </c>
      <c r="AH161" s="79">
        <v>7647.2876146287572</v>
      </c>
      <c r="AI161" s="74">
        <v>3823.6438073143786</v>
      </c>
      <c r="AJ161" s="75">
        <v>0</v>
      </c>
      <c r="AK161" s="75">
        <v>0</v>
      </c>
      <c r="AL161" s="80">
        <v>3823.6438073143786</v>
      </c>
      <c r="AM161" s="74">
        <v>0</v>
      </c>
      <c r="AN161" s="74">
        <v>0</v>
      </c>
      <c r="AO161" s="81" t="s">
        <v>403</v>
      </c>
      <c r="AP161" s="82">
        <v>1</v>
      </c>
      <c r="AQ161" s="75">
        <v>0</v>
      </c>
      <c r="AR161" s="75">
        <v>0</v>
      </c>
      <c r="AS161" s="80">
        <v>0</v>
      </c>
      <c r="AT161" s="74">
        <v>130.00388944706089</v>
      </c>
      <c r="AU161" s="75">
        <v>191.81946432932148</v>
      </c>
      <c r="AV161" s="75">
        <v>252.36049128437702</v>
      </c>
      <c r="AW161" s="75">
        <v>119.04277719634862</v>
      </c>
      <c r="AX161" s="80">
        <v>693.22662225710803</v>
      </c>
      <c r="AY161" s="81">
        <v>3.9285705435346385E-3</v>
      </c>
      <c r="AZ161" s="83">
        <v>0</v>
      </c>
      <c r="BA161" s="80">
        <v>0</v>
      </c>
      <c r="BB161" s="84">
        <v>2108.2297406477119</v>
      </c>
      <c r="BC161" s="85">
        <v>8.354040404335775</v>
      </c>
      <c r="BD161" s="86">
        <v>0.33082000000980649</v>
      </c>
      <c r="BE161" s="84">
        <v>2227.2725178440605</v>
      </c>
      <c r="BF161" s="87">
        <v>5.9969114621823723</v>
      </c>
      <c r="BG161" s="88">
        <v>0.34950000000884085</v>
      </c>
      <c r="BH161" s="89">
        <v>0</v>
      </c>
      <c r="BI161" s="90">
        <v>0.59999999999270104</v>
      </c>
      <c r="BJ161" s="90">
        <v>0.10877999999726619</v>
      </c>
      <c r="BK161" s="91">
        <v>0.70877999998996721</v>
      </c>
      <c r="BL161" s="92">
        <v>1855.8692493633343</v>
      </c>
      <c r="BM161" s="95">
        <v>0</v>
      </c>
      <c r="BN161" t="s">
        <v>402</v>
      </c>
      <c r="BO161">
        <v>0.85994999999999999</v>
      </c>
    </row>
    <row r="162" spans="1:67">
      <c r="A162" s="61" t="str">
        <f t="shared" ref="A162:A225" si="3">B162</f>
        <v>UK</v>
      </c>
      <c r="B162" s="62" t="s">
        <v>64</v>
      </c>
      <c r="C162" s="62" t="s">
        <v>176</v>
      </c>
      <c r="D162" s="63" t="s">
        <v>97</v>
      </c>
      <c r="E162" s="64">
        <v>43831</v>
      </c>
      <c r="F162" s="64">
        <v>43921</v>
      </c>
      <c r="G162" s="65">
        <v>43995</v>
      </c>
      <c r="H162" s="66" t="s">
        <v>132</v>
      </c>
      <c r="I162" s="67">
        <v>3</v>
      </c>
      <c r="J162" s="68">
        <v>2020</v>
      </c>
      <c r="K162" s="69">
        <v>1</v>
      </c>
      <c r="L162" s="70">
        <v>3</v>
      </c>
      <c r="M162" s="71" t="s">
        <v>140</v>
      </c>
      <c r="N162" s="71" t="s">
        <v>18</v>
      </c>
      <c r="O162" s="71" t="s">
        <v>114</v>
      </c>
      <c r="P162" s="71" t="s">
        <v>102</v>
      </c>
      <c r="Q162" s="61" t="s">
        <v>474</v>
      </c>
      <c r="R162" s="63" t="s">
        <v>165</v>
      </c>
      <c r="S162" s="72" t="s">
        <v>643</v>
      </c>
      <c r="T162" s="61" t="s">
        <v>405</v>
      </c>
      <c r="U162" s="73" t="s">
        <v>665</v>
      </c>
      <c r="V162" s="62">
        <v>107216</v>
      </c>
      <c r="W162" s="62" t="s">
        <v>556</v>
      </c>
      <c r="X162" s="62" t="s">
        <v>402</v>
      </c>
      <c r="Y162" s="93">
        <v>1</v>
      </c>
      <c r="Z162" s="94">
        <v>1</v>
      </c>
      <c r="AA162" s="74">
        <v>0</v>
      </c>
      <c r="AB162" s="75">
        <v>0</v>
      </c>
      <c r="AC162" s="75">
        <v>0</v>
      </c>
      <c r="AD162" s="76">
        <v>0</v>
      </c>
      <c r="AE162" s="77">
        <v>6.1335953290000003</v>
      </c>
      <c r="AF162" s="75">
        <v>11.923091174</v>
      </c>
      <c r="AG162" s="78">
        <v>557.5334331530903</v>
      </c>
      <c r="AH162" s="79">
        <v>669.0401197860341</v>
      </c>
      <c r="AI162" s="74">
        <v>334.52005989883133</v>
      </c>
      <c r="AJ162" s="75">
        <v>0</v>
      </c>
      <c r="AK162" s="75">
        <v>0</v>
      </c>
      <c r="AL162" s="80">
        <v>334.52005989883133</v>
      </c>
      <c r="AM162" s="74">
        <v>0</v>
      </c>
      <c r="AN162" s="74">
        <v>0</v>
      </c>
      <c r="AO162" s="81" t="s">
        <v>403</v>
      </c>
      <c r="AP162" s="82">
        <v>0</v>
      </c>
      <c r="AQ162" s="75">
        <v>0</v>
      </c>
      <c r="AR162" s="75">
        <v>0</v>
      </c>
      <c r="AS162" s="80">
        <v>0</v>
      </c>
      <c r="AT162" s="74">
        <v>11.373682036397465</v>
      </c>
      <c r="AU162" s="75">
        <v>16.781756338159195</v>
      </c>
      <c r="AV162" s="75">
        <v>22.07832395255538</v>
      </c>
      <c r="AW162" s="75">
        <v>10.414724531426245</v>
      </c>
      <c r="AX162" s="80">
        <v>60.648486858538284</v>
      </c>
      <c r="AY162" s="81">
        <v>0</v>
      </c>
      <c r="AZ162" s="83" t="s">
        <v>403</v>
      </c>
      <c r="BA162" s="80" t="s">
        <v>403</v>
      </c>
      <c r="BB162" s="84">
        <v>184.44321034827607</v>
      </c>
      <c r="BC162" s="85">
        <v>8.3540404038200702</v>
      </c>
      <c r="BD162" s="86">
        <v>0.33081999998667477</v>
      </c>
      <c r="BE162" s="84">
        <v>194.85793487970233</v>
      </c>
      <c r="BF162" s="87">
        <v>5.996911461716592</v>
      </c>
      <c r="BG162" s="88">
        <v>0.34949999998690173</v>
      </c>
      <c r="BH162" s="89">
        <v>0</v>
      </c>
      <c r="BI162" s="90">
        <v>0.6000000000125143</v>
      </c>
      <c r="BJ162" s="90">
        <v>0.10878000000026029</v>
      </c>
      <c r="BK162" s="91">
        <v>0.70878000001277464</v>
      </c>
      <c r="BL162" s="92">
        <v>162.3648863957207</v>
      </c>
      <c r="BM162" s="95">
        <v>0</v>
      </c>
      <c r="BN162" t="s">
        <v>402</v>
      </c>
      <c r="BO162">
        <v>0.85994999999999999</v>
      </c>
    </row>
    <row r="163" spans="1:67">
      <c r="A163" s="61" t="str">
        <f t="shared" si="3"/>
        <v>UK</v>
      </c>
      <c r="B163" s="62" t="s">
        <v>64</v>
      </c>
      <c r="C163" s="62" t="s">
        <v>176</v>
      </c>
      <c r="D163" s="63" t="s">
        <v>97</v>
      </c>
      <c r="E163" s="64">
        <v>43831</v>
      </c>
      <c r="F163" s="64">
        <v>43921</v>
      </c>
      <c r="G163" s="65">
        <v>43995</v>
      </c>
      <c r="H163" s="66" t="s">
        <v>132</v>
      </c>
      <c r="I163" s="67">
        <v>3</v>
      </c>
      <c r="J163" s="68">
        <v>2020</v>
      </c>
      <c r="K163" s="69">
        <v>1</v>
      </c>
      <c r="L163" s="70">
        <v>3</v>
      </c>
      <c r="M163" s="71" t="s">
        <v>140</v>
      </c>
      <c r="N163" s="71" t="s">
        <v>18</v>
      </c>
      <c r="O163" s="71" t="s">
        <v>114</v>
      </c>
      <c r="P163" s="71" t="s">
        <v>102</v>
      </c>
      <c r="Q163" s="61" t="s">
        <v>474</v>
      </c>
      <c r="R163" s="63" t="s">
        <v>112</v>
      </c>
      <c r="S163" s="72" t="s">
        <v>643</v>
      </c>
      <c r="T163" s="61" t="s">
        <v>405</v>
      </c>
      <c r="U163" s="73" t="s">
        <v>666</v>
      </c>
      <c r="V163" s="62">
        <v>107891</v>
      </c>
      <c r="W163" s="62" t="s">
        <v>556</v>
      </c>
      <c r="X163" s="62" t="s">
        <v>402</v>
      </c>
      <c r="Y163" s="93">
        <v>1</v>
      </c>
      <c r="Z163" s="94">
        <v>1</v>
      </c>
      <c r="AA163" s="74">
        <v>48</v>
      </c>
      <c r="AB163" s="75">
        <v>104</v>
      </c>
      <c r="AC163" s="75">
        <v>5689.5749561020984</v>
      </c>
      <c r="AD163" s="76">
        <v>6827.4899473225196</v>
      </c>
      <c r="AE163" s="77">
        <v>9.8676292523000004</v>
      </c>
      <c r="AF163" s="75">
        <v>19.439936044</v>
      </c>
      <c r="AG163" s="78">
        <v>1131.6049863131577</v>
      </c>
      <c r="AH163" s="79">
        <v>1357.9259836036979</v>
      </c>
      <c r="AI163" s="74">
        <v>678.96299179022037</v>
      </c>
      <c r="AJ163" s="75">
        <v>0</v>
      </c>
      <c r="AK163" s="75">
        <v>0</v>
      </c>
      <c r="AL163" s="80">
        <v>678.96299179022037</v>
      </c>
      <c r="AM163" s="74">
        <v>0</v>
      </c>
      <c r="AN163" s="74">
        <v>0</v>
      </c>
      <c r="AO163" s="81" t="s">
        <v>403</v>
      </c>
      <c r="AP163" s="82">
        <v>1</v>
      </c>
      <c r="AQ163" s="75">
        <v>0</v>
      </c>
      <c r="AR163" s="75">
        <v>0</v>
      </c>
      <c r="AS163" s="80">
        <v>0</v>
      </c>
      <c r="AT163" s="74">
        <v>23.084741721030291</v>
      </c>
      <c r="AU163" s="75">
        <v>34.061310087795803</v>
      </c>
      <c r="AV163" s="75">
        <v>44.811557457991746</v>
      </c>
      <c r="AW163" s="75">
        <v>21.138381144252573</v>
      </c>
      <c r="AX163" s="80">
        <v>123.09599041107042</v>
      </c>
      <c r="AY163" s="81">
        <v>5.1440498453113125E-2</v>
      </c>
      <c r="AZ163" s="83">
        <v>0</v>
      </c>
      <c r="BA163" s="80">
        <v>0</v>
      </c>
      <c r="BB163" s="84">
        <v>374.35756156985872</v>
      </c>
      <c r="BC163" s="85">
        <v>8.3540404039917018</v>
      </c>
      <c r="BD163" s="86">
        <v>0.33081999999800271</v>
      </c>
      <c r="BE163" s="84">
        <v>395.49594271411127</v>
      </c>
      <c r="BF163" s="87">
        <v>5.9969114618804555</v>
      </c>
      <c r="BG163" s="88">
        <v>0.34949999999793446</v>
      </c>
      <c r="BH163" s="89">
        <v>0</v>
      </c>
      <c r="BI163" s="90">
        <v>0.60000000000205522</v>
      </c>
      <c r="BJ163" s="90">
        <v>0.10877999999993383</v>
      </c>
      <c r="BK163" s="91">
        <v>0.70878000000198904</v>
      </c>
      <c r="BL163" s="92">
        <v>329.54600411186698</v>
      </c>
      <c r="BM163" s="95">
        <v>0</v>
      </c>
      <c r="BN163" t="s">
        <v>402</v>
      </c>
      <c r="BO163">
        <v>0.85994999999999999</v>
      </c>
    </row>
    <row r="164" spans="1:67">
      <c r="A164" s="61" t="str">
        <f t="shared" si="3"/>
        <v>UK</v>
      </c>
      <c r="B164" s="62" t="s">
        <v>64</v>
      </c>
      <c r="C164" s="62" t="s">
        <v>176</v>
      </c>
      <c r="D164" s="63" t="s">
        <v>97</v>
      </c>
      <c r="E164" s="64">
        <v>43831</v>
      </c>
      <c r="F164" s="64">
        <v>43921</v>
      </c>
      <c r="G164" s="65">
        <v>43995</v>
      </c>
      <c r="H164" s="66" t="s">
        <v>132</v>
      </c>
      <c r="I164" s="67">
        <v>3</v>
      </c>
      <c r="J164" s="68">
        <v>2020</v>
      </c>
      <c r="K164" s="69">
        <v>1</v>
      </c>
      <c r="L164" s="70">
        <v>3</v>
      </c>
      <c r="M164" s="71" t="s">
        <v>140</v>
      </c>
      <c r="N164" s="71" t="s">
        <v>18</v>
      </c>
      <c r="O164" s="71" t="s">
        <v>114</v>
      </c>
      <c r="P164" s="71" t="s">
        <v>102</v>
      </c>
      <c r="Q164" s="61" t="s">
        <v>474</v>
      </c>
      <c r="R164" s="63" t="s">
        <v>165</v>
      </c>
      <c r="S164" s="72" t="s">
        <v>643</v>
      </c>
      <c r="T164" s="61" t="s">
        <v>405</v>
      </c>
      <c r="U164" s="73" t="s">
        <v>667</v>
      </c>
      <c r="V164" s="62">
        <v>107201</v>
      </c>
      <c r="W164" s="62" t="s">
        <v>556</v>
      </c>
      <c r="X164" s="62" t="s">
        <v>402</v>
      </c>
      <c r="Y164" s="93">
        <v>1</v>
      </c>
      <c r="Z164" s="94">
        <v>1</v>
      </c>
      <c r="AA164" s="74">
        <v>0</v>
      </c>
      <c r="AB164" s="75">
        <v>0</v>
      </c>
      <c r="AC164" s="75">
        <v>0</v>
      </c>
      <c r="AD164" s="76">
        <v>0</v>
      </c>
      <c r="AE164" s="77">
        <v>3.1665229885000001</v>
      </c>
      <c r="AF164" s="75">
        <v>5.0747126436999999</v>
      </c>
      <c r="AG164" s="78">
        <v>121.96989818012675</v>
      </c>
      <c r="AH164" s="79">
        <v>146.36387780684925</v>
      </c>
      <c r="AI164" s="74">
        <v>73.181938905750343</v>
      </c>
      <c r="AJ164" s="75">
        <v>0</v>
      </c>
      <c r="AK164" s="75">
        <v>0</v>
      </c>
      <c r="AL164" s="80">
        <v>73.181938905750343</v>
      </c>
      <c r="AM164" s="74">
        <v>0</v>
      </c>
      <c r="AN164" s="74">
        <v>0</v>
      </c>
      <c r="AO164" s="81" t="s">
        <v>403</v>
      </c>
      <c r="AP164" s="82">
        <v>0</v>
      </c>
      <c r="AQ164" s="75">
        <v>0</v>
      </c>
      <c r="AR164" s="75">
        <v>0</v>
      </c>
      <c r="AS164" s="80">
        <v>0</v>
      </c>
      <c r="AT164" s="74">
        <v>2.4881859227862084</v>
      </c>
      <c r="AU164" s="75">
        <v>3.6712939351125065</v>
      </c>
      <c r="AV164" s="75">
        <v>4.8300079677888252</v>
      </c>
      <c r="AW164" s="75">
        <v>2.278397697889412</v>
      </c>
      <c r="AX164" s="80">
        <v>13.267885523576952</v>
      </c>
      <c r="AY164" s="81">
        <v>0</v>
      </c>
      <c r="AZ164" s="83" t="s">
        <v>403</v>
      </c>
      <c r="BA164" s="80" t="s">
        <v>403</v>
      </c>
      <c r="BB164" s="84">
        <v>40.350081718588271</v>
      </c>
      <c r="BC164" s="85">
        <v>8.354040404836125</v>
      </c>
      <c r="BD164" s="86">
        <v>0.33082000002163436</v>
      </c>
      <c r="BE164" s="84">
        <v>42.628479416477688</v>
      </c>
      <c r="BF164" s="87">
        <v>5.9969114624819824</v>
      </c>
      <c r="BG164" s="88">
        <v>0.34950000002068865</v>
      </c>
      <c r="BH164" s="89">
        <v>0</v>
      </c>
      <c r="BI164" s="90">
        <v>0.59999999998093212</v>
      </c>
      <c r="BJ164" s="90">
        <v>0.10877999999625124</v>
      </c>
      <c r="BK164" s="91">
        <v>0.70877999997718333</v>
      </c>
      <c r="BL164" s="92">
        <v>35.520073750799455</v>
      </c>
      <c r="BM164" s="95">
        <v>0</v>
      </c>
      <c r="BN164" t="s">
        <v>402</v>
      </c>
      <c r="BO164">
        <v>0.85994999999999999</v>
      </c>
    </row>
    <row r="165" spans="1:67">
      <c r="A165" s="61" t="str">
        <f t="shared" si="3"/>
        <v>UK</v>
      </c>
      <c r="B165" s="62" t="s">
        <v>64</v>
      </c>
      <c r="C165" s="62" t="s">
        <v>176</v>
      </c>
      <c r="D165" s="63" t="s">
        <v>97</v>
      </c>
      <c r="E165" s="64">
        <v>43831</v>
      </c>
      <c r="F165" s="64">
        <v>43921</v>
      </c>
      <c r="G165" s="65">
        <v>43995</v>
      </c>
      <c r="H165" s="66" t="s">
        <v>132</v>
      </c>
      <c r="I165" s="67">
        <v>3</v>
      </c>
      <c r="J165" s="68">
        <v>2020</v>
      </c>
      <c r="K165" s="69">
        <v>1</v>
      </c>
      <c r="L165" s="70">
        <v>3</v>
      </c>
      <c r="M165" s="71" t="s">
        <v>140</v>
      </c>
      <c r="N165" s="71" t="s">
        <v>18</v>
      </c>
      <c r="O165" s="71" t="s">
        <v>114</v>
      </c>
      <c r="P165" s="71" t="s">
        <v>102</v>
      </c>
      <c r="Q165" s="61" t="s">
        <v>474</v>
      </c>
      <c r="R165" s="63" t="s">
        <v>106</v>
      </c>
      <c r="S165" s="72" t="s">
        <v>643</v>
      </c>
      <c r="T165" s="61" t="s">
        <v>405</v>
      </c>
      <c r="U165" s="73" t="s">
        <v>668</v>
      </c>
      <c r="V165" s="62">
        <v>107876</v>
      </c>
      <c r="W165" s="62" t="s">
        <v>556</v>
      </c>
      <c r="X165" s="62" t="s">
        <v>402</v>
      </c>
      <c r="Y165" s="93">
        <v>1</v>
      </c>
      <c r="Z165" s="94">
        <v>1</v>
      </c>
      <c r="AA165" s="74">
        <v>1924</v>
      </c>
      <c r="AB165" s="75">
        <v>5279</v>
      </c>
      <c r="AC165" s="75">
        <v>54316.210107564395</v>
      </c>
      <c r="AD165" s="76">
        <v>65179.452129774989</v>
      </c>
      <c r="AE165" s="77">
        <v>269.95099146000001</v>
      </c>
      <c r="AF165" s="75">
        <v>543.57375804000003</v>
      </c>
      <c r="AG165" s="78">
        <v>9563.708467120181</v>
      </c>
      <c r="AH165" s="79">
        <v>11476.450160590732</v>
      </c>
      <c r="AI165" s="74">
        <v>5738.2250802953658</v>
      </c>
      <c r="AJ165" s="75">
        <v>0</v>
      </c>
      <c r="AK165" s="75">
        <v>0</v>
      </c>
      <c r="AL165" s="80">
        <v>5738.2250802953658</v>
      </c>
      <c r="AM165" s="74">
        <v>2</v>
      </c>
      <c r="AN165" s="74">
        <v>0</v>
      </c>
      <c r="AO165" s="81">
        <v>0</v>
      </c>
      <c r="AP165" s="82">
        <v>13</v>
      </c>
      <c r="AQ165" s="75">
        <v>1360.5442176870749</v>
      </c>
      <c r="AR165" s="75">
        <v>3651.0727253910113</v>
      </c>
      <c r="AS165" s="80">
        <v>5011.6169430780865</v>
      </c>
      <c r="AT165" s="74">
        <v>195.0996527239956</v>
      </c>
      <c r="AU165" s="75">
        <v>287.86762486191054</v>
      </c>
      <c r="AV165" s="75">
        <v>378.72285529391246</v>
      </c>
      <c r="AW165" s="75">
        <v>178.65007416710273</v>
      </c>
      <c r="AX165" s="80">
        <v>1040.3402070469213</v>
      </c>
      <c r="AY165" s="81">
        <v>2.391579764055381E-2</v>
      </c>
      <c r="AZ165" s="83">
        <v>385.50899562139125</v>
      </c>
      <c r="BA165" s="80">
        <v>9.2197551278943379</v>
      </c>
      <c r="BB165" s="84">
        <v>-1847.7509080062791</v>
      </c>
      <c r="BC165" s="85">
        <v>-4.878899918971908</v>
      </c>
      <c r="BD165" s="86">
        <v>-0.19320443678922314</v>
      </c>
      <c r="BE165" s="84">
        <v>-1669.1008338391766</v>
      </c>
      <c r="BF165" s="87">
        <v>-2.9945853944740599</v>
      </c>
      <c r="BG165" s="88">
        <v>-0.17452443678908747</v>
      </c>
      <c r="BH165" s="89">
        <v>0.52402443678703869</v>
      </c>
      <c r="BI165" s="90">
        <v>0.60000000000243181</v>
      </c>
      <c r="BJ165" s="90">
        <v>0.10877999999932954</v>
      </c>
      <c r="BK165" s="91">
        <v>1.2328044367888</v>
      </c>
      <c r="BL165" s="92">
        <v>-2226.4737633001932</v>
      </c>
      <c r="BM165" s="95">
        <v>0</v>
      </c>
      <c r="BN165" t="s">
        <v>402</v>
      </c>
      <c r="BO165">
        <v>0.85994999999999999</v>
      </c>
    </row>
    <row r="166" spans="1:67">
      <c r="A166" s="61" t="str">
        <f t="shared" si="3"/>
        <v>UK</v>
      </c>
      <c r="B166" s="62" t="s">
        <v>64</v>
      </c>
      <c r="C166" s="62" t="s">
        <v>176</v>
      </c>
      <c r="D166" s="63" t="s">
        <v>97</v>
      </c>
      <c r="E166" s="64">
        <v>43831</v>
      </c>
      <c r="F166" s="64">
        <v>43921</v>
      </c>
      <c r="G166" s="65">
        <v>43995</v>
      </c>
      <c r="H166" s="66" t="s">
        <v>132</v>
      </c>
      <c r="I166" s="67">
        <v>3</v>
      </c>
      <c r="J166" s="68">
        <v>2020</v>
      </c>
      <c r="K166" s="69">
        <v>1</v>
      </c>
      <c r="L166" s="70">
        <v>3</v>
      </c>
      <c r="M166" s="71" t="s">
        <v>140</v>
      </c>
      <c r="N166" s="71" t="s">
        <v>18</v>
      </c>
      <c r="O166" s="71" t="s">
        <v>114</v>
      </c>
      <c r="P166" s="71" t="s">
        <v>102</v>
      </c>
      <c r="Q166" s="61" t="s">
        <v>474</v>
      </c>
      <c r="R166" s="63" t="s">
        <v>165</v>
      </c>
      <c r="S166" s="72" t="s">
        <v>643</v>
      </c>
      <c r="T166" s="61" t="s">
        <v>405</v>
      </c>
      <c r="U166" s="73" t="s">
        <v>669</v>
      </c>
      <c r="V166" s="62">
        <v>107218</v>
      </c>
      <c r="W166" s="62" t="s">
        <v>556</v>
      </c>
      <c r="X166" s="62" t="s">
        <v>402</v>
      </c>
      <c r="Y166" s="93">
        <v>1</v>
      </c>
      <c r="Z166" s="94">
        <v>1</v>
      </c>
      <c r="AA166" s="74">
        <v>0</v>
      </c>
      <c r="AB166" s="75">
        <v>0</v>
      </c>
      <c r="AC166" s="75">
        <v>0</v>
      </c>
      <c r="AD166" s="76">
        <v>0</v>
      </c>
      <c r="AE166" s="77">
        <v>34.326998652999997</v>
      </c>
      <c r="AF166" s="75">
        <v>65.347496070000005</v>
      </c>
      <c r="AG166" s="78">
        <v>5889.3477155648588</v>
      </c>
      <c r="AH166" s="79">
        <v>7067.2172586778297</v>
      </c>
      <c r="AI166" s="74">
        <v>3533.6086293389149</v>
      </c>
      <c r="AJ166" s="75">
        <v>0</v>
      </c>
      <c r="AK166" s="75">
        <v>0</v>
      </c>
      <c r="AL166" s="80">
        <v>3533.6086293389149</v>
      </c>
      <c r="AM166" s="74">
        <v>0</v>
      </c>
      <c r="AN166" s="74">
        <v>0</v>
      </c>
      <c r="AO166" s="81" t="s">
        <v>403</v>
      </c>
      <c r="AP166" s="82">
        <v>0</v>
      </c>
      <c r="AQ166" s="75">
        <v>0</v>
      </c>
      <c r="AR166" s="75">
        <v>0</v>
      </c>
      <c r="AS166" s="80">
        <v>0</v>
      </c>
      <c r="AT166" s="74">
        <v>120.14269340077911</v>
      </c>
      <c r="AU166" s="75">
        <v>177.26936624222338</v>
      </c>
      <c r="AV166" s="75">
        <v>233.21816953311242</v>
      </c>
      <c r="AW166" s="75">
        <v>110.01301532647247</v>
      </c>
      <c r="AX166" s="80">
        <v>640.64324450258732</v>
      </c>
      <c r="AY166" s="81">
        <v>0</v>
      </c>
      <c r="AZ166" s="83" t="s">
        <v>403</v>
      </c>
      <c r="BA166" s="80" t="s">
        <v>403</v>
      </c>
      <c r="BB166" s="84">
        <v>1948.3140112564688</v>
      </c>
      <c r="BC166" s="85">
        <v>8.3540404041283178</v>
      </c>
      <c r="BD166" s="86">
        <v>0.33081999999886275</v>
      </c>
      <c r="BE166" s="84">
        <v>2058.3270265829415</v>
      </c>
      <c r="BF166" s="87">
        <v>5.9969114619494679</v>
      </c>
      <c r="BG166" s="88">
        <v>0.34949999999881537</v>
      </c>
      <c r="BH166" s="89">
        <v>0</v>
      </c>
      <c r="BI166" s="90">
        <v>0.6</v>
      </c>
      <c r="BJ166" s="90">
        <v>0.10878000000058444</v>
      </c>
      <c r="BK166" s="91">
        <v>0.70878000000058439</v>
      </c>
      <c r="BL166" s="92">
        <v>1715.0958417233569</v>
      </c>
      <c r="BM166" s="95">
        <v>0</v>
      </c>
      <c r="BN166" t="s">
        <v>402</v>
      </c>
      <c r="BO166">
        <v>0.85994999999999999</v>
      </c>
    </row>
    <row r="167" spans="1:67">
      <c r="A167" s="61" t="str">
        <f t="shared" si="3"/>
        <v>UK</v>
      </c>
      <c r="B167" s="62" t="s">
        <v>64</v>
      </c>
      <c r="C167" s="62" t="s">
        <v>176</v>
      </c>
      <c r="D167" s="63" t="s">
        <v>97</v>
      </c>
      <c r="E167" s="64">
        <v>43831</v>
      </c>
      <c r="F167" s="64">
        <v>43921</v>
      </c>
      <c r="G167" s="65">
        <v>43995</v>
      </c>
      <c r="H167" s="66" t="s">
        <v>132</v>
      </c>
      <c r="I167" s="67">
        <v>3</v>
      </c>
      <c r="J167" s="68">
        <v>2020</v>
      </c>
      <c r="K167" s="69">
        <v>1</v>
      </c>
      <c r="L167" s="70">
        <v>3</v>
      </c>
      <c r="M167" s="71" t="s">
        <v>140</v>
      </c>
      <c r="N167" s="71" t="s">
        <v>18</v>
      </c>
      <c r="O167" s="71" t="s">
        <v>114</v>
      </c>
      <c r="P167" s="71" t="s">
        <v>102</v>
      </c>
      <c r="Q167" s="61" t="s">
        <v>474</v>
      </c>
      <c r="R167" s="63" t="s">
        <v>112</v>
      </c>
      <c r="S167" s="72" t="s">
        <v>643</v>
      </c>
      <c r="T167" s="61" t="s">
        <v>405</v>
      </c>
      <c r="U167" s="73" t="s">
        <v>670</v>
      </c>
      <c r="V167" s="62">
        <v>107893</v>
      </c>
      <c r="W167" s="62" t="s">
        <v>556</v>
      </c>
      <c r="X167" s="62" t="s">
        <v>402</v>
      </c>
      <c r="Y167" s="93">
        <v>1</v>
      </c>
      <c r="Z167" s="94">
        <v>1</v>
      </c>
      <c r="AA167" s="74">
        <v>127</v>
      </c>
      <c r="AB167" s="75">
        <v>273</v>
      </c>
      <c r="AC167" s="75">
        <v>31698.490216873073</v>
      </c>
      <c r="AD167" s="76">
        <v>38038.188260945404</v>
      </c>
      <c r="AE167" s="77">
        <v>32.536022549999998</v>
      </c>
      <c r="AF167" s="75">
        <v>63.553309863999999</v>
      </c>
      <c r="AG167" s="78">
        <v>8391.865399267399</v>
      </c>
      <c r="AH167" s="79">
        <v>10070.238479213907</v>
      </c>
      <c r="AI167" s="74">
        <v>5035.1192396069537</v>
      </c>
      <c r="AJ167" s="75">
        <v>0</v>
      </c>
      <c r="AK167" s="75">
        <v>0</v>
      </c>
      <c r="AL167" s="80">
        <v>5035.1192396069537</v>
      </c>
      <c r="AM167" s="74">
        <v>1</v>
      </c>
      <c r="AN167" s="74">
        <v>0</v>
      </c>
      <c r="AO167" s="81">
        <v>0</v>
      </c>
      <c r="AP167" s="82">
        <v>4</v>
      </c>
      <c r="AQ167" s="75">
        <v>6034.0603923483923</v>
      </c>
      <c r="AR167" s="75">
        <v>6034.0603923483923</v>
      </c>
      <c r="AS167" s="80">
        <v>12068.120784696785</v>
      </c>
      <c r="AT167" s="74">
        <v>171.19405414268272</v>
      </c>
      <c r="AU167" s="75">
        <v>252.59514852026282</v>
      </c>
      <c r="AV167" s="75">
        <v>332.3178698180127</v>
      </c>
      <c r="AW167" s="75">
        <v>156.76004565381709</v>
      </c>
      <c r="AX167" s="80">
        <v>912.8671181347753</v>
      </c>
      <c r="AY167" s="81">
        <v>6.2939286853190543E-2</v>
      </c>
      <c r="AZ167" s="83">
        <v>3017.0301961741961</v>
      </c>
      <c r="BA167" s="80">
        <v>189.88972896174548</v>
      </c>
      <c r="BB167" s="84">
        <v>-9291.9238733531001</v>
      </c>
      <c r="BC167" s="85">
        <v>-27.960951598665574</v>
      </c>
      <c r="BD167" s="86">
        <v>-1.1072536833305591</v>
      </c>
      <c r="BE167" s="84">
        <v>-9135.1638276992835</v>
      </c>
      <c r="BF167" s="87">
        <v>-18.678340482592198</v>
      </c>
      <c r="BG167" s="88">
        <v>-1.0885736833310951</v>
      </c>
      <c r="BH167" s="89">
        <v>1.4380736833255594</v>
      </c>
      <c r="BI167" s="90">
        <v>0.60000000000554277</v>
      </c>
      <c r="BJ167" s="90">
        <v>0.10878000000029404</v>
      </c>
      <c r="BK167" s="91">
        <v>2.146853683331396</v>
      </c>
      <c r="BL167" s="92">
        <v>-9624.2417431711128</v>
      </c>
      <c r="BM167" s="95">
        <v>0</v>
      </c>
      <c r="BN167" t="s">
        <v>402</v>
      </c>
      <c r="BO167">
        <v>0.85994999999999999</v>
      </c>
    </row>
    <row r="168" spans="1:67">
      <c r="A168" s="61" t="str">
        <f t="shared" si="3"/>
        <v>UK</v>
      </c>
      <c r="B168" s="62" t="s">
        <v>64</v>
      </c>
      <c r="C168" s="62" t="s">
        <v>176</v>
      </c>
      <c r="D168" s="63" t="s">
        <v>97</v>
      </c>
      <c r="E168" s="64">
        <v>43831</v>
      </c>
      <c r="F168" s="64">
        <v>43921</v>
      </c>
      <c r="G168" s="65">
        <v>43995</v>
      </c>
      <c r="H168" s="66" t="s">
        <v>132</v>
      </c>
      <c r="I168" s="67">
        <v>3</v>
      </c>
      <c r="J168" s="68">
        <v>2020</v>
      </c>
      <c r="K168" s="69">
        <v>1</v>
      </c>
      <c r="L168" s="70">
        <v>3</v>
      </c>
      <c r="M168" s="71" t="s">
        <v>140</v>
      </c>
      <c r="N168" s="71" t="s">
        <v>18</v>
      </c>
      <c r="O168" s="71" t="s">
        <v>114</v>
      </c>
      <c r="P168" s="71" t="s">
        <v>102</v>
      </c>
      <c r="Q168" s="61" t="s">
        <v>474</v>
      </c>
      <c r="R168" s="63" t="s">
        <v>165</v>
      </c>
      <c r="S168" s="72" t="s">
        <v>643</v>
      </c>
      <c r="T168" s="61" t="s">
        <v>405</v>
      </c>
      <c r="U168" s="73" t="s">
        <v>671</v>
      </c>
      <c r="V168" s="62">
        <v>107203</v>
      </c>
      <c r="W168" s="62" t="s">
        <v>556</v>
      </c>
      <c r="X168" s="62" t="s">
        <v>402</v>
      </c>
      <c r="Y168" s="93">
        <v>1</v>
      </c>
      <c r="Z168" s="94">
        <v>1</v>
      </c>
      <c r="AA168" s="74">
        <v>0</v>
      </c>
      <c r="AB168" s="75">
        <v>0</v>
      </c>
      <c r="AC168" s="75">
        <v>0</v>
      </c>
      <c r="AD168" s="76">
        <v>0</v>
      </c>
      <c r="AE168" s="77">
        <v>3.7964285713999999</v>
      </c>
      <c r="AF168" s="75">
        <v>7.5928571428999998</v>
      </c>
      <c r="AG168" s="78">
        <v>439.40427470201757</v>
      </c>
      <c r="AH168" s="79">
        <v>527.28512963544392</v>
      </c>
      <c r="AI168" s="74">
        <v>263.64256482353625</v>
      </c>
      <c r="AJ168" s="75">
        <v>0</v>
      </c>
      <c r="AK168" s="75">
        <v>0</v>
      </c>
      <c r="AL168" s="80">
        <v>263.64256482353625</v>
      </c>
      <c r="AM168" s="74">
        <v>0</v>
      </c>
      <c r="AN168" s="74">
        <v>0</v>
      </c>
      <c r="AO168" s="81" t="s">
        <v>403</v>
      </c>
      <c r="AP168" s="82">
        <v>0</v>
      </c>
      <c r="AQ168" s="75">
        <v>0</v>
      </c>
      <c r="AR168" s="75">
        <v>0</v>
      </c>
      <c r="AS168" s="80">
        <v>0</v>
      </c>
      <c r="AT168" s="74">
        <v>8.9638472039072035</v>
      </c>
      <c r="AU168" s="75">
        <v>13.22606866794581</v>
      </c>
      <c r="AV168" s="75">
        <v>17.400409278446421</v>
      </c>
      <c r="AW168" s="75">
        <v>8.208071851386709</v>
      </c>
      <c r="AX168" s="80">
        <v>47.798397001686141</v>
      </c>
      <c r="AY168" s="81">
        <v>0</v>
      </c>
      <c r="AZ168" s="83" t="s">
        <v>403</v>
      </c>
      <c r="BA168" s="80" t="s">
        <v>403</v>
      </c>
      <c r="BB168" s="84">
        <v>145.36372215524159</v>
      </c>
      <c r="BC168" s="85">
        <v>8.3540404038255041</v>
      </c>
      <c r="BD168" s="86">
        <v>0.33081999999617695</v>
      </c>
      <c r="BE168" s="84">
        <v>153.57179400662829</v>
      </c>
      <c r="BF168" s="87">
        <v>5.9969114617938688</v>
      </c>
      <c r="BG168" s="88">
        <v>0.34949999999607001</v>
      </c>
      <c r="BH168" s="89">
        <v>0</v>
      </c>
      <c r="BI168" s="90">
        <v>0.60000000000529286</v>
      </c>
      <c r="BJ168" s="90">
        <v>0.1087799999990912</v>
      </c>
      <c r="BK168" s="91">
        <v>0.70878000000438401</v>
      </c>
      <c r="BL168" s="92">
        <v>127.96331287679516</v>
      </c>
      <c r="BM168" s="95">
        <v>0</v>
      </c>
      <c r="BN168" t="s">
        <v>402</v>
      </c>
      <c r="BO168">
        <v>0.85994999999999999</v>
      </c>
    </row>
    <row r="169" spans="1:67">
      <c r="A169" s="61" t="str">
        <f t="shared" si="3"/>
        <v>UK</v>
      </c>
      <c r="B169" s="62" t="s">
        <v>64</v>
      </c>
      <c r="C169" s="62" t="s">
        <v>176</v>
      </c>
      <c r="D169" s="63" t="s">
        <v>97</v>
      </c>
      <c r="E169" s="64">
        <v>43831</v>
      </c>
      <c r="F169" s="64">
        <v>43921</v>
      </c>
      <c r="G169" s="65">
        <v>43995</v>
      </c>
      <c r="H169" s="66" t="s">
        <v>132</v>
      </c>
      <c r="I169" s="67">
        <v>3</v>
      </c>
      <c r="J169" s="68">
        <v>2020</v>
      </c>
      <c r="K169" s="69">
        <v>1</v>
      </c>
      <c r="L169" s="70">
        <v>3</v>
      </c>
      <c r="M169" s="71" t="s">
        <v>140</v>
      </c>
      <c r="N169" s="71" t="s">
        <v>18</v>
      </c>
      <c r="O169" s="71" t="s">
        <v>114</v>
      </c>
      <c r="P169" s="71" t="s">
        <v>102</v>
      </c>
      <c r="Q169" s="61" t="s">
        <v>474</v>
      </c>
      <c r="R169" s="63" t="s">
        <v>106</v>
      </c>
      <c r="S169" s="72" t="s">
        <v>643</v>
      </c>
      <c r="T169" s="61" t="s">
        <v>405</v>
      </c>
      <c r="U169" s="73" t="s">
        <v>672</v>
      </c>
      <c r="V169" s="62">
        <v>107878</v>
      </c>
      <c r="W169" s="62" t="s">
        <v>556</v>
      </c>
      <c r="X169" s="62" t="s">
        <v>402</v>
      </c>
      <c r="Y169" s="93">
        <v>1</v>
      </c>
      <c r="Z169" s="94">
        <v>1</v>
      </c>
      <c r="AA169" s="74">
        <v>810</v>
      </c>
      <c r="AB169" s="75">
        <v>2204</v>
      </c>
      <c r="AC169" s="75">
        <v>44026.115884644452</v>
      </c>
      <c r="AD169" s="76">
        <v>52831.339061573344</v>
      </c>
      <c r="AE169" s="77">
        <v>169.97789614000001</v>
      </c>
      <c r="AF169" s="75">
        <v>330.08079960999999</v>
      </c>
      <c r="AG169" s="78">
        <v>10949.125464038607</v>
      </c>
      <c r="AH169" s="79">
        <v>13138.950556427699</v>
      </c>
      <c r="AI169" s="74">
        <v>6569.4752784464208</v>
      </c>
      <c r="AJ169" s="75">
        <v>0</v>
      </c>
      <c r="AK169" s="75">
        <v>0</v>
      </c>
      <c r="AL169" s="80">
        <v>6569.4752784464208</v>
      </c>
      <c r="AM169" s="74">
        <v>4</v>
      </c>
      <c r="AN169" s="74">
        <v>1</v>
      </c>
      <c r="AO169" s="81">
        <v>0.25</v>
      </c>
      <c r="AP169" s="82">
        <v>16</v>
      </c>
      <c r="AQ169" s="75">
        <v>2670.6668452817025</v>
      </c>
      <c r="AR169" s="75">
        <v>7602.2789737775447</v>
      </c>
      <c r="AS169" s="80">
        <v>10272.945819059247</v>
      </c>
      <c r="AT169" s="74">
        <v>223.36215946275945</v>
      </c>
      <c r="AU169" s="75">
        <v>329.56867646956221</v>
      </c>
      <c r="AV169" s="75">
        <v>433.58536838188263</v>
      </c>
      <c r="AW169" s="75">
        <v>204.52966366649224</v>
      </c>
      <c r="AX169" s="80">
        <v>1191.0458679806966</v>
      </c>
      <c r="AY169" s="81">
        <v>4.8472980006424075E-2</v>
      </c>
      <c r="AZ169" s="83">
        <v>642.05911369120292</v>
      </c>
      <c r="BA169" s="80">
        <v>31.122518580896042</v>
      </c>
      <c r="BB169" s="84">
        <v>-6650.7561330658755</v>
      </c>
      <c r="BC169" s="85">
        <v>-15.33897732270381</v>
      </c>
      <c r="BD169" s="86">
        <v>-0.6074235019874118</v>
      </c>
      <c r="BE169" s="84">
        <v>-6446.226469399382</v>
      </c>
      <c r="BF169" s="87">
        <v>-10.101981845979614</v>
      </c>
      <c r="BG169" s="88">
        <v>-0.58874350198757142</v>
      </c>
      <c r="BH169" s="89">
        <v>0.93824350198559603</v>
      </c>
      <c r="BI169" s="90">
        <v>0.60000000000212406</v>
      </c>
      <c r="BJ169" s="90">
        <v>0.10878000000023536</v>
      </c>
      <c r="BK169" s="91">
        <v>1.6470235019879556</v>
      </c>
      <c r="BL169" s="92">
        <v>-7084.3415014477578</v>
      </c>
      <c r="BM169" s="95">
        <v>0</v>
      </c>
      <c r="BN169" t="s">
        <v>402</v>
      </c>
      <c r="BO169">
        <v>0.85994999999999999</v>
      </c>
    </row>
    <row r="170" spans="1:67">
      <c r="A170" s="61" t="str">
        <f t="shared" si="3"/>
        <v>UK</v>
      </c>
      <c r="B170" s="62" t="s">
        <v>64</v>
      </c>
      <c r="C170" s="62" t="s">
        <v>176</v>
      </c>
      <c r="D170" s="63" t="s">
        <v>97</v>
      </c>
      <c r="E170" s="64">
        <v>43831</v>
      </c>
      <c r="F170" s="64">
        <v>43921</v>
      </c>
      <c r="G170" s="65">
        <v>43995</v>
      </c>
      <c r="H170" s="66" t="s">
        <v>132</v>
      </c>
      <c r="I170" s="67">
        <v>3</v>
      </c>
      <c r="J170" s="68">
        <v>2020</v>
      </c>
      <c r="K170" s="69">
        <v>1</v>
      </c>
      <c r="L170" s="70">
        <v>3</v>
      </c>
      <c r="M170" s="71" t="s">
        <v>140</v>
      </c>
      <c r="N170" s="71" t="s">
        <v>18</v>
      </c>
      <c r="O170" s="71" t="s">
        <v>114</v>
      </c>
      <c r="P170" s="71" t="s">
        <v>102</v>
      </c>
      <c r="Q170" s="61" t="s">
        <v>474</v>
      </c>
      <c r="R170" s="63" t="s">
        <v>165</v>
      </c>
      <c r="S170" s="72" t="s">
        <v>643</v>
      </c>
      <c r="T170" s="61" t="s">
        <v>405</v>
      </c>
      <c r="U170" s="73" t="s">
        <v>673</v>
      </c>
      <c r="V170" s="62">
        <v>107219</v>
      </c>
      <c r="W170" s="62" t="s">
        <v>556</v>
      </c>
      <c r="X170" s="62" t="s">
        <v>402</v>
      </c>
      <c r="Y170" s="93">
        <v>1</v>
      </c>
      <c r="Z170" s="94">
        <v>1</v>
      </c>
      <c r="AA170" s="74">
        <v>0</v>
      </c>
      <c r="AB170" s="75">
        <v>0</v>
      </c>
      <c r="AC170" s="75">
        <v>0</v>
      </c>
      <c r="AD170" s="76">
        <v>0</v>
      </c>
      <c r="AE170" s="77">
        <v>49.781680889</v>
      </c>
      <c r="AF170" s="75">
        <v>98.580187514000002</v>
      </c>
      <c r="AG170" s="78">
        <v>5224.3907400430262</v>
      </c>
      <c r="AH170" s="79">
        <v>6269.2688880748883</v>
      </c>
      <c r="AI170" s="74">
        <v>3134.6344440955872</v>
      </c>
      <c r="AJ170" s="75">
        <v>0</v>
      </c>
      <c r="AK170" s="75">
        <v>0</v>
      </c>
      <c r="AL170" s="80">
        <v>3134.6344440955872</v>
      </c>
      <c r="AM170" s="74">
        <v>0</v>
      </c>
      <c r="AN170" s="74">
        <v>0</v>
      </c>
      <c r="AO170" s="81" t="s">
        <v>403</v>
      </c>
      <c r="AP170" s="82">
        <v>0</v>
      </c>
      <c r="AQ170" s="75">
        <v>0</v>
      </c>
      <c r="AR170" s="75">
        <v>0</v>
      </c>
      <c r="AS170" s="80">
        <v>0</v>
      </c>
      <c r="AT170" s="74">
        <v>106.57757109831967</v>
      </c>
      <c r="AU170" s="75">
        <v>157.25416127681842</v>
      </c>
      <c r="AV170" s="75">
        <v>206.8858733065876</v>
      </c>
      <c r="AW170" s="75">
        <v>97.591619024361876</v>
      </c>
      <c r="AX170" s="80">
        <v>568.30922470608755</v>
      </c>
      <c r="AY170" s="81">
        <v>0</v>
      </c>
      <c r="AZ170" s="83" t="s">
        <v>403</v>
      </c>
      <c r="BA170" s="80" t="s">
        <v>403</v>
      </c>
      <c r="BB170" s="84">
        <v>1728.332944547939</v>
      </c>
      <c r="BC170" s="85">
        <v>8.3540404036514069</v>
      </c>
      <c r="BD170" s="86">
        <v>0.33081999998600892</v>
      </c>
      <c r="BE170" s="84">
        <v>1825.9245635723009</v>
      </c>
      <c r="BF170" s="87">
        <v>5.9969114616446797</v>
      </c>
      <c r="BG170" s="88">
        <v>0.34949999998607745</v>
      </c>
      <c r="BH170" s="89">
        <v>0</v>
      </c>
      <c r="BI170" s="90">
        <v>0.60000000001335496</v>
      </c>
      <c r="BJ170" s="90">
        <v>0.10878000000080529</v>
      </c>
      <c r="BK170" s="91">
        <v>0.70878000001416019</v>
      </c>
      <c r="BL170" s="92">
        <v>1521.4470712413513</v>
      </c>
      <c r="BM170" s="95">
        <v>0</v>
      </c>
      <c r="BN170" t="s">
        <v>402</v>
      </c>
      <c r="BO170">
        <v>0.85994999999999999</v>
      </c>
    </row>
    <row r="171" spans="1:67">
      <c r="A171" s="61" t="str">
        <f t="shared" si="3"/>
        <v>UK</v>
      </c>
      <c r="B171" s="62" t="s">
        <v>64</v>
      </c>
      <c r="C171" s="62" t="s">
        <v>176</v>
      </c>
      <c r="D171" s="63" t="s">
        <v>97</v>
      </c>
      <c r="E171" s="64">
        <v>43831</v>
      </c>
      <c r="F171" s="64">
        <v>43921</v>
      </c>
      <c r="G171" s="65">
        <v>43995</v>
      </c>
      <c r="H171" s="66" t="s">
        <v>132</v>
      </c>
      <c r="I171" s="67">
        <v>3</v>
      </c>
      <c r="J171" s="68">
        <v>2020</v>
      </c>
      <c r="K171" s="69">
        <v>1</v>
      </c>
      <c r="L171" s="70">
        <v>3</v>
      </c>
      <c r="M171" s="71" t="s">
        <v>140</v>
      </c>
      <c r="N171" s="71" t="s">
        <v>18</v>
      </c>
      <c r="O171" s="71" t="s">
        <v>114</v>
      </c>
      <c r="P171" s="71" t="s">
        <v>102</v>
      </c>
      <c r="Q171" s="61" t="s">
        <v>474</v>
      </c>
      <c r="R171" s="63" t="s">
        <v>112</v>
      </c>
      <c r="S171" s="72" t="s">
        <v>643</v>
      </c>
      <c r="T171" s="61" t="s">
        <v>405</v>
      </c>
      <c r="U171" s="73" t="s">
        <v>674</v>
      </c>
      <c r="V171" s="62">
        <v>107894</v>
      </c>
      <c r="W171" s="62" t="s">
        <v>556</v>
      </c>
      <c r="X171" s="62" t="s">
        <v>402</v>
      </c>
      <c r="Y171" s="93">
        <v>1</v>
      </c>
      <c r="Z171" s="94">
        <v>1</v>
      </c>
      <c r="AA171" s="74">
        <v>85</v>
      </c>
      <c r="AB171" s="75">
        <v>156</v>
      </c>
      <c r="AC171" s="75">
        <v>15488.041961741961</v>
      </c>
      <c r="AD171" s="76">
        <v>18585.650354090354</v>
      </c>
      <c r="AE171" s="77">
        <v>27.681698553</v>
      </c>
      <c r="AF171" s="75">
        <v>51.967294406000001</v>
      </c>
      <c r="AG171" s="78">
        <v>4892.5935416012553</v>
      </c>
      <c r="AH171" s="79">
        <v>5871.1122498982504</v>
      </c>
      <c r="AI171" s="74">
        <v>2935.5561248909821</v>
      </c>
      <c r="AJ171" s="75">
        <v>0</v>
      </c>
      <c r="AK171" s="75">
        <v>0</v>
      </c>
      <c r="AL171" s="80">
        <v>2935.5561248909821</v>
      </c>
      <c r="AM171" s="74">
        <v>2</v>
      </c>
      <c r="AN171" s="74">
        <v>1</v>
      </c>
      <c r="AO171" s="81">
        <v>0.5</v>
      </c>
      <c r="AP171" s="82">
        <v>3</v>
      </c>
      <c r="AQ171" s="75">
        <v>296.29629984301414</v>
      </c>
      <c r="AR171" s="75">
        <v>2674.8764577010288</v>
      </c>
      <c r="AS171" s="80">
        <v>2971.1727575440427</v>
      </c>
      <c r="AT171" s="74">
        <v>99.808908248153955</v>
      </c>
      <c r="AU171" s="75">
        <v>147.26706559683703</v>
      </c>
      <c r="AV171" s="75">
        <v>193.74670425024712</v>
      </c>
      <c r="AW171" s="75">
        <v>91.393647356241644</v>
      </c>
      <c r="AX171" s="80">
        <v>532.21632545147975</v>
      </c>
      <c r="AY171" s="81">
        <v>5.7728616320914874E-2</v>
      </c>
      <c r="AZ171" s="83">
        <v>990.39091918134761</v>
      </c>
      <c r="BA171" s="80">
        <v>57.173897381138225</v>
      </c>
      <c r="BB171" s="84">
        <v>-1352.6049620350022</v>
      </c>
      <c r="BC171" s="85">
        <v>-6.9813056550781409</v>
      </c>
      <c r="BD171" s="86">
        <v>-0.27645970394514313</v>
      </c>
      <c r="BE171" s="84">
        <v>-1261.2113146787606</v>
      </c>
      <c r="BF171" s="87">
        <v>-4.4231246387018199</v>
      </c>
      <c r="BG171" s="88">
        <v>-0.2577797039453209</v>
      </c>
      <c r="BH171" s="89">
        <v>0.60727970396078168</v>
      </c>
      <c r="BI171" s="90">
        <v>0.5999999999857395</v>
      </c>
      <c r="BJ171" s="90">
        <v>0.10877999999920189</v>
      </c>
      <c r="BK171" s="91">
        <v>1.3160597039457231</v>
      </c>
      <c r="BL171" s="92">
        <v>-1546.3516662852498</v>
      </c>
      <c r="BM171" s="95">
        <v>0</v>
      </c>
      <c r="BN171" t="s">
        <v>402</v>
      </c>
      <c r="BO171">
        <v>0.85994999999999999</v>
      </c>
    </row>
    <row r="172" spans="1:67">
      <c r="A172" s="61" t="str">
        <f t="shared" si="3"/>
        <v>UK</v>
      </c>
      <c r="B172" s="62" t="s">
        <v>64</v>
      </c>
      <c r="C172" s="62" t="s">
        <v>176</v>
      </c>
      <c r="D172" s="63" t="s">
        <v>97</v>
      </c>
      <c r="E172" s="64">
        <v>43831</v>
      </c>
      <c r="F172" s="64">
        <v>43921</v>
      </c>
      <c r="G172" s="65">
        <v>43995</v>
      </c>
      <c r="H172" s="66" t="s">
        <v>132</v>
      </c>
      <c r="I172" s="67">
        <v>3</v>
      </c>
      <c r="J172" s="68">
        <v>2020</v>
      </c>
      <c r="K172" s="69">
        <v>1</v>
      </c>
      <c r="L172" s="70">
        <v>3</v>
      </c>
      <c r="M172" s="71" t="s">
        <v>140</v>
      </c>
      <c r="N172" s="71" t="s">
        <v>18</v>
      </c>
      <c r="O172" s="71" t="s">
        <v>114</v>
      </c>
      <c r="P172" s="71" t="s">
        <v>102</v>
      </c>
      <c r="Q172" s="61" t="s">
        <v>474</v>
      </c>
      <c r="R172" s="63" t="s">
        <v>106</v>
      </c>
      <c r="S172" s="72" t="s">
        <v>643</v>
      </c>
      <c r="T172" s="61" t="s">
        <v>405</v>
      </c>
      <c r="U172" s="73" t="s">
        <v>675</v>
      </c>
      <c r="V172" s="62">
        <v>107879</v>
      </c>
      <c r="W172" s="62" t="s">
        <v>556</v>
      </c>
      <c r="X172" s="62" t="s">
        <v>402</v>
      </c>
      <c r="Y172" s="93">
        <v>1</v>
      </c>
      <c r="Z172" s="94">
        <v>1</v>
      </c>
      <c r="AA172" s="74">
        <v>194</v>
      </c>
      <c r="AB172" s="75">
        <v>429</v>
      </c>
      <c r="AC172" s="75">
        <v>10305.725133903134</v>
      </c>
      <c r="AD172" s="76">
        <v>12366.870161055875</v>
      </c>
      <c r="AE172" s="77">
        <v>102.69807517</v>
      </c>
      <c r="AF172" s="75">
        <v>200.78475506000001</v>
      </c>
      <c r="AG172" s="78">
        <v>4942.0335773010056</v>
      </c>
      <c r="AH172" s="79">
        <v>5930.4402926914363</v>
      </c>
      <c r="AI172" s="74">
        <v>2965.2201464038608</v>
      </c>
      <c r="AJ172" s="75">
        <v>0</v>
      </c>
      <c r="AK172" s="75">
        <v>0</v>
      </c>
      <c r="AL172" s="80">
        <v>2965.2201464038608</v>
      </c>
      <c r="AM172" s="74">
        <v>0</v>
      </c>
      <c r="AN172" s="74">
        <v>0</v>
      </c>
      <c r="AO172" s="81" t="s">
        <v>403</v>
      </c>
      <c r="AP172" s="82">
        <v>0</v>
      </c>
      <c r="AQ172" s="75">
        <v>0</v>
      </c>
      <c r="AR172" s="75">
        <v>0</v>
      </c>
      <c r="AS172" s="80">
        <v>0</v>
      </c>
      <c r="AT172" s="74">
        <v>100.81748497587068</v>
      </c>
      <c r="AU172" s="75">
        <v>148.75521067503925</v>
      </c>
      <c r="AV172" s="75">
        <v>195.70452965870109</v>
      </c>
      <c r="AW172" s="75">
        <v>92.317187223675802</v>
      </c>
      <c r="AX172" s="80">
        <v>537.5944125332868</v>
      </c>
      <c r="AY172" s="81">
        <v>0</v>
      </c>
      <c r="AZ172" s="83" t="s">
        <v>403</v>
      </c>
      <c r="BA172" s="80" t="s">
        <v>403</v>
      </c>
      <c r="BB172" s="84">
        <v>1634.9235480225593</v>
      </c>
      <c r="BC172" s="85">
        <v>8.354040404040644</v>
      </c>
      <c r="BD172" s="86">
        <v>0.33081999999592082</v>
      </c>
      <c r="BE172" s="84">
        <v>1727.2407352462351</v>
      </c>
      <c r="BF172" s="87">
        <v>5.996911461893724</v>
      </c>
      <c r="BG172" s="88">
        <v>0.34949999999585873</v>
      </c>
      <c r="BH172" s="89">
        <v>0</v>
      </c>
      <c r="BI172" s="90">
        <v>0.60000000000470599</v>
      </c>
      <c r="BJ172" s="90">
        <v>0.10877999999888374</v>
      </c>
      <c r="BK172" s="91">
        <v>0.70878000000358976</v>
      </c>
      <c r="BL172" s="92">
        <v>1439.2190183638581</v>
      </c>
      <c r="BM172" s="95">
        <v>0</v>
      </c>
      <c r="BN172" t="s">
        <v>402</v>
      </c>
      <c r="BO172">
        <v>0.85994999999999999</v>
      </c>
    </row>
    <row r="173" spans="1:67">
      <c r="A173" s="61" t="str">
        <f t="shared" si="3"/>
        <v>UK</v>
      </c>
      <c r="B173" s="62" t="s">
        <v>64</v>
      </c>
      <c r="C173" s="62" t="s">
        <v>176</v>
      </c>
      <c r="D173" s="63" t="s">
        <v>97</v>
      </c>
      <c r="E173" s="64">
        <v>43831</v>
      </c>
      <c r="F173" s="64">
        <v>43921</v>
      </c>
      <c r="G173" s="65">
        <v>43995</v>
      </c>
      <c r="H173" s="66" t="s">
        <v>132</v>
      </c>
      <c r="I173" s="67">
        <v>3</v>
      </c>
      <c r="J173" s="68">
        <v>2020</v>
      </c>
      <c r="K173" s="69">
        <v>1</v>
      </c>
      <c r="L173" s="70">
        <v>3</v>
      </c>
      <c r="M173" s="71" t="s">
        <v>140</v>
      </c>
      <c r="N173" s="71" t="s">
        <v>18</v>
      </c>
      <c r="O173" s="71" t="s">
        <v>114</v>
      </c>
      <c r="P173" s="71" t="s">
        <v>102</v>
      </c>
      <c r="Q173" s="61" t="s">
        <v>474</v>
      </c>
      <c r="R173" s="63" t="s">
        <v>165</v>
      </c>
      <c r="S173" s="72" t="s">
        <v>643</v>
      </c>
      <c r="T173" s="61" t="s">
        <v>405</v>
      </c>
      <c r="U173" s="73" t="s">
        <v>676</v>
      </c>
      <c r="V173" s="62">
        <v>107220</v>
      </c>
      <c r="W173" s="62" t="s">
        <v>556</v>
      </c>
      <c r="X173" s="62" t="s">
        <v>402</v>
      </c>
      <c r="Y173" s="93">
        <v>1</v>
      </c>
      <c r="Z173" s="94">
        <v>1</v>
      </c>
      <c r="AA173" s="74">
        <v>0</v>
      </c>
      <c r="AB173" s="75">
        <v>0</v>
      </c>
      <c r="AC173" s="75">
        <v>0</v>
      </c>
      <c r="AD173" s="76">
        <v>0</v>
      </c>
      <c r="AE173" s="77">
        <v>8.5279362227999993</v>
      </c>
      <c r="AF173" s="75">
        <v>17.927633056000001</v>
      </c>
      <c r="AG173" s="78">
        <v>661.80155493924065</v>
      </c>
      <c r="AH173" s="79">
        <v>794.16186593406599</v>
      </c>
      <c r="AI173" s="74">
        <v>397.08093296121865</v>
      </c>
      <c r="AJ173" s="75">
        <v>0</v>
      </c>
      <c r="AK173" s="75">
        <v>0</v>
      </c>
      <c r="AL173" s="80">
        <v>397.08093296121865</v>
      </c>
      <c r="AM173" s="74">
        <v>0</v>
      </c>
      <c r="AN173" s="74">
        <v>0</v>
      </c>
      <c r="AO173" s="81" t="s">
        <v>403</v>
      </c>
      <c r="AP173" s="82">
        <v>0</v>
      </c>
      <c r="AQ173" s="75">
        <v>0</v>
      </c>
      <c r="AR173" s="75">
        <v>0</v>
      </c>
      <c r="AS173" s="80">
        <v>0</v>
      </c>
      <c r="AT173" s="74">
        <v>13.500751720448864</v>
      </c>
      <c r="AU173" s="75">
        <v>19.920226803883946</v>
      </c>
      <c r="AV173" s="75">
        <v>26.207341575673002</v>
      </c>
      <c r="AW173" s="75">
        <v>12.362453046107332</v>
      </c>
      <c r="AX173" s="80">
        <v>71.990773146113142</v>
      </c>
      <c r="AY173" s="81">
        <v>0</v>
      </c>
      <c r="AZ173" s="83" t="s">
        <v>403</v>
      </c>
      <c r="BA173" s="80" t="s">
        <v>403</v>
      </c>
      <c r="BB173" s="84">
        <v>218.93719040758185</v>
      </c>
      <c r="BC173" s="85">
        <v>8.3540404041137304</v>
      </c>
      <c r="BD173" s="86">
        <v>0.33082000000390188</v>
      </c>
      <c r="BE173" s="84">
        <v>231.29964345368916</v>
      </c>
      <c r="BF173" s="87">
        <v>5.9969114619831148</v>
      </c>
      <c r="BG173" s="88">
        <v>0.34950000000366355</v>
      </c>
      <c r="BH173" s="89">
        <v>0</v>
      </c>
      <c r="BI173" s="90">
        <v>0.59999999999648579</v>
      </c>
      <c r="BJ173" s="90">
        <v>0.10877999999973186</v>
      </c>
      <c r="BK173" s="91">
        <v>0.70877999999621766</v>
      </c>
      <c r="BL173" s="92">
        <v>192.72984883190884</v>
      </c>
      <c r="BM173" s="95">
        <v>0</v>
      </c>
      <c r="BN173" t="s">
        <v>402</v>
      </c>
      <c r="BO173">
        <v>0.85994999999999999</v>
      </c>
    </row>
    <row r="174" spans="1:67">
      <c r="A174" s="61" t="str">
        <f t="shared" si="3"/>
        <v>UK</v>
      </c>
      <c r="B174" s="62" t="s">
        <v>64</v>
      </c>
      <c r="C174" s="62" t="s">
        <v>176</v>
      </c>
      <c r="D174" s="63" t="s">
        <v>97</v>
      </c>
      <c r="E174" s="64">
        <v>43831</v>
      </c>
      <c r="F174" s="64">
        <v>43921</v>
      </c>
      <c r="G174" s="65">
        <v>43995</v>
      </c>
      <c r="H174" s="66" t="s">
        <v>132</v>
      </c>
      <c r="I174" s="67">
        <v>3</v>
      </c>
      <c r="J174" s="68">
        <v>2020</v>
      </c>
      <c r="K174" s="69">
        <v>1</v>
      </c>
      <c r="L174" s="70">
        <v>3</v>
      </c>
      <c r="M174" s="71" t="s">
        <v>140</v>
      </c>
      <c r="N174" s="71" t="s">
        <v>18</v>
      </c>
      <c r="O174" s="71" t="s">
        <v>114</v>
      </c>
      <c r="P174" s="71" t="s">
        <v>102</v>
      </c>
      <c r="Q174" s="61" t="s">
        <v>474</v>
      </c>
      <c r="R174" s="63" t="s">
        <v>112</v>
      </c>
      <c r="S174" s="72" t="s">
        <v>643</v>
      </c>
      <c r="T174" s="61" t="s">
        <v>405</v>
      </c>
      <c r="U174" s="73" t="s">
        <v>677</v>
      </c>
      <c r="V174" s="62">
        <v>107895</v>
      </c>
      <c r="W174" s="62" t="s">
        <v>556</v>
      </c>
      <c r="X174" s="62" t="s">
        <v>402</v>
      </c>
      <c r="Y174" s="93">
        <v>1</v>
      </c>
      <c r="Z174" s="94">
        <v>1</v>
      </c>
      <c r="AA174" s="74">
        <v>35</v>
      </c>
      <c r="AB174" s="75">
        <v>87</v>
      </c>
      <c r="AC174" s="75">
        <v>5576.3514297342872</v>
      </c>
      <c r="AD174" s="76">
        <v>6691.6217157974306</v>
      </c>
      <c r="AE174" s="77">
        <v>7.0990661725999997</v>
      </c>
      <c r="AF174" s="75">
        <v>16.584877236000001</v>
      </c>
      <c r="AG174" s="78">
        <v>1300.3690973893831</v>
      </c>
      <c r="AH174" s="79">
        <v>1560.4429167974884</v>
      </c>
      <c r="AI174" s="74">
        <v>780.22145842200121</v>
      </c>
      <c r="AJ174" s="75">
        <v>0</v>
      </c>
      <c r="AK174" s="75">
        <v>0</v>
      </c>
      <c r="AL174" s="80">
        <v>780.22145842200121</v>
      </c>
      <c r="AM174" s="74">
        <v>1</v>
      </c>
      <c r="AN174" s="74">
        <v>1</v>
      </c>
      <c r="AO174" s="81">
        <v>1</v>
      </c>
      <c r="AP174" s="82">
        <v>6</v>
      </c>
      <c r="AQ174" s="75">
        <v>0</v>
      </c>
      <c r="AR174" s="75">
        <v>68.131868309785446</v>
      </c>
      <c r="AS174" s="80">
        <v>68.131868309785446</v>
      </c>
      <c r="AT174" s="74">
        <v>26.527529586603873</v>
      </c>
      <c r="AU174" s="75">
        <v>39.141109830804119</v>
      </c>
      <c r="AV174" s="75">
        <v>51.494616255596263</v>
      </c>
      <c r="AW174" s="75">
        <v>24.290894739229024</v>
      </c>
      <c r="AX174" s="80">
        <v>141.45415041223328</v>
      </c>
      <c r="AY174" s="81">
        <v>0.36177536406335808</v>
      </c>
      <c r="AZ174" s="83">
        <v>11.35531138496424</v>
      </c>
      <c r="BA174" s="80">
        <v>4.108071910348233</v>
      </c>
      <c r="BB174" s="84">
        <v>362.05623650095947</v>
      </c>
      <c r="BC174" s="85">
        <v>7.0309531913758541</v>
      </c>
      <c r="BD174" s="86">
        <v>0.27842574637295092</v>
      </c>
      <c r="BE174" s="84">
        <v>386.34713124018845</v>
      </c>
      <c r="BF174" s="87">
        <v>5.0979023057134052</v>
      </c>
      <c r="BG174" s="88">
        <v>0.29710574637294729</v>
      </c>
      <c r="BH174" s="89">
        <v>5.2394253636576543E-2</v>
      </c>
      <c r="BI174" s="90">
        <v>0.59999999999105746</v>
      </c>
      <c r="BJ174" s="90">
        <v>0.10877999999862822</v>
      </c>
      <c r="BK174" s="91">
        <v>0.76117425362626223</v>
      </c>
      <c r="BL174" s="92">
        <v>310.5616202453632</v>
      </c>
      <c r="BM174" s="95">
        <v>0</v>
      </c>
      <c r="BN174" t="s">
        <v>402</v>
      </c>
      <c r="BO174">
        <v>0.85994999999999999</v>
      </c>
    </row>
    <row r="175" spans="1:67">
      <c r="A175" s="61" t="str">
        <f t="shared" si="3"/>
        <v>UK</v>
      </c>
      <c r="B175" s="62" t="s">
        <v>64</v>
      </c>
      <c r="C175" s="62" t="s">
        <v>176</v>
      </c>
      <c r="D175" s="63" t="s">
        <v>97</v>
      </c>
      <c r="E175" s="64">
        <v>43831</v>
      </c>
      <c r="F175" s="64">
        <v>43921</v>
      </c>
      <c r="G175" s="65">
        <v>43995</v>
      </c>
      <c r="H175" s="66" t="s">
        <v>132</v>
      </c>
      <c r="I175" s="67">
        <v>3</v>
      </c>
      <c r="J175" s="68">
        <v>2020</v>
      </c>
      <c r="K175" s="69">
        <v>1</v>
      </c>
      <c r="L175" s="70">
        <v>3</v>
      </c>
      <c r="M175" s="71" t="s">
        <v>140</v>
      </c>
      <c r="N175" s="71" t="s">
        <v>18</v>
      </c>
      <c r="O175" s="71" t="s">
        <v>114</v>
      </c>
      <c r="P175" s="71" t="s">
        <v>102</v>
      </c>
      <c r="Q175" s="61" t="s">
        <v>474</v>
      </c>
      <c r="R175" s="63" t="s">
        <v>165</v>
      </c>
      <c r="S175" s="72" t="s">
        <v>643</v>
      </c>
      <c r="T175" s="61" t="s">
        <v>405</v>
      </c>
      <c r="U175" s="73" t="s">
        <v>678</v>
      </c>
      <c r="V175" s="62">
        <v>107205</v>
      </c>
      <c r="W175" s="62" t="s">
        <v>556</v>
      </c>
      <c r="X175" s="62" t="s">
        <v>402</v>
      </c>
      <c r="Y175" s="93">
        <v>1</v>
      </c>
      <c r="Z175" s="94">
        <v>1</v>
      </c>
      <c r="AA175" s="74">
        <v>0</v>
      </c>
      <c r="AB175" s="75">
        <v>0</v>
      </c>
      <c r="AC175" s="75">
        <v>0</v>
      </c>
      <c r="AD175" s="76">
        <v>0</v>
      </c>
      <c r="AE175" s="77">
        <v>1</v>
      </c>
      <c r="AF175" s="75">
        <v>3</v>
      </c>
      <c r="AG175" s="78">
        <v>45.370854598523167</v>
      </c>
      <c r="AH175" s="79">
        <v>54.445025518925519</v>
      </c>
      <c r="AI175" s="74">
        <v>27.222512758881333</v>
      </c>
      <c r="AJ175" s="75">
        <v>0</v>
      </c>
      <c r="AK175" s="75">
        <v>0</v>
      </c>
      <c r="AL175" s="80">
        <v>27.222512758881333</v>
      </c>
      <c r="AM175" s="74">
        <v>0</v>
      </c>
      <c r="AN175" s="74">
        <v>0</v>
      </c>
      <c r="AO175" s="81" t="s">
        <v>403</v>
      </c>
      <c r="AP175" s="82">
        <v>0</v>
      </c>
      <c r="AQ175" s="75">
        <v>0</v>
      </c>
      <c r="AR175" s="75">
        <v>0</v>
      </c>
      <c r="AS175" s="80">
        <v>0</v>
      </c>
      <c r="AT175" s="74">
        <v>0.9255654338042909</v>
      </c>
      <c r="AU175" s="75">
        <v>1.3656627234141518</v>
      </c>
      <c r="AV175" s="75">
        <v>1.7966858420838421</v>
      </c>
      <c r="AW175" s="75">
        <v>0.84752756392813533</v>
      </c>
      <c r="AX175" s="80">
        <v>4.9354415632304205</v>
      </c>
      <c r="AY175" s="81">
        <v>0</v>
      </c>
      <c r="AZ175" s="83" t="s">
        <v>403</v>
      </c>
      <c r="BA175" s="80" t="s">
        <v>403</v>
      </c>
      <c r="BB175" s="84">
        <v>15.009586118495257</v>
      </c>
      <c r="BC175" s="85">
        <v>8.3540404042404859</v>
      </c>
      <c r="BD175" s="86">
        <v>0.33082000000466871</v>
      </c>
      <c r="BE175" s="84">
        <v>15.857113682423392</v>
      </c>
      <c r="BF175" s="87">
        <v>5.9969114619758361</v>
      </c>
      <c r="BG175" s="88">
        <v>0.34950000000527975</v>
      </c>
      <c r="BH175" s="89">
        <v>0</v>
      </c>
      <c r="BI175" s="90">
        <v>0.59999999999487408</v>
      </c>
      <c r="BJ175" s="90">
        <v>0.10878000000006767</v>
      </c>
      <c r="BK175" s="91">
        <v>0.70877999999494179</v>
      </c>
      <c r="BL175" s="92">
        <v>13.212900276411411</v>
      </c>
      <c r="BM175" s="95">
        <v>0</v>
      </c>
      <c r="BN175" t="s">
        <v>402</v>
      </c>
      <c r="BO175">
        <v>0.85994999999999999</v>
      </c>
    </row>
    <row r="176" spans="1:67">
      <c r="A176" s="61" t="str">
        <f t="shared" si="3"/>
        <v>UK</v>
      </c>
      <c r="B176" s="62" t="s">
        <v>64</v>
      </c>
      <c r="C176" s="62" t="s">
        <v>176</v>
      </c>
      <c r="D176" s="63" t="s">
        <v>97</v>
      </c>
      <c r="E176" s="64">
        <v>43831</v>
      </c>
      <c r="F176" s="64">
        <v>43921</v>
      </c>
      <c r="G176" s="65">
        <v>43995</v>
      </c>
      <c r="H176" s="66" t="s">
        <v>132</v>
      </c>
      <c r="I176" s="67">
        <v>3</v>
      </c>
      <c r="J176" s="68">
        <v>2020</v>
      </c>
      <c r="K176" s="69">
        <v>1</v>
      </c>
      <c r="L176" s="70">
        <v>3</v>
      </c>
      <c r="M176" s="71" t="s">
        <v>140</v>
      </c>
      <c r="N176" s="71" t="s">
        <v>18</v>
      </c>
      <c r="O176" s="71" t="s">
        <v>114</v>
      </c>
      <c r="P176" s="71" t="s">
        <v>102</v>
      </c>
      <c r="Q176" s="61" t="s">
        <v>474</v>
      </c>
      <c r="R176" s="63" t="s">
        <v>106</v>
      </c>
      <c r="S176" s="72" t="s">
        <v>643</v>
      </c>
      <c r="T176" s="61" t="s">
        <v>405</v>
      </c>
      <c r="U176" s="73" t="s">
        <v>679</v>
      </c>
      <c r="V176" s="62">
        <v>107880</v>
      </c>
      <c r="W176" s="62" t="s">
        <v>556</v>
      </c>
      <c r="X176" s="62" t="s">
        <v>402</v>
      </c>
      <c r="Y176" s="93">
        <v>1</v>
      </c>
      <c r="Z176" s="94">
        <v>1</v>
      </c>
      <c r="AA176" s="74">
        <v>308</v>
      </c>
      <c r="AB176" s="75">
        <v>796</v>
      </c>
      <c r="AC176" s="75">
        <v>12301.17061689633</v>
      </c>
      <c r="AD176" s="76">
        <v>14761.404739810454</v>
      </c>
      <c r="AE176" s="77">
        <v>126.42341008</v>
      </c>
      <c r="AF176" s="75">
        <v>309.20920110999998</v>
      </c>
      <c r="AG176" s="78">
        <v>4355.2809644746794</v>
      </c>
      <c r="AH176" s="79">
        <v>5226.3371573928716</v>
      </c>
      <c r="AI176" s="74">
        <v>2613.1685787545789</v>
      </c>
      <c r="AJ176" s="75">
        <v>0</v>
      </c>
      <c r="AK176" s="75">
        <v>0</v>
      </c>
      <c r="AL176" s="80">
        <v>2613.1685787545789</v>
      </c>
      <c r="AM176" s="74">
        <v>1</v>
      </c>
      <c r="AN176" s="74">
        <v>1</v>
      </c>
      <c r="AO176" s="81">
        <v>1</v>
      </c>
      <c r="AP176" s="82">
        <v>1</v>
      </c>
      <c r="AQ176" s="75">
        <v>302.36640387231819</v>
      </c>
      <c r="AR176" s="75">
        <v>302.36640387231819</v>
      </c>
      <c r="AS176" s="80">
        <v>604.73280774463637</v>
      </c>
      <c r="AT176" s="74">
        <v>88.847731676260238</v>
      </c>
      <c r="AU176" s="75">
        <v>131.09395703238562</v>
      </c>
      <c r="AV176" s="75">
        <v>172.46912619338335</v>
      </c>
      <c r="AW176" s="75">
        <v>81.356648416768422</v>
      </c>
      <c r="AX176" s="80">
        <v>473.76746331879758</v>
      </c>
      <c r="AY176" s="81">
        <v>3.2340564136196384E-3</v>
      </c>
      <c r="AZ176" s="83">
        <v>604.73280774463637</v>
      </c>
      <c r="BA176" s="80">
        <v>1.9557400154127531</v>
      </c>
      <c r="BB176" s="84">
        <v>836.08124085004965</v>
      </c>
      <c r="BC176" s="85">
        <v>4.8477154103081741</v>
      </c>
      <c r="BD176" s="86">
        <v>0.19196953024841079</v>
      </c>
      <c r="BE176" s="84">
        <v>917.43788926681827</v>
      </c>
      <c r="BF176" s="87">
        <v>3.6144394345920983</v>
      </c>
      <c r="BG176" s="88">
        <v>0.21064953024849839</v>
      </c>
      <c r="BH176" s="89">
        <v>0.13885046973486759</v>
      </c>
      <c r="BI176" s="90">
        <v>0.60000000001601994</v>
      </c>
      <c r="BJ176" s="90">
        <v>0.10878000000074438</v>
      </c>
      <c r="BK176" s="91">
        <v>0.84763046975163192</v>
      </c>
      <c r="BL176" s="92">
        <v>663.61211465666656</v>
      </c>
      <c r="BM176" s="95">
        <v>0</v>
      </c>
      <c r="BN176" t="s">
        <v>402</v>
      </c>
      <c r="BO176">
        <v>0.85994999999999999</v>
      </c>
    </row>
    <row r="177" spans="1:67">
      <c r="A177" s="61" t="str">
        <f t="shared" si="3"/>
        <v>UK</v>
      </c>
      <c r="B177" s="62" t="s">
        <v>64</v>
      </c>
      <c r="C177" s="62" t="s">
        <v>176</v>
      </c>
      <c r="D177" s="63" t="s">
        <v>97</v>
      </c>
      <c r="E177" s="64">
        <v>43831</v>
      </c>
      <c r="F177" s="64">
        <v>43921</v>
      </c>
      <c r="G177" s="65">
        <v>43995</v>
      </c>
      <c r="H177" s="66" t="s">
        <v>132</v>
      </c>
      <c r="I177" s="67">
        <v>3</v>
      </c>
      <c r="J177" s="68">
        <v>2020</v>
      </c>
      <c r="K177" s="69">
        <v>1</v>
      </c>
      <c r="L177" s="70">
        <v>3</v>
      </c>
      <c r="M177" s="71" t="s">
        <v>140</v>
      </c>
      <c r="N177" s="71" t="s">
        <v>18</v>
      </c>
      <c r="O177" s="71" t="s">
        <v>114</v>
      </c>
      <c r="P177" s="71" t="s">
        <v>102</v>
      </c>
      <c r="Q177" s="61" t="s">
        <v>474</v>
      </c>
      <c r="R177" s="63" t="s">
        <v>165</v>
      </c>
      <c r="S177" s="72" t="s">
        <v>643</v>
      </c>
      <c r="T177" s="61" t="s">
        <v>405</v>
      </c>
      <c r="U177" s="73" t="s">
        <v>680</v>
      </c>
      <c r="V177" s="62">
        <v>107221</v>
      </c>
      <c r="W177" s="62" t="s">
        <v>556</v>
      </c>
      <c r="X177" s="62" t="s">
        <v>402</v>
      </c>
      <c r="Y177" s="93">
        <v>1</v>
      </c>
      <c r="Z177" s="94">
        <v>1</v>
      </c>
      <c r="AA177" s="74">
        <v>0</v>
      </c>
      <c r="AB177" s="75">
        <v>0</v>
      </c>
      <c r="AC177" s="75">
        <v>0</v>
      </c>
      <c r="AD177" s="76">
        <v>0</v>
      </c>
      <c r="AE177" s="77">
        <v>93.863469977999998</v>
      </c>
      <c r="AF177" s="75">
        <v>190.28025794000001</v>
      </c>
      <c r="AG177" s="78">
        <v>16412.610066864352</v>
      </c>
      <c r="AH177" s="79">
        <v>19695.13207977208</v>
      </c>
      <c r="AI177" s="74">
        <v>9847.5660401186105</v>
      </c>
      <c r="AJ177" s="75">
        <v>0</v>
      </c>
      <c r="AK177" s="75">
        <v>0</v>
      </c>
      <c r="AL177" s="80">
        <v>9847.5660401186105</v>
      </c>
      <c r="AM177" s="74">
        <v>0</v>
      </c>
      <c r="AN177" s="74">
        <v>0</v>
      </c>
      <c r="AO177" s="81" t="s">
        <v>403</v>
      </c>
      <c r="AP177" s="82">
        <v>0</v>
      </c>
      <c r="AQ177" s="75">
        <v>0</v>
      </c>
      <c r="AR177" s="75">
        <v>0</v>
      </c>
      <c r="AS177" s="80">
        <v>0</v>
      </c>
      <c r="AT177" s="74">
        <v>334.81724536310253</v>
      </c>
      <c r="AU177" s="75">
        <v>494.01956300947734</v>
      </c>
      <c r="AV177" s="75">
        <v>649.93935864875868</v>
      </c>
      <c r="AW177" s="75">
        <v>306.58755605558463</v>
      </c>
      <c r="AX177" s="80">
        <v>1785.3637230769232</v>
      </c>
      <c r="AY177" s="81">
        <v>0</v>
      </c>
      <c r="AZ177" s="83" t="s">
        <v>403</v>
      </c>
      <c r="BA177" s="80" t="s">
        <v>403</v>
      </c>
      <c r="BB177" s="84">
        <v>5429.6196623175765</v>
      </c>
      <c r="BC177" s="85">
        <v>8.3540404040246177</v>
      </c>
      <c r="BD177" s="86">
        <v>0.3308199999998484</v>
      </c>
      <c r="BE177" s="84">
        <v>5736.2072183731616</v>
      </c>
      <c r="BF177" s="87">
        <v>5.9969114618653343</v>
      </c>
      <c r="BG177" s="88">
        <v>0.349500000000248</v>
      </c>
      <c r="BH177" s="89">
        <v>0</v>
      </c>
      <c r="BI177" s="90">
        <v>0.6</v>
      </c>
      <c r="BJ177" s="90">
        <v>0.10878000000020831</v>
      </c>
      <c r="BK177" s="91">
        <v>0.70878000000020824</v>
      </c>
      <c r="BL177" s="92">
        <v>4779.6803036688179</v>
      </c>
      <c r="BM177" s="95">
        <v>0</v>
      </c>
      <c r="BN177" t="s">
        <v>402</v>
      </c>
      <c r="BO177">
        <v>0.85994999999999999</v>
      </c>
    </row>
    <row r="178" spans="1:67">
      <c r="A178" s="61" t="str">
        <f t="shared" si="3"/>
        <v>UK</v>
      </c>
      <c r="B178" s="62" t="s">
        <v>64</v>
      </c>
      <c r="C178" s="62" t="s">
        <v>176</v>
      </c>
      <c r="D178" s="63" t="s">
        <v>97</v>
      </c>
      <c r="E178" s="64">
        <v>43831</v>
      </c>
      <c r="F178" s="64">
        <v>43921</v>
      </c>
      <c r="G178" s="65">
        <v>43995</v>
      </c>
      <c r="H178" s="66" t="s">
        <v>132</v>
      </c>
      <c r="I178" s="67">
        <v>3</v>
      </c>
      <c r="J178" s="68">
        <v>2020</v>
      </c>
      <c r="K178" s="69">
        <v>1</v>
      </c>
      <c r="L178" s="70">
        <v>3</v>
      </c>
      <c r="M178" s="71" t="s">
        <v>140</v>
      </c>
      <c r="N178" s="71" t="s">
        <v>18</v>
      </c>
      <c r="O178" s="71" t="s">
        <v>114</v>
      </c>
      <c r="P178" s="71" t="s">
        <v>102</v>
      </c>
      <c r="Q178" s="61" t="s">
        <v>474</v>
      </c>
      <c r="R178" s="63" t="s">
        <v>112</v>
      </c>
      <c r="S178" s="72" t="s">
        <v>643</v>
      </c>
      <c r="T178" s="61" t="s">
        <v>405</v>
      </c>
      <c r="U178" s="73" t="s">
        <v>681</v>
      </c>
      <c r="V178" s="62">
        <v>107896</v>
      </c>
      <c r="W178" s="62" t="s">
        <v>556</v>
      </c>
      <c r="X178" s="62" t="s">
        <v>402</v>
      </c>
      <c r="Y178" s="93">
        <v>1</v>
      </c>
      <c r="Z178" s="94">
        <v>1</v>
      </c>
      <c r="AA178" s="74">
        <v>219</v>
      </c>
      <c r="AB178" s="75">
        <v>528</v>
      </c>
      <c r="AC178" s="75">
        <v>67147.682972265829</v>
      </c>
      <c r="AD178" s="76">
        <v>80577.219567416716</v>
      </c>
      <c r="AE178" s="77">
        <v>68.149504837999999</v>
      </c>
      <c r="AF178" s="75">
        <v>144.05462402000001</v>
      </c>
      <c r="AG178" s="78">
        <v>19185.34247805105</v>
      </c>
      <c r="AH178" s="79">
        <v>23022.410973893831</v>
      </c>
      <c r="AI178" s="74">
        <v>11511.205486946916</v>
      </c>
      <c r="AJ178" s="75">
        <v>0</v>
      </c>
      <c r="AK178" s="75">
        <v>0</v>
      </c>
      <c r="AL178" s="80">
        <v>11511.205486946916</v>
      </c>
      <c r="AM178" s="74">
        <v>2</v>
      </c>
      <c r="AN178" s="74">
        <v>1</v>
      </c>
      <c r="AO178" s="81">
        <v>0.5</v>
      </c>
      <c r="AP178" s="82">
        <v>14</v>
      </c>
      <c r="AQ178" s="75">
        <v>2495.3196089307517</v>
      </c>
      <c r="AR178" s="75">
        <v>3923.3096083493224</v>
      </c>
      <c r="AS178" s="80">
        <v>6418.629217280074</v>
      </c>
      <c r="AT178" s="74">
        <v>391.38098655735797</v>
      </c>
      <c r="AU178" s="75">
        <v>577.4788085935229</v>
      </c>
      <c r="AV178" s="75">
        <v>759.73956213733356</v>
      </c>
      <c r="AW178" s="75">
        <v>358.38219749985467</v>
      </c>
      <c r="AX178" s="80">
        <v>2086.9815547880689</v>
      </c>
      <c r="AY178" s="81">
        <v>9.7185356563467842E-2</v>
      </c>
      <c r="AZ178" s="83">
        <v>458.47351552000526</v>
      </c>
      <c r="BA178" s="80">
        <v>44.55691208071832</v>
      </c>
      <c r="BB178" s="84">
        <v>-71.734218826670258</v>
      </c>
      <c r="BC178" s="85">
        <v>-9.4419485836520503E-2</v>
      </c>
      <c r="BD178" s="86">
        <v>-3.7390116391582602E-3</v>
      </c>
      <c r="BE178" s="84">
        <v>286.64797867318339</v>
      </c>
      <c r="BF178" s="87">
        <v>0.25636562047249295</v>
      </c>
      <c r="BG178" s="88">
        <v>1.4940988361355675E-2</v>
      </c>
      <c r="BH178" s="89">
        <v>0.33455901163209845</v>
      </c>
      <c r="BI178" s="90">
        <v>0.60000000000606113</v>
      </c>
      <c r="BJ178" s="90">
        <v>0.10878000000133829</v>
      </c>
      <c r="BK178" s="91">
        <v>1.0433390116394978</v>
      </c>
      <c r="BL178" s="92">
        <v>-831.47378096400644</v>
      </c>
      <c r="BM178" s="95">
        <v>0</v>
      </c>
      <c r="BN178" t="s">
        <v>402</v>
      </c>
      <c r="BO178">
        <v>0.85994999999999999</v>
      </c>
    </row>
    <row r="179" spans="1:67">
      <c r="A179" s="61" t="str">
        <f t="shared" si="3"/>
        <v>UK</v>
      </c>
      <c r="B179" s="62" t="s">
        <v>64</v>
      </c>
      <c r="C179" s="62" t="s">
        <v>176</v>
      </c>
      <c r="D179" s="63" t="s">
        <v>97</v>
      </c>
      <c r="E179" s="64">
        <v>43831</v>
      </c>
      <c r="F179" s="64">
        <v>43921</v>
      </c>
      <c r="G179" s="65">
        <v>43995</v>
      </c>
      <c r="H179" s="66" t="s">
        <v>132</v>
      </c>
      <c r="I179" s="67">
        <v>3</v>
      </c>
      <c r="J179" s="68">
        <v>2020</v>
      </c>
      <c r="K179" s="69">
        <v>1</v>
      </c>
      <c r="L179" s="70">
        <v>3</v>
      </c>
      <c r="M179" s="71" t="s">
        <v>140</v>
      </c>
      <c r="N179" s="71" t="s">
        <v>18</v>
      </c>
      <c r="O179" s="71" t="s">
        <v>114</v>
      </c>
      <c r="P179" s="71" t="s">
        <v>102</v>
      </c>
      <c r="Q179" s="61" t="s">
        <v>474</v>
      </c>
      <c r="R179" s="63" t="s">
        <v>165</v>
      </c>
      <c r="S179" s="72" t="s">
        <v>643</v>
      </c>
      <c r="T179" s="61" t="s">
        <v>405</v>
      </c>
      <c r="U179" s="73" t="s">
        <v>682</v>
      </c>
      <c r="V179" s="62">
        <v>107206</v>
      </c>
      <c r="W179" s="62" t="s">
        <v>556</v>
      </c>
      <c r="X179" s="62" t="s">
        <v>402</v>
      </c>
      <c r="Y179" s="93">
        <v>1</v>
      </c>
      <c r="Z179" s="94">
        <v>1</v>
      </c>
      <c r="AA179" s="74">
        <v>0</v>
      </c>
      <c r="AB179" s="75">
        <v>0</v>
      </c>
      <c r="AC179" s="75">
        <v>0</v>
      </c>
      <c r="AD179" s="76">
        <v>0</v>
      </c>
      <c r="AE179" s="77">
        <v>2.1302083333000001</v>
      </c>
      <c r="AF179" s="75">
        <v>2.5770833333000001</v>
      </c>
      <c r="AG179" s="78">
        <v>112.33462346299204</v>
      </c>
      <c r="AH179" s="79">
        <v>134.80154815977673</v>
      </c>
      <c r="AI179" s="74">
        <v>67.400774077562644</v>
      </c>
      <c r="AJ179" s="75">
        <v>0</v>
      </c>
      <c r="AK179" s="75">
        <v>0</v>
      </c>
      <c r="AL179" s="80">
        <v>67.400774077562644</v>
      </c>
      <c r="AM179" s="74">
        <v>0</v>
      </c>
      <c r="AN179" s="74">
        <v>0</v>
      </c>
      <c r="AO179" s="81" t="s">
        <v>403</v>
      </c>
      <c r="AP179" s="82">
        <v>0</v>
      </c>
      <c r="AQ179" s="75">
        <v>0</v>
      </c>
      <c r="AR179" s="75">
        <v>0</v>
      </c>
      <c r="AS179" s="80">
        <v>0</v>
      </c>
      <c r="AT179" s="74">
        <v>2.2916263186231758</v>
      </c>
      <c r="AU179" s="75">
        <v>3.3812721662887379</v>
      </c>
      <c r="AV179" s="75">
        <v>4.4484510891330897</v>
      </c>
      <c r="AW179" s="75">
        <v>2.0984107663236236</v>
      </c>
      <c r="AX179" s="80">
        <v>12.219760340368627</v>
      </c>
      <c r="AY179" s="81">
        <v>0</v>
      </c>
      <c r="AZ179" s="83" t="s">
        <v>403</v>
      </c>
      <c r="BA179" s="80" t="s">
        <v>403</v>
      </c>
      <c r="BB179" s="84">
        <v>37.162540134193861</v>
      </c>
      <c r="BC179" s="85">
        <v>8.3540404040805285</v>
      </c>
      <c r="BD179" s="86">
        <v>0.33082000000148515</v>
      </c>
      <c r="BE179" s="84">
        <v>39.260950900517486</v>
      </c>
      <c r="BF179" s="87">
        <v>5.9969114619081294</v>
      </c>
      <c r="BG179" s="88">
        <v>0.34950000000179615</v>
      </c>
      <c r="BH179" s="89">
        <v>0</v>
      </c>
      <c r="BI179" s="90">
        <v>0.59999999999792952</v>
      </c>
      <c r="BJ179" s="90">
        <v>0.10878000000057286</v>
      </c>
      <c r="BK179" s="91">
        <v>0.70877999999850239</v>
      </c>
      <c r="BL179" s="92">
        <v>32.714089045060774</v>
      </c>
      <c r="BM179" s="95">
        <v>0</v>
      </c>
      <c r="BN179" t="s">
        <v>402</v>
      </c>
      <c r="BO179">
        <v>0.85994999999999999</v>
      </c>
    </row>
    <row r="180" spans="1:67">
      <c r="A180" s="61" t="str">
        <f t="shared" si="3"/>
        <v>UK</v>
      </c>
      <c r="B180" s="62" t="s">
        <v>64</v>
      </c>
      <c r="C180" s="62" t="s">
        <v>176</v>
      </c>
      <c r="D180" s="63" t="s">
        <v>97</v>
      </c>
      <c r="E180" s="64">
        <v>43831</v>
      </c>
      <c r="F180" s="64">
        <v>43921</v>
      </c>
      <c r="G180" s="65">
        <v>43995</v>
      </c>
      <c r="H180" s="66" t="s">
        <v>132</v>
      </c>
      <c r="I180" s="67">
        <v>3</v>
      </c>
      <c r="J180" s="68">
        <v>2020</v>
      </c>
      <c r="K180" s="69">
        <v>1</v>
      </c>
      <c r="L180" s="70">
        <v>3</v>
      </c>
      <c r="M180" s="71" t="s">
        <v>140</v>
      </c>
      <c r="N180" s="71" t="s">
        <v>18</v>
      </c>
      <c r="O180" s="71" t="s">
        <v>114</v>
      </c>
      <c r="P180" s="71" t="s">
        <v>102</v>
      </c>
      <c r="Q180" s="61" t="s">
        <v>474</v>
      </c>
      <c r="R180" s="63" t="s">
        <v>106</v>
      </c>
      <c r="S180" s="72" t="s">
        <v>643</v>
      </c>
      <c r="T180" s="61" t="s">
        <v>405</v>
      </c>
      <c r="U180" s="73" t="s">
        <v>683</v>
      </c>
      <c r="V180" s="62">
        <v>107881</v>
      </c>
      <c r="W180" s="62" t="s">
        <v>556</v>
      </c>
      <c r="X180" s="62" t="s">
        <v>402</v>
      </c>
      <c r="Y180" s="93">
        <v>1</v>
      </c>
      <c r="Z180" s="94">
        <v>1</v>
      </c>
      <c r="AA180" s="74">
        <v>441</v>
      </c>
      <c r="AB180" s="75">
        <v>1211</v>
      </c>
      <c r="AC180" s="75">
        <v>35409.461802430378</v>
      </c>
      <c r="AD180" s="76">
        <v>42491.35416361416</v>
      </c>
      <c r="AE180" s="77">
        <v>153.12015302</v>
      </c>
      <c r="AF180" s="75">
        <v>312.32607261999999</v>
      </c>
      <c r="AG180" s="78">
        <v>11097.284792836794</v>
      </c>
      <c r="AH180" s="79">
        <v>13316.741751264608</v>
      </c>
      <c r="AI180" s="74">
        <v>6658.370875632304</v>
      </c>
      <c r="AJ180" s="75">
        <v>0</v>
      </c>
      <c r="AK180" s="75">
        <v>0</v>
      </c>
      <c r="AL180" s="80">
        <v>6658.370875632304</v>
      </c>
      <c r="AM180" s="74">
        <v>2</v>
      </c>
      <c r="AN180" s="74">
        <v>0</v>
      </c>
      <c r="AO180" s="81">
        <v>0</v>
      </c>
      <c r="AP180" s="82">
        <v>11</v>
      </c>
      <c r="AQ180" s="75">
        <v>527.92603085063081</v>
      </c>
      <c r="AR180" s="75">
        <v>1606.2213146113147</v>
      </c>
      <c r="AS180" s="80">
        <v>2134.1473454619454</v>
      </c>
      <c r="AT180" s="74">
        <v>226.38460976800977</v>
      </c>
      <c r="AU180" s="75">
        <v>334.02827226001511</v>
      </c>
      <c r="AV180" s="75">
        <v>439.4524777952206</v>
      </c>
      <c r="AW180" s="75">
        <v>207.29727993487992</v>
      </c>
      <c r="AX180" s="80">
        <v>1207.1626397581254</v>
      </c>
      <c r="AY180" s="81">
        <v>3.5219602089971686E-2</v>
      </c>
      <c r="AZ180" s="83">
        <v>194.01339504199504</v>
      </c>
      <c r="BA180" s="80">
        <v>6.8330745735035503</v>
      </c>
      <c r="BB180" s="84">
        <v>1537.0564097796414</v>
      </c>
      <c r="BC180" s="85">
        <v>3.4976624036601534</v>
      </c>
      <c r="BD180" s="86">
        <v>0.13850743118459019</v>
      </c>
      <c r="BE180" s="84">
        <v>1744.3536897145204</v>
      </c>
      <c r="BF180" s="87">
        <v>2.6971076043950655</v>
      </c>
      <c r="BG180" s="88">
        <v>0.1571874311850126</v>
      </c>
      <c r="BH180" s="89">
        <v>0.19231256882219694</v>
      </c>
      <c r="BI180" s="90">
        <v>0.59999999999371267</v>
      </c>
      <c r="BJ180" s="90">
        <v>0.10877999999939976</v>
      </c>
      <c r="BK180" s="91">
        <v>0.90109256881530941</v>
      </c>
      <c r="BL180" s="92">
        <v>1097.6039319844185</v>
      </c>
      <c r="BM180" s="95">
        <v>0</v>
      </c>
      <c r="BN180" t="s">
        <v>402</v>
      </c>
      <c r="BO180">
        <v>0.85994999999999999</v>
      </c>
    </row>
    <row r="181" spans="1:67">
      <c r="A181" s="61" t="str">
        <f t="shared" si="3"/>
        <v>UK</v>
      </c>
      <c r="B181" s="62" t="s">
        <v>64</v>
      </c>
      <c r="C181" s="62" t="s">
        <v>176</v>
      </c>
      <c r="D181" s="63" t="s">
        <v>97</v>
      </c>
      <c r="E181" s="64">
        <v>43831</v>
      </c>
      <c r="F181" s="64">
        <v>43921</v>
      </c>
      <c r="G181" s="65">
        <v>43995</v>
      </c>
      <c r="H181" s="66" t="s">
        <v>132</v>
      </c>
      <c r="I181" s="67">
        <v>3</v>
      </c>
      <c r="J181" s="68">
        <v>2020</v>
      </c>
      <c r="K181" s="69">
        <v>1</v>
      </c>
      <c r="L181" s="70">
        <v>3</v>
      </c>
      <c r="M181" s="71" t="s">
        <v>140</v>
      </c>
      <c r="N181" s="71" t="s">
        <v>18</v>
      </c>
      <c r="O181" s="71" t="s">
        <v>114</v>
      </c>
      <c r="P181" s="71" t="s">
        <v>102</v>
      </c>
      <c r="Q181" s="61" t="s">
        <v>474</v>
      </c>
      <c r="R181" s="63" t="s">
        <v>165</v>
      </c>
      <c r="S181" s="72" t="s">
        <v>643</v>
      </c>
      <c r="T181" s="61" t="s">
        <v>405</v>
      </c>
      <c r="U181" s="73" t="s">
        <v>684</v>
      </c>
      <c r="V181" s="62">
        <v>107222</v>
      </c>
      <c r="W181" s="62" t="s">
        <v>556</v>
      </c>
      <c r="X181" s="62" t="s">
        <v>402</v>
      </c>
      <c r="Y181" s="93">
        <v>1</v>
      </c>
      <c r="Z181" s="94">
        <v>1</v>
      </c>
      <c r="AA181" s="74">
        <v>0</v>
      </c>
      <c r="AB181" s="75">
        <v>0</v>
      </c>
      <c r="AC181" s="75">
        <v>0</v>
      </c>
      <c r="AD181" s="76">
        <v>0</v>
      </c>
      <c r="AE181" s="77">
        <v>33.474399280999997</v>
      </c>
      <c r="AF181" s="75">
        <v>70.481433865</v>
      </c>
      <c r="AG181" s="78">
        <v>4426.8679988371414</v>
      </c>
      <c r="AH181" s="79">
        <v>5312.2415985813132</v>
      </c>
      <c r="AI181" s="74">
        <v>2656.1207993487992</v>
      </c>
      <c r="AJ181" s="75">
        <v>0</v>
      </c>
      <c r="AK181" s="75">
        <v>0</v>
      </c>
      <c r="AL181" s="80">
        <v>2656.1207993487992</v>
      </c>
      <c r="AM181" s="74">
        <v>0</v>
      </c>
      <c r="AN181" s="74">
        <v>0</v>
      </c>
      <c r="AO181" s="81" t="s">
        <v>403</v>
      </c>
      <c r="AP181" s="82">
        <v>0</v>
      </c>
      <c r="AQ181" s="75">
        <v>0</v>
      </c>
      <c r="AR181" s="75">
        <v>0</v>
      </c>
      <c r="AS181" s="80">
        <v>0</v>
      </c>
      <c r="AT181" s="74">
        <v>90.3081071759986</v>
      </c>
      <c r="AU181" s="75">
        <v>133.2487267631839</v>
      </c>
      <c r="AV181" s="75">
        <v>175.3039727542299</v>
      </c>
      <c r="AW181" s="75">
        <v>82.693894218268497</v>
      </c>
      <c r="AX181" s="80">
        <v>481.55470091168092</v>
      </c>
      <c r="AY181" s="81">
        <v>0</v>
      </c>
      <c r="AZ181" s="83" t="s">
        <v>403</v>
      </c>
      <c r="BA181" s="80" t="s">
        <v>403</v>
      </c>
      <c r="BB181" s="84">
        <v>1464.4964713308909</v>
      </c>
      <c r="BC181" s="85">
        <v>8.3540404037737588</v>
      </c>
      <c r="BD181" s="86">
        <v>0.33081999998996758</v>
      </c>
      <c r="BE181" s="84">
        <v>1547.1903655491597</v>
      </c>
      <c r="BF181" s="87">
        <v>5.9969114617295824</v>
      </c>
      <c r="BG181" s="88">
        <v>0.34949999998996556</v>
      </c>
      <c r="BH181" s="89">
        <v>0</v>
      </c>
      <c r="BI181" s="90">
        <v>0.60000000001050724</v>
      </c>
      <c r="BJ181" s="90">
        <v>0.10877999999958812</v>
      </c>
      <c r="BK181" s="91">
        <v>0.70878000001009533</v>
      </c>
      <c r="BL181" s="92">
        <v>1289.1924985766614</v>
      </c>
      <c r="BM181" s="95">
        <v>0</v>
      </c>
      <c r="BN181" t="s">
        <v>402</v>
      </c>
      <c r="BO181">
        <v>0.85994999999999999</v>
      </c>
    </row>
    <row r="182" spans="1:67">
      <c r="A182" s="61" t="str">
        <f t="shared" si="3"/>
        <v>UK</v>
      </c>
      <c r="B182" s="62" t="s">
        <v>64</v>
      </c>
      <c r="C182" s="62" t="s">
        <v>176</v>
      </c>
      <c r="D182" s="63" t="s">
        <v>97</v>
      </c>
      <c r="E182" s="64">
        <v>43831</v>
      </c>
      <c r="F182" s="64">
        <v>43921</v>
      </c>
      <c r="G182" s="65">
        <v>43995</v>
      </c>
      <c r="H182" s="66" t="s">
        <v>132</v>
      </c>
      <c r="I182" s="67">
        <v>3</v>
      </c>
      <c r="J182" s="68">
        <v>2020</v>
      </c>
      <c r="K182" s="69">
        <v>1</v>
      </c>
      <c r="L182" s="70">
        <v>3</v>
      </c>
      <c r="M182" s="71" t="s">
        <v>140</v>
      </c>
      <c r="N182" s="71" t="s">
        <v>18</v>
      </c>
      <c r="O182" s="71" t="s">
        <v>114</v>
      </c>
      <c r="P182" s="71" t="s">
        <v>102</v>
      </c>
      <c r="Q182" s="61" t="s">
        <v>474</v>
      </c>
      <c r="R182" s="63" t="s">
        <v>112</v>
      </c>
      <c r="S182" s="72" t="s">
        <v>643</v>
      </c>
      <c r="T182" s="61" t="s">
        <v>405</v>
      </c>
      <c r="U182" s="73" t="s">
        <v>685</v>
      </c>
      <c r="V182" s="62">
        <v>107897</v>
      </c>
      <c r="W182" s="62" t="s">
        <v>556</v>
      </c>
      <c r="X182" s="62" t="s">
        <v>402</v>
      </c>
      <c r="Y182" s="93">
        <v>1</v>
      </c>
      <c r="Z182" s="94">
        <v>1</v>
      </c>
      <c r="AA182" s="74">
        <v>130</v>
      </c>
      <c r="AB182" s="75">
        <v>286</v>
      </c>
      <c r="AC182" s="75">
        <v>25314.320411651839</v>
      </c>
      <c r="AD182" s="76">
        <v>30377.184494447352</v>
      </c>
      <c r="AE182" s="77">
        <v>36.911908177999997</v>
      </c>
      <c r="AF182" s="75">
        <v>75.156061782999998</v>
      </c>
      <c r="AG182" s="78">
        <v>6992.7119604628178</v>
      </c>
      <c r="AH182" s="79">
        <v>8391.2543525786386</v>
      </c>
      <c r="AI182" s="74">
        <v>4195.6271762311762</v>
      </c>
      <c r="AJ182" s="75">
        <v>0</v>
      </c>
      <c r="AK182" s="75">
        <v>0</v>
      </c>
      <c r="AL182" s="80">
        <v>4195.6271762311762</v>
      </c>
      <c r="AM182" s="74">
        <v>2</v>
      </c>
      <c r="AN182" s="74">
        <v>0</v>
      </c>
      <c r="AO182" s="81">
        <v>0</v>
      </c>
      <c r="AP182" s="82">
        <v>4</v>
      </c>
      <c r="AQ182" s="75">
        <v>759.03249692423981</v>
      </c>
      <c r="AR182" s="75">
        <v>759.03249692423981</v>
      </c>
      <c r="AS182" s="80">
        <v>1518.0649938484796</v>
      </c>
      <c r="AT182" s="74">
        <v>142.65132399558115</v>
      </c>
      <c r="AU182" s="75">
        <v>210.48063001337286</v>
      </c>
      <c r="AV182" s="75">
        <v>276.91139363916506</v>
      </c>
      <c r="AW182" s="75">
        <v>130.62385942205941</v>
      </c>
      <c r="AX182" s="80">
        <v>760.66720707017862</v>
      </c>
      <c r="AY182" s="81">
        <v>5.3222586510044946E-2</v>
      </c>
      <c r="AZ182" s="83">
        <v>379.5162484621199</v>
      </c>
      <c r="BA182" s="80">
        <v>20.198836365742888</v>
      </c>
      <c r="BB182" s="84">
        <v>795.26397695214837</v>
      </c>
      <c r="BC182" s="85">
        <v>2.8719077481818354</v>
      </c>
      <c r="BD182" s="86">
        <v>0.11372754682998744</v>
      </c>
      <c r="BE182" s="84">
        <v>925.88783637420784</v>
      </c>
      <c r="BF182" s="87">
        <v>2.2719208446860688</v>
      </c>
      <c r="BG182" s="88">
        <v>0.13240754683007525</v>
      </c>
      <c r="BH182" s="89">
        <v>0.21709245317577835</v>
      </c>
      <c r="BI182" s="90">
        <v>0.59999999999334819</v>
      </c>
      <c r="BJ182" s="90">
        <v>0.10878000000157782</v>
      </c>
      <c r="BK182" s="91">
        <v>0.92587245317070443</v>
      </c>
      <c r="BL182" s="92">
        <v>518.35258331298337</v>
      </c>
      <c r="BM182" s="95">
        <v>0</v>
      </c>
      <c r="BN182" t="s">
        <v>402</v>
      </c>
      <c r="BO182">
        <v>0.85994999999999999</v>
      </c>
    </row>
    <row r="183" spans="1:67">
      <c r="A183" s="61" t="str">
        <f t="shared" si="3"/>
        <v>UK</v>
      </c>
      <c r="B183" s="62" t="s">
        <v>64</v>
      </c>
      <c r="C183" s="62" t="s">
        <v>176</v>
      </c>
      <c r="D183" s="63" t="s">
        <v>97</v>
      </c>
      <c r="E183" s="64">
        <v>43831</v>
      </c>
      <c r="F183" s="64">
        <v>43921</v>
      </c>
      <c r="G183" s="65">
        <v>43995</v>
      </c>
      <c r="H183" s="66" t="s">
        <v>132</v>
      </c>
      <c r="I183" s="67">
        <v>3</v>
      </c>
      <c r="J183" s="68">
        <v>2020</v>
      </c>
      <c r="K183" s="69">
        <v>1</v>
      </c>
      <c r="L183" s="70">
        <v>3</v>
      </c>
      <c r="M183" s="71" t="s">
        <v>140</v>
      </c>
      <c r="N183" s="71" t="s">
        <v>18</v>
      </c>
      <c r="O183" s="71" t="s">
        <v>114</v>
      </c>
      <c r="P183" s="71" t="s">
        <v>102</v>
      </c>
      <c r="Q183" s="61" t="s">
        <v>474</v>
      </c>
      <c r="R183" s="63" t="s">
        <v>165</v>
      </c>
      <c r="S183" s="72" t="s">
        <v>643</v>
      </c>
      <c r="T183" s="61" t="s">
        <v>405</v>
      </c>
      <c r="U183" s="73" t="s">
        <v>686</v>
      </c>
      <c r="V183" s="62">
        <v>107207</v>
      </c>
      <c r="W183" s="62" t="s">
        <v>556</v>
      </c>
      <c r="X183" s="62" t="s">
        <v>402</v>
      </c>
      <c r="Y183" s="93">
        <v>1</v>
      </c>
      <c r="Z183" s="94">
        <v>1</v>
      </c>
      <c r="AA183" s="74">
        <v>0</v>
      </c>
      <c r="AB183" s="75">
        <v>0</v>
      </c>
      <c r="AC183" s="75">
        <v>0</v>
      </c>
      <c r="AD183" s="76">
        <v>0</v>
      </c>
      <c r="AE183" s="77">
        <v>1.9917420814</v>
      </c>
      <c r="AF183" s="75">
        <v>4.9035067872999996</v>
      </c>
      <c r="AG183" s="78">
        <v>167.66109326123615</v>
      </c>
      <c r="AH183" s="79">
        <v>201.19331190185477</v>
      </c>
      <c r="AI183" s="74">
        <v>100.59665595325311</v>
      </c>
      <c r="AJ183" s="75">
        <v>0</v>
      </c>
      <c r="AK183" s="75">
        <v>0</v>
      </c>
      <c r="AL183" s="80">
        <v>100.59665595325311</v>
      </c>
      <c r="AM183" s="74">
        <v>0</v>
      </c>
      <c r="AN183" s="74">
        <v>0</v>
      </c>
      <c r="AO183" s="81" t="s">
        <v>403</v>
      </c>
      <c r="AP183" s="82">
        <v>0</v>
      </c>
      <c r="AQ183" s="75">
        <v>0</v>
      </c>
      <c r="AR183" s="75">
        <v>0</v>
      </c>
      <c r="AS183" s="80">
        <v>0</v>
      </c>
      <c r="AT183" s="74">
        <v>3.420286302459445</v>
      </c>
      <c r="AU183" s="75">
        <v>5.0465989070294786</v>
      </c>
      <c r="AV183" s="75">
        <v>6.6393792929821505</v>
      </c>
      <c r="AW183" s="75">
        <v>3.1319092220477938</v>
      </c>
      <c r="AX183" s="80">
        <v>18.238173724518866</v>
      </c>
      <c r="AY183" s="81">
        <v>0</v>
      </c>
      <c r="AZ183" s="83" t="s">
        <v>403</v>
      </c>
      <c r="BA183" s="80" t="s">
        <v>403</v>
      </c>
      <c r="BB183" s="84">
        <v>55.465642876446324</v>
      </c>
      <c r="BC183" s="85">
        <v>8.3540404048121975</v>
      </c>
      <c r="BD183" s="86">
        <v>0.33082000002245115</v>
      </c>
      <c r="BE183" s="84">
        <v>58.59755209849412</v>
      </c>
      <c r="BF183" s="87">
        <v>5.9969114624300444</v>
      </c>
      <c r="BG183" s="88">
        <v>0.34950000002202114</v>
      </c>
      <c r="BH183" s="89">
        <v>0</v>
      </c>
      <c r="BI183" s="90">
        <v>0.59999999997919262</v>
      </c>
      <c r="BJ183" s="90">
        <v>0.10877999999738519</v>
      </c>
      <c r="BK183" s="91">
        <v>0.70877999997657781</v>
      </c>
      <c r="BL183" s="92">
        <v>48.826263583464169</v>
      </c>
      <c r="BM183" s="95">
        <v>0</v>
      </c>
      <c r="BN183" t="s">
        <v>402</v>
      </c>
      <c r="BO183">
        <v>0.85994999999999999</v>
      </c>
    </row>
    <row r="184" spans="1:67">
      <c r="A184" s="61" t="str">
        <f t="shared" si="3"/>
        <v>UK</v>
      </c>
      <c r="B184" s="62" t="s">
        <v>64</v>
      </c>
      <c r="C184" s="62" t="s">
        <v>176</v>
      </c>
      <c r="D184" s="63" t="s">
        <v>97</v>
      </c>
      <c r="E184" s="64">
        <v>43831</v>
      </c>
      <c r="F184" s="64">
        <v>43921</v>
      </c>
      <c r="G184" s="65">
        <v>43995</v>
      </c>
      <c r="H184" s="66" t="s">
        <v>132</v>
      </c>
      <c r="I184" s="67">
        <v>3</v>
      </c>
      <c r="J184" s="68">
        <v>2020</v>
      </c>
      <c r="K184" s="69">
        <v>1</v>
      </c>
      <c r="L184" s="70">
        <v>3</v>
      </c>
      <c r="M184" s="71" t="s">
        <v>140</v>
      </c>
      <c r="N184" s="71" t="s">
        <v>18</v>
      </c>
      <c r="O184" s="71" t="s">
        <v>114</v>
      </c>
      <c r="P184" s="71" t="s">
        <v>102</v>
      </c>
      <c r="Q184" s="61" t="s">
        <v>474</v>
      </c>
      <c r="R184" s="63" t="s">
        <v>106</v>
      </c>
      <c r="S184" s="72" t="s">
        <v>643</v>
      </c>
      <c r="T184" s="61" t="s">
        <v>405</v>
      </c>
      <c r="U184" s="73" t="s">
        <v>687</v>
      </c>
      <c r="V184" s="62">
        <v>107882</v>
      </c>
      <c r="W184" s="62" t="s">
        <v>556</v>
      </c>
      <c r="X184" s="62" t="s">
        <v>402</v>
      </c>
      <c r="Y184" s="93">
        <v>1</v>
      </c>
      <c r="Z184" s="94">
        <v>1</v>
      </c>
      <c r="AA184" s="74">
        <v>1064</v>
      </c>
      <c r="AB184" s="75">
        <v>2631</v>
      </c>
      <c r="AC184" s="75">
        <v>56453.81536019536</v>
      </c>
      <c r="AD184" s="76">
        <v>67744.578432467009</v>
      </c>
      <c r="AE184" s="77">
        <v>311.61583654999998</v>
      </c>
      <c r="AF184" s="75">
        <v>579.48185278999995</v>
      </c>
      <c r="AG184" s="78">
        <v>15227.404007209723</v>
      </c>
      <c r="AH184" s="79">
        <v>18272.884808419094</v>
      </c>
      <c r="AI184" s="74">
        <v>9136.4424040932608</v>
      </c>
      <c r="AJ184" s="75">
        <v>0</v>
      </c>
      <c r="AK184" s="75">
        <v>0</v>
      </c>
      <c r="AL184" s="80">
        <v>9136.4424040932608</v>
      </c>
      <c r="AM184" s="74">
        <v>2</v>
      </c>
      <c r="AN184" s="74">
        <v>1</v>
      </c>
      <c r="AO184" s="81">
        <v>0.5</v>
      </c>
      <c r="AP184" s="82">
        <v>18</v>
      </c>
      <c r="AQ184" s="75">
        <v>232.57166114308973</v>
      </c>
      <c r="AR184" s="75">
        <v>1823.3618233618233</v>
      </c>
      <c r="AS184" s="80">
        <v>2055.9334845049129</v>
      </c>
      <c r="AT184" s="74">
        <v>310.63904173498463</v>
      </c>
      <c r="AU184" s="75">
        <v>458.34486060817494</v>
      </c>
      <c r="AV184" s="75">
        <v>603.0051986743415</v>
      </c>
      <c r="AW184" s="75">
        <v>284.44790684342115</v>
      </c>
      <c r="AX184" s="80">
        <v>1656.4370078609222</v>
      </c>
      <c r="AY184" s="81">
        <v>3.1062232429430486E-2</v>
      </c>
      <c r="AZ184" s="83">
        <v>114.21852691693961</v>
      </c>
      <c r="BA184" s="80">
        <v>3.5478824308411405</v>
      </c>
      <c r="BB184" s="84">
        <v>2981.5963094249691</v>
      </c>
      <c r="BC184" s="85">
        <v>4.9445615327691526</v>
      </c>
      <c r="BD184" s="86">
        <v>0.19580463669403347</v>
      </c>
      <c r="BE184" s="84">
        <v>3266.0442162683903</v>
      </c>
      <c r="BF184" s="87">
        <v>3.6802442810348803</v>
      </c>
      <c r="BG184" s="88">
        <v>0.21448463669329423</v>
      </c>
      <c r="BH184" s="89">
        <v>0.1350153633233537</v>
      </c>
      <c r="BI184" s="90">
        <v>0.59999999998472664</v>
      </c>
      <c r="BJ184" s="90">
        <v>0.10877999999715306</v>
      </c>
      <c r="BK184" s="91">
        <v>0.84379536330523341</v>
      </c>
      <c r="BL184" s="92">
        <v>2378.5911107506272</v>
      </c>
      <c r="BM184" s="95">
        <v>0</v>
      </c>
      <c r="BN184" t="s">
        <v>402</v>
      </c>
      <c r="BO184">
        <v>0.85994999999999999</v>
      </c>
    </row>
    <row r="185" spans="1:67">
      <c r="A185" s="61" t="str">
        <f t="shared" si="3"/>
        <v>UK</v>
      </c>
      <c r="B185" s="62" t="s">
        <v>64</v>
      </c>
      <c r="C185" s="62" t="s">
        <v>176</v>
      </c>
      <c r="D185" s="63" t="s">
        <v>97</v>
      </c>
      <c r="E185" s="64">
        <v>43831</v>
      </c>
      <c r="F185" s="64">
        <v>43921</v>
      </c>
      <c r="G185" s="65">
        <v>43995</v>
      </c>
      <c r="H185" s="66" t="s">
        <v>132</v>
      </c>
      <c r="I185" s="67">
        <v>3</v>
      </c>
      <c r="J185" s="68">
        <v>2020</v>
      </c>
      <c r="K185" s="69">
        <v>1</v>
      </c>
      <c r="L185" s="70">
        <v>3</v>
      </c>
      <c r="M185" s="71" t="s">
        <v>140</v>
      </c>
      <c r="N185" s="71" t="s">
        <v>18</v>
      </c>
      <c r="O185" s="71" t="s">
        <v>114</v>
      </c>
      <c r="P185" s="71" t="s">
        <v>102</v>
      </c>
      <c r="Q185" s="61" t="s">
        <v>474</v>
      </c>
      <c r="R185" s="63" t="s">
        <v>165</v>
      </c>
      <c r="S185" s="72" t="s">
        <v>643</v>
      </c>
      <c r="T185" s="61" t="s">
        <v>405</v>
      </c>
      <c r="U185" s="73" t="s">
        <v>688</v>
      </c>
      <c r="V185" s="62">
        <v>107223</v>
      </c>
      <c r="W185" s="62" t="s">
        <v>556</v>
      </c>
      <c r="X185" s="62" t="s">
        <v>402</v>
      </c>
      <c r="Y185" s="93">
        <v>1</v>
      </c>
      <c r="Z185" s="94">
        <v>1</v>
      </c>
      <c r="AA185" s="74">
        <v>0</v>
      </c>
      <c r="AB185" s="75">
        <v>0</v>
      </c>
      <c r="AC185" s="75">
        <v>0</v>
      </c>
      <c r="AD185" s="76">
        <v>0</v>
      </c>
      <c r="AE185" s="77">
        <v>181.32426482</v>
      </c>
      <c r="AF185" s="75">
        <v>340.02905371999998</v>
      </c>
      <c r="AG185" s="78">
        <v>21197.834525263097</v>
      </c>
      <c r="AH185" s="79">
        <v>25437.401430315713</v>
      </c>
      <c r="AI185" s="74">
        <v>12718.700715157856</v>
      </c>
      <c r="AJ185" s="75">
        <v>0</v>
      </c>
      <c r="AK185" s="75">
        <v>0</v>
      </c>
      <c r="AL185" s="80">
        <v>12718.700715157856</v>
      </c>
      <c r="AM185" s="74">
        <v>0</v>
      </c>
      <c r="AN185" s="74">
        <v>0</v>
      </c>
      <c r="AO185" s="81" t="s">
        <v>403</v>
      </c>
      <c r="AP185" s="82">
        <v>0</v>
      </c>
      <c r="AQ185" s="75">
        <v>0</v>
      </c>
      <c r="AR185" s="75">
        <v>0</v>
      </c>
      <c r="AS185" s="80">
        <v>0</v>
      </c>
      <c r="AT185" s="74">
        <v>432.4358243153672</v>
      </c>
      <c r="AU185" s="75">
        <v>638.05481922204774</v>
      </c>
      <c r="AV185" s="75">
        <v>839.43424721204724</v>
      </c>
      <c r="AW185" s="75">
        <v>395.97554893889179</v>
      </c>
      <c r="AX185" s="80">
        <v>2305.9004396883543</v>
      </c>
      <c r="AY185" s="81">
        <v>0</v>
      </c>
      <c r="AZ185" s="83" t="s">
        <v>403</v>
      </c>
      <c r="BA185" s="80" t="s">
        <v>403</v>
      </c>
      <c r="BB185" s="84">
        <v>7012.6676176289329</v>
      </c>
      <c r="BC185" s="85">
        <v>8.3540404039025127</v>
      </c>
      <c r="BD185" s="86">
        <v>0.33081999999912232</v>
      </c>
      <c r="BE185" s="84">
        <v>7408.6431665678247</v>
      </c>
      <c r="BF185" s="87">
        <v>5.9969114618083026</v>
      </c>
      <c r="BG185" s="88">
        <v>0.34949999999945147</v>
      </c>
      <c r="BH185" s="89">
        <v>0</v>
      </c>
      <c r="BI185" s="90">
        <v>0.59999999999999987</v>
      </c>
      <c r="BJ185" s="90">
        <v>0.10878000000142631</v>
      </c>
      <c r="BK185" s="91">
        <v>0.70878000000142616</v>
      </c>
      <c r="BL185" s="92">
        <v>6173.2333704168868</v>
      </c>
      <c r="BM185" s="95">
        <v>0</v>
      </c>
      <c r="BN185" t="s">
        <v>402</v>
      </c>
      <c r="BO185">
        <v>0.85994999999999999</v>
      </c>
    </row>
    <row r="186" spans="1:67">
      <c r="A186" s="61" t="str">
        <f t="shared" si="3"/>
        <v>UK</v>
      </c>
      <c r="B186" s="62" t="s">
        <v>64</v>
      </c>
      <c r="C186" s="62" t="s">
        <v>176</v>
      </c>
      <c r="D186" s="63" t="s">
        <v>97</v>
      </c>
      <c r="E186" s="64">
        <v>43831</v>
      </c>
      <c r="F186" s="64">
        <v>43921</v>
      </c>
      <c r="G186" s="65">
        <v>43995</v>
      </c>
      <c r="H186" s="66" t="s">
        <v>132</v>
      </c>
      <c r="I186" s="67">
        <v>3</v>
      </c>
      <c r="J186" s="68">
        <v>2020</v>
      </c>
      <c r="K186" s="69">
        <v>1</v>
      </c>
      <c r="L186" s="70">
        <v>3</v>
      </c>
      <c r="M186" s="71" t="s">
        <v>140</v>
      </c>
      <c r="N186" s="71" t="s">
        <v>18</v>
      </c>
      <c r="O186" s="71" t="s">
        <v>114</v>
      </c>
      <c r="P186" s="71" t="s">
        <v>102</v>
      </c>
      <c r="Q186" s="61" t="s">
        <v>474</v>
      </c>
      <c r="R186" s="63" t="s">
        <v>106</v>
      </c>
      <c r="S186" s="72" t="s">
        <v>643</v>
      </c>
      <c r="T186" s="61" t="s">
        <v>405</v>
      </c>
      <c r="U186" s="73" t="s">
        <v>689</v>
      </c>
      <c r="V186" s="62">
        <v>107898</v>
      </c>
      <c r="W186" s="62" t="s">
        <v>556</v>
      </c>
      <c r="X186" s="62" t="s">
        <v>402</v>
      </c>
      <c r="Y186" s="93">
        <v>1</v>
      </c>
      <c r="Z186" s="94">
        <v>1</v>
      </c>
      <c r="AA186" s="74">
        <v>585</v>
      </c>
      <c r="AB186" s="75">
        <v>1338</v>
      </c>
      <c r="AC186" s="75">
        <v>116240.60505959649</v>
      </c>
      <c r="AD186" s="76">
        <v>139488.72606546892</v>
      </c>
      <c r="AE186" s="77">
        <v>164.88959016999999</v>
      </c>
      <c r="AF186" s="75">
        <v>367.76957849000001</v>
      </c>
      <c r="AG186" s="78">
        <v>33094.829074946218</v>
      </c>
      <c r="AH186" s="79">
        <v>39713.794890400604</v>
      </c>
      <c r="AI186" s="74">
        <v>19856.897445200302</v>
      </c>
      <c r="AJ186" s="75">
        <v>0</v>
      </c>
      <c r="AK186" s="75">
        <v>0</v>
      </c>
      <c r="AL186" s="80">
        <v>19856.897445200302</v>
      </c>
      <c r="AM186" s="74">
        <v>7</v>
      </c>
      <c r="AN186" s="74">
        <v>1</v>
      </c>
      <c r="AO186" s="81">
        <v>0.14285714285714285</v>
      </c>
      <c r="AP186" s="82">
        <v>28</v>
      </c>
      <c r="AQ186" s="75">
        <v>14872.887960927961</v>
      </c>
      <c r="AR186" s="75">
        <v>14902.878077795222</v>
      </c>
      <c r="AS186" s="80">
        <v>29775.766038723181</v>
      </c>
      <c r="AT186" s="74">
        <v>675.13451313448456</v>
      </c>
      <c r="AU186" s="75">
        <v>996.15435517181231</v>
      </c>
      <c r="AV186" s="75">
        <v>1310.5552313506601</v>
      </c>
      <c r="AW186" s="75">
        <v>618.21140712832141</v>
      </c>
      <c r="AX186" s="80">
        <v>3600.0555067852783</v>
      </c>
      <c r="AY186" s="81">
        <v>7.6134627869339513E-2</v>
      </c>
      <c r="AZ186" s="83">
        <v>1063.4202156686849</v>
      </c>
      <c r="BA186" s="80">
        <v>80.963102388668091</v>
      </c>
      <c r="BB186" s="84">
        <v>-18827.334684411886</v>
      </c>
      <c r="BC186" s="85">
        <v>-14.365922346522099</v>
      </c>
      <c r="BD186" s="86">
        <v>-0.56889052491480441</v>
      </c>
      <c r="BE186" s="84">
        <v>-18209.123277283565</v>
      </c>
      <c r="BF186" s="87">
        <v>-9.4408120267173512</v>
      </c>
      <c r="BG186" s="88">
        <v>-0.55021052491455291</v>
      </c>
      <c r="BH186" s="89">
        <v>0.89971052490687531</v>
      </c>
      <c r="BI186" s="90">
        <v>0.60000000000702747</v>
      </c>
      <c r="BJ186" s="90">
        <v>0.1087800000003816</v>
      </c>
      <c r="BK186" s="91">
        <v>1.6084905249142845</v>
      </c>
      <c r="BL186" s="92">
        <v>-20137.889915762542</v>
      </c>
      <c r="BM186" s="95">
        <v>0</v>
      </c>
      <c r="BN186" t="s">
        <v>402</v>
      </c>
      <c r="BO186">
        <v>0.85994999999999999</v>
      </c>
    </row>
    <row r="187" spans="1:67">
      <c r="A187" s="61" t="str">
        <f t="shared" si="3"/>
        <v>UK</v>
      </c>
      <c r="B187" s="62" t="s">
        <v>64</v>
      </c>
      <c r="C187" s="62" t="s">
        <v>176</v>
      </c>
      <c r="D187" s="63" t="s">
        <v>97</v>
      </c>
      <c r="E187" s="64">
        <v>43831</v>
      </c>
      <c r="F187" s="64">
        <v>43921</v>
      </c>
      <c r="G187" s="65">
        <v>43995</v>
      </c>
      <c r="H187" s="66" t="s">
        <v>132</v>
      </c>
      <c r="I187" s="67">
        <v>3</v>
      </c>
      <c r="J187" s="68">
        <v>2020</v>
      </c>
      <c r="K187" s="69">
        <v>1</v>
      </c>
      <c r="L187" s="70">
        <v>3</v>
      </c>
      <c r="M187" s="71" t="s">
        <v>140</v>
      </c>
      <c r="N187" s="71" t="s">
        <v>18</v>
      </c>
      <c r="O187" s="71" t="s">
        <v>114</v>
      </c>
      <c r="P187" s="71" t="s">
        <v>102</v>
      </c>
      <c r="Q187" s="61" t="s">
        <v>474</v>
      </c>
      <c r="R187" s="63" t="s">
        <v>165</v>
      </c>
      <c r="S187" s="72" t="s">
        <v>643</v>
      </c>
      <c r="T187" s="61" t="s">
        <v>405</v>
      </c>
      <c r="U187" s="73" t="s">
        <v>690</v>
      </c>
      <c r="V187" s="62">
        <v>107208</v>
      </c>
      <c r="W187" s="62" t="s">
        <v>556</v>
      </c>
      <c r="X187" s="62" t="s">
        <v>402</v>
      </c>
      <c r="Y187" s="93">
        <v>1</v>
      </c>
      <c r="Z187" s="94">
        <v>1</v>
      </c>
      <c r="AA187" s="74">
        <v>0</v>
      </c>
      <c r="AB187" s="75">
        <v>0</v>
      </c>
      <c r="AC187" s="75">
        <v>0</v>
      </c>
      <c r="AD187" s="76">
        <v>0</v>
      </c>
      <c r="AE187" s="77">
        <v>4.1916666666999998</v>
      </c>
      <c r="AF187" s="75">
        <v>9.0500000000000007</v>
      </c>
      <c r="AG187" s="78">
        <v>235.12994999709284</v>
      </c>
      <c r="AH187" s="79">
        <v>282.15593999651145</v>
      </c>
      <c r="AI187" s="74">
        <v>141.07796999825572</v>
      </c>
      <c r="AJ187" s="75">
        <v>0</v>
      </c>
      <c r="AK187" s="75">
        <v>0</v>
      </c>
      <c r="AL187" s="80">
        <v>141.07796999825572</v>
      </c>
      <c r="AM187" s="74">
        <v>0</v>
      </c>
      <c r="AN187" s="74">
        <v>0</v>
      </c>
      <c r="AO187" s="81" t="s">
        <v>403</v>
      </c>
      <c r="AP187" s="82">
        <v>0</v>
      </c>
      <c r="AQ187" s="75">
        <v>0</v>
      </c>
      <c r="AR187" s="75">
        <v>0</v>
      </c>
      <c r="AS187" s="80">
        <v>0</v>
      </c>
      <c r="AT187" s="74">
        <v>4.7966509799406944</v>
      </c>
      <c r="AU187" s="75">
        <v>7.0774114948543527</v>
      </c>
      <c r="AV187" s="75">
        <v>9.3111460197685911</v>
      </c>
      <c r="AW187" s="75">
        <v>4.3922274658991807</v>
      </c>
      <c r="AX187" s="80">
        <v>25.577435960462822</v>
      </c>
      <c r="AY187" s="81">
        <v>0</v>
      </c>
      <c r="AZ187" s="83" t="s">
        <v>403</v>
      </c>
      <c r="BA187" s="80" t="s">
        <v>403</v>
      </c>
      <c r="BB187" s="84">
        <v>77.785690058142904</v>
      </c>
      <c r="BC187" s="85">
        <v>8.3540404041559757</v>
      </c>
      <c r="BD187" s="86">
        <v>0.33082000000044509</v>
      </c>
      <c r="BE187" s="84">
        <v>82.177917524042073</v>
      </c>
      <c r="BF187" s="87">
        <v>5.9969114619835162</v>
      </c>
      <c r="BG187" s="88">
        <v>0.34950000000024722</v>
      </c>
      <c r="BH187" s="89">
        <v>0</v>
      </c>
      <c r="BI187" s="90">
        <v>0.60000000000000009</v>
      </c>
      <c r="BJ187" s="90">
        <v>0.10877999999906036</v>
      </c>
      <c r="BK187" s="91">
        <v>0.70877999999906049</v>
      </c>
      <c r="BL187" s="92">
        <v>68.47454403837429</v>
      </c>
      <c r="BM187" s="95">
        <v>0</v>
      </c>
      <c r="BN187" t="s">
        <v>402</v>
      </c>
      <c r="BO187">
        <v>0.85994999999999999</v>
      </c>
    </row>
    <row r="188" spans="1:67">
      <c r="A188" s="61" t="str">
        <f t="shared" si="3"/>
        <v>UK</v>
      </c>
      <c r="B188" s="62" t="s">
        <v>64</v>
      </c>
      <c r="C188" s="62" t="s">
        <v>176</v>
      </c>
      <c r="D188" s="63" t="s">
        <v>97</v>
      </c>
      <c r="E188" s="64">
        <v>43831</v>
      </c>
      <c r="F188" s="64">
        <v>43921</v>
      </c>
      <c r="G188" s="65">
        <v>43995</v>
      </c>
      <c r="H188" s="66" t="s">
        <v>132</v>
      </c>
      <c r="I188" s="67">
        <v>3</v>
      </c>
      <c r="J188" s="68">
        <v>2020</v>
      </c>
      <c r="K188" s="69">
        <v>1</v>
      </c>
      <c r="L188" s="70">
        <v>3</v>
      </c>
      <c r="M188" s="71" t="s">
        <v>140</v>
      </c>
      <c r="N188" s="71" t="s">
        <v>18</v>
      </c>
      <c r="O188" s="71" t="s">
        <v>114</v>
      </c>
      <c r="P188" s="71" t="s">
        <v>102</v>
      </c>
      <c r="Q188" s="61" t="s">
        <v>474</v>
      </c>
      <c r="R188" s="63" t="s">
        <v>106</v>
      </c>
      <c r="S188" s="72" t="s">
        <v>643</v>
      </c>
      <c r="T188" s="61" t="s">
        <v>405</v>
      </c>
      <c r="U188" s="73" t="s">
        <v>691</v>
      </c>
      <c r="V188" s="62">
        <v>107883</v>
      </c>
      <c r="W188" s="62" t="s">
        <v>556</v>
      </c>
      <c r="X188" s="62" t="s">
        <v>402</v>
      </c>
      <c r="Y188" s="93">
        <v>1</v>
      </c>
      <c r="Z188" s="94">
        <v>1</v>
      </c>
      <c r="AA188" s="74">
        <v>1059</v>
      </c>
      <c r="AB188" s="75">
        <v>2913</v>
      </c>
      <c r="AC188" s="75">
        <v>68746.012371649515</v>
      </c>
      <c r="AD188" s="76">
        <v>82495.214846211995</v>
      </c>
      <c r="AE188" s="77">
        <v>317.41278139000002</v>
      </c>
      <c r="AF188" s="75">
        <v>661.92780105999998</v>
      </c>
      <c r="AG188" s="78">
        <v>20648.895740450025</v>
      </c>
      <c r="AH188" s="79">
        <v>24778.674889237747</v>
      </c>
      <c r="AI188" s="74">
        <v>12389.337444037445</v>
      </c>
      <c r="AJ188" s="75">
        <v>0</v>
      </c>
      <c r="AK188" s="75">
        <v>0</v>
      </c>
      <c r="AL188" s="80">
        <v>12389.337444037445</v>
      </c>
      <c r="AM188" s="74">
        <v>3</v>
      </c>
      <c r="AN188" s="74">
        <v>0</v>
      </c>
      <c r="AO188" s="81">
        <v>0</v>
      </c>
      <c r="AP188" s="82">
        <v>15</v>
      </c>
      <c r="AQ188" s="75">
        <v>2455.2939127856271</v>
      </c>
      <c r="AR188" s="75">
        <v>2455.2939127856271</v>
      </c>
      <c r="AS188" s="80">
        <v>4910.5878255712541</v>
      </c>
      <c r="AT188" s="74">
        <v>421.23747310890167</v>
      </c>
      <c r="AU188" s="75">
        <v>621.53176178847616</v>
      </c>
      <c r="AV188" s="75">
        <v>817.69627132972846</v>
      </c>
      <c r="AW188" s="75">
        <v>385.72137244025816</v>
      </c>
      <c r="AX188" s="80">
        <v>2246.1868786673645</v>
      </c>
      <c r="AY188" s="81">
        <v>2.2661081731239048E-2</v>
      </c>
      <c r="AZ188" s="83">
        <v>327.37252170475028</v>
      </c>
      <c r="BA188" s="80">
        <v>7.4186154709131751</v>
      </c>
      <c r="BB188" s="84">
        <v>1920.4798635036932</v>
      </c>
      <c r="BC188" s="85">
        <v>2.3486469620078254</v>
      </c>
      <c r="BD188" s="86">
        <v>9.3006419696409298E-2</v>
      </c>
      <c r="BE188" s="84">
        <v>2306.2012359439505</v>
      </c>
      <c r="BF188" s="87">
        <v>1.9163764532479655</v>
      </c>
      <c r="BG188" s="88">
        <v>0.11168641969682824</v>
      </c>
      <c r="BH188" s="89">
        <v>0.23781358031420968</v>
      </c>
      <c r="BI188" s="90">
        <v>0.59999999998873688</v>
      </c>
      <c r="BJ188" s="90">
        <v>0.10878000000102721</v>
      </c>
      <c r="BK188" s="91">
        <v>0.94659358030397367</v>
      </c>
      <c r="BL188" s="92">
        <v>1102.7835921739606</v>
      </c>
      <c r="BM188" s="95">
        <v>0</v>
      </c>
      <c r="BN188" t="s">
        <v>402</v>
      </c>
      <c r="BO188">
        <v>0.85994999999999999</v>
      </c>
    </row>
    <row r="189" spans="1:67">
      <c r="A189" s="61" t="str">
        <f t="shared" si="3"/>
        <v>UK</v>
      </c>
      <c r="B189" s="62" t="s">
        <v>64</v>
      </c>
      <c r="C189" s="62" t="s">
        <v>176</v>
      </c>
      <c r="D189" s="63" t="s">
        <v>97</v>
      </c>
      <c r="E189" s="64">
        <v>43831</v>
      </c>
      <c r="F189" s="64">
        <v>43921</v>
      </c>
      <c r="G189" s="65">
        <v>43995</v>
      </c>
      <c r="H189" s="66" t="s">
        <v>132</v>
      </c>
      <c r="I189" s="67">
        <v>3</v>
      </c>
      <c r="J189" s="68">
        <v>2020</v>
      </c>
      <c r="K189" s="69">
        <v>1</v>
      </c>
      <c r="L189" s="70">
        <v>3</v>
      </c>
      <c r="M189" s="71" t="s">
        <v>140</v>
      </c>
      <c r="N189" s="71" t="s">
        <v>18</v>
      </c>
      <c r="O189" s="71" t="s">
        <v>114</v>
      </c>
      <c r="P189" s="71" t="s">
        <v>102</v>
      </c>
      <c r="Q189" s="61" t="s">
        <v>474</v>
      </c>
      <c r="R189" s="63" t="s">
        <v>165</v>
      </c>
      <c r="S189" s="72" t="s">
        <v>643</v>
      </c>
      <c r="T189" s="61" t="s">
        <v>405</v>
      </c>
      <c r="U189" s="73" t="s">
        <v>692</v>
      </c>
      <c r="V189" s="62">
        <v>107224</v>
      </c>
      <c r="W189" s="62" t="s">
        <v>556</v>
      </c>
      <c r="X189" s="62" t="s">
        <v>402</v>
      </c>
      <c r="Y189" s="93">
        <v>1</v>
      </c>
      <c r="Z189" s="94">
        <v>1</v>
      </c>
      <c r="AA189" s="74">
        <v>0</v>
      </c>
      <c r="AB189" s="75">
        <v>0</v>
      </c>
      <c r="AC189" s="75">
        <v>0</v>
      </c>
      <c r="AD189" s="76">
        <v>0</v>
      </c>
      <c r="AE189" s="77">
        <v>31.913283180000001</v>
      </c>
      <c r="AF189" s="75">
        <v>70.051757241999994</v>
      </c>
      <c r="AG189" s="78">
        <v>2945.8779622071052</v>
      </c>
      <c r="AH189" s="79">
        <v>3535.053554625269</v>
      </c>
      <c r="AI189" s="74">
        <v>1767.5267773707774</v>
      </c>
      <c r="AJ189" s="75">
        <v>0</v>
      </c>
      <c r="AK189" s="75">
        <v>0</v>
      </c>
      <c r="AL189" s="80">
        <v>1767.5267773707774</v>
      </c>
      <c r="AM189" s="74">
        <v>0</v>
      </c>
      <c r="AN189" s="74">
        <v>0</v>
      </c>
      <c r="AO189" s="81" t="s">
        <v>403</v>
      </c>
      <c r="AP189" s="82">
        <v>0</v>
      </c>
      <c r="AQ189" s="75">
        <v>0</v>
      </c>
      <c r="AR189" s="75">
        <v>0</v>
      </c>
      <c r="AS189" s="80">
        <v>0</v>
      </c>
      <c r="AT189" s="74">
        <v>60.095910429676145</v>
      </c>
      <c r="AU189" s="75">
        <v>88.670926663178093</v>
      </c>
      <c r="AV189" s="75">
        <v>116.65676730042443</v>
      </c>
      <c r="AW189" s="75">
        <v>55.029000334903195</v>
      </c>
      <c r="AX189" s="80">
        <v>320.45260472818183</v>
      </c>
      <c r="AY189" s="81">
        <v>0</v>
      </c>
      <c r="AZ189" s="83" t="s">
        <v>403</v>
      </c>
      <c r="BA189" s="80" t="s">
        <v>403</v>
      </c>
      <c r="BB189" s="84">
        <v>974.55534740857024</v>
      </c>
      <c r="BC189" s="85">
        <v>8.3540404038354019</v>
      </c>
      <c r="BD189" s="86">
        <v>0.33081999998343981</v>
      </c>
      <c r="BE189" s="84">
        <v>1029.5843477434735</v>
      </c>
      <c r="BF189" s="87">
        <v>5.9969114617024131</v>
      </c>
      <c r="BG189" s="88">
        <v>0.34949999998373665</v>
      </c>
      <c r="BH189" s="89">
        <v>0</v>
      </c>
      <c r="BI189" s="90">
        <v>0.60000000001578957</v>
      </c>
      <c r="BJ189" s="90">
        <v>0.10877999999975999</v>
      </c>
      <c r="BK189" s="91">
        <v>0.70878000001554953</v>
      </c>
      <c r="BL189" s="92">
        <v>857.89858010814578</v>
      </c>
      <c r="BM189" s="95">
        <v>0</v>
      </c>
      <c r="BN189" t="s">
        <v>402</v>
      </c>
      <c r="BO189">
        <v>0.85994999999999999</v>
      </c>
    </row>
    <row r="190" spans="1:67">
      <c r="A190" s="61" t="str">
        <f t="shared" si="3"/>
        <v>UK</v>
      </c>
      <c r="B190" s="62" t="s">
        <v>64</v>
      </c>
      <c r="C190" s="62" t="s">
        <v>176</v>
      </c>
      <c r="D190" s="63" t="s">
        <v>97</v>
      </c>
      <c r="E190" s="64">
        <v>43831</v>
      </c>
      <c r="F190" s="64">
        <v>43921</v>
      </c>
      <c r="G190" s="65">
        <v>43995</v>
      </c>
      <c r="H190" s="66" t="s">
        <v>132</v>
      </c>
      <c r="I190" s="67">
        <v>3</v>
      </c>
      <c r="J190" s="68">
        <v>2020</v>
      </c>
      <c r="K190" s="69">
        <v>1</v>
      </c>
      <c r="L190" s="70">
        <v>3</v>
      </c>
      <c r="M190" s="71" t="s">
        <v>140</v>
      </c>
      <c r="N190" s="71" t="s">
        <v>18</v>
      </c>
      <c r="O190" s="71" t="s">
        <v>114</v>
      </c>
      <c r="P190" s="71" t="s">
        <v>102</v>
      </c>
      <c r="Q190" s="61" t="s">
        <v>474</v>
      </c>
      <c r="R190" s="63" t="s">
        <v>106</v>
      </c>
      <c r="S190" s="72" t="s">
        <v>643</v>
      </c>
      <c r="T190" s="61" t="s">
        <v>405</v>
      </c>
      <c r="U190" s="73" t="s">
        <v>693</v>
      </c>
      <c r="V190" s="62">
        <v>107899</v>
      </c>
      <c r="W190" s="62" t="s">
        <v>556</v>
      </c>
      <c r="X190" s="62" t="s">
        <v>402</v>
      </c>
      <c r="Y190" s="93">
        <v>1</v>
      </c>
      <c r="Z190" s="94">
        <v>1</v>
      </c>
      <c r="AA190" s="74">
        <v>237</v>
      </c>
      <c r="AB190" s="75">
        <v>622</v>
      </c>
      <c r="AC190" s="75">
        <v>35991.230014535729</v>
      </c>
      <c r="AD190" s="76">
        <v>43189.476018373156</v>
      </c>
      <c r="AE190" s="77">
        <v>49.593616713000003</v>
      </c>
      <c r="AF190" s="75">
        <v>126.71048668</v>
      </c>
      <c r="AG190" s="78">
        <v>7835.426505843363</v>
      </c>
      <c r="AH190" s="79">
        <v>9402.511807081808</v>
      </c>
      <c r="AI190" s="74">
        <v>4701.2559034827609</v>
      </c>
      <c r="AJ190" s="75">
        <v>0</v>
      </c>
      <c r="AK190" s="75">
        <v>0</v>
      </c>
      <c r="AL190" s="80">
        <v>4701.2559034827609</v>
      </c>
      <c r="AM190" s="74">
        <v>5</v>
      </c>
      <c r="AN190" s="74">
        <v>1</v>
      </c>
      <c r="AO190" s="81">
        <v>0.2</v>
      </c>
      <c r="AP190" s="82">
        <v>14</v>
      </c>
      <c r="AQ190" s="75">
        <v>19727.984063026921</v>
      </c>
      <c r="AR190" s="75">
        <v>20246.616418396417</v>
      </c>
      <c r="AS190" s="80">
        <v>39974.600481423338</v>
      </c>
      <c r="AT190" s="74">
        <v>159.84270071515786</v>
      </c>
      <c r="AU190" s="75">
        <v>235.84633782196639</v>
      </c>
      <c r="AV190" s="75">
        <v>310.2828896331182</v>
      </c>
      <c r="AW190" s="75">
        <v>146.36576712599569</v>
      </c>
      <c r="AX190" s="80">
        <v>852.33769529623817</v>
      </c>
      <c r="AY190" s="81">
        <v>0.11048809271292746</v>
      </c>
      <c r="AZ190" s="83">
        <v>2855.3286058159529</v>
      </c>
      <c r="BA190" s="80">
        <v>315.47981172526693</v>
      </c>
      <c r="BB190" s="84">
        <v>-37382.48468472586</v>
      </c>
      <c r="BC190" s="85">
        <v>-120.47871775632652</v>
      </c>
      <c r="BD190" s="86">
        <v>-4.7709572231769926</v>
      </c>
      <c r="BE190" s="84">
        <v>-37236.118917599859</v>
      </c>
      <c r="BF190" s="87">
        <v>-81.542162374611408</v>
      </c>
      <c r="BG190" s="88">
        <v>-4.7522772231773951</v>
      </c>
      <c r="BH190" s="89">
        <v>5.1017772231813803</v>
      </c>
      <c r="BI190" s="90">
        <v>0.5999999999970318</v>
      </c>
      <c r="BJ190" s="90">
        <v>0.10877999999879996</v>
      </c>
      <c r="BK190" s="91">
        <v>5.8105572231772129</v>
      </c>
      <c r="BL190" s="92">
        <v>-37692.767574358979</v>
      </c>
      <c r="BM190" s="95">
        <v>0</v>
      </c>
      <c r="BN190" t="s">
        <v>402</v>
      </c>
      <c r="BO190">
        <v>0.85994999999999999</v>
      </c>
    </row>
    <row r="191" spans="1:67">
      <c r="A191" s="61" t="str">
        <f t="shared" si="3"/>
        <v>UK</v>
      </c>
      <c r="B191" s="62" t="s">
        <v>64</v>
      </c>
      <c r="C191" s="62" t="s">
        <v>176</v>
      </c>
      <c r="D191" s="63" t="s">
        <v>97</v>
      </c>
      <c r="E191" s="64">
        <v>43831</v>
      </c>
      <c r="F191" s="64">
        <v>43921</v>
      </c>
      <c r="G191" s="65">
        <v>43995</v>
      </c>
      <c r="H191" s="66" t="s">
        <v>132</v>
      </c>
      <c r="I191" s="67">
        <v>3</v>
      </c>
      <c r="J191" s="68">
        <v>2020</v>
      </c>
      <c r="K191" s="69">
        <v>1</v>
      </c>
      <c r="L191" s="70">
        <v>3</v>
      </c>
      <c r="M191" s="71" t="s">
        <v>140</v>
      </c>
      <c r="N191" s="71" t="s">
        <v>18</v>
      </c>
      <c r="O191" s="71" t="s">
        <v>114</v>
      </c>
      <c r="P191" s="71" t="s">
        <v>102</v>
      </c>
      <c r="Q191" s="61" t="s">
        <v>474</v>
      </c>
      <c r="R191" s="63" t="s">
        <v>165</v>
      </c>
      <c r="S191" s="72" t="s">
        <v>643</v>
      </c>
      <c r="T191" s="61" t="s">
        <v>405</v>
      </c>
      <c r="U191" s="73" t="s">
        <v>694</v>
      </c>
      <c r="V191" s="62">
        <v>107209</v>
      </c>
      <c r="W191" s="62" t="s">
        <v>556</v>
      </c>
      <c r="X191" s="62" t="s">
        <v>402</v>
      </c>
      <c r="Y191" s="93">
        <v>1</v>
      </c>
      <c r="Z191" s="94">
        <v>1</v>
      </c>
      <c r="AA191" s="74">
        <v>0</v>
      </c>
      <c r="AB191" s="75">
        <v>0</v>
      </c>
      <c r="AC191" s="75">
        <v>0</v>
      </c>
      <c r="AD191" s="76">
        <v>0</v>
      </c>
      <c r="AE191" s="77">
        <v>1.069047619</v>
      </c>
      <c r="AF191" s="75">
        <v>1.2297619047999999</v>
      </c>
      <c r="AG191" s="78">
        <v>39.756072999592995</v>
      </c>
      <c r="AH191" s="79">
        <v>47.707287600441887</v>
      </c>
      <c r="AI191" s="74">
        <v>23.853643800220944</v>
      </c>
      <c r="AJ191" s="75">
        <v>0</v>
      </c>
      <c r="AK191" s="75">
        <v>0</v>
      </c>
      <c r="AL191" s="80">
        <v>23.853643800220944</v>
      </c>
      <c r="AM191" s="74">
        <v>0</v>
      </c>
      <c r="AN191" s="74">
        <v>0</v>
      </c>
      <c r="AO191" s="81" t="s">
        <v>403</v>
      </c>
      <c r="AP191" s="82">
        <v>0</v>
      </c>
      <c r="AQ191" s="75">
        <v>0</v>
      </c>
      <c r="AR191" s="75">
        <v>0</v>
      </c>
      <c r="AS191" s="80">
        <v>0</v>
      </c>
      <c r="AT191" s="74">
        <v>0.81102388917960344</v>
      </c>
      <c r="AU191" s="75">
        <v>1.1966577973137973</v>
      </c>
      <c r="AV191" s="75">
        <v>1.5743404908424907</v>
      </c>
      <c r="AW191" s="75">
        <v>0.74264344368858648</v>
      </c>
      <c r="AX191" s="80">
        <v>4.3246656210244776</v>
      </c>
      <c r="AY191" s="81">
        <v>0</v>
      </c>
      <c r="AZ191" s="83" t="s">
        <v>403</v>
      </c>
      <c r="BA191" s="80" t="s">
        <v>403</v>
      </c>
      <c r="BB191" s="84">
        <v>13.152104069190063</v>
      </c>
      <c r="BC191" s="85">
        <v>8.3540404033893978</v>
      </c>
      <c r="BD191" s="86">
        <v>0.33081999998653561</v>
      </c>
      <c r="BE191" s="84">
        <v>13.894747512878649</v>
      </c>
      <c r="BF191" s="87">
        <v>5.996911461404129</v>
      </c>
      <c r="BG191" s="88">
        <v>0.34949999998794895</v>
      </c>
      <c r="BH191" s="89">
        <v>0</v>
      </c>
      <c r="BI191" s="90">
        <v>0.60000000001170006</v>
      </c>
      <c r="BJ191" s="90">
        <v>0.10878000000323854</v>
      </c>
      <c r="BK191" s="91">
        <v>0.70878000001493857</v>
      </c>
      <c r="BL191" s="92">
        <v>11.577763578347572</v>
      </c>
      <c r="BM191" s="95">
        <v>0</v>
      </c>
      <c r="BN191" t="s">
        <v>402</v>
      </c>
      <c r="BO191">
        <v>0.85994999999999999</v>
      </c>
    </row>
    <row r="192" spans="1:67">
      <c r="A192" s="61" t="str">
        <f t="shared" si="3"/>
        <v>UK</v>
      </c>
      <c r="B192" s="62" t="s">
        <v>64</v>
      </c>
      <c r="C192" s="62" t="s">
        <v>176</v>
      </c>
      <c r="D192" s="63" t="s">
        <v>97</v>
      </c>
      <c r="E192" s="64">
        <v>43831</v>
      </c>
      <c r="F192" s="64">
        <v>43921</v>
      </c>
      <c r="G192" s="65">
        <v>43995</v>
      </c>
      <c r="H192" s="66" t="s">
        <v>132</v>
      </c>
      <c r="I192" s="67">
        <v>3</v>
      </c>
      <c r="J192" s="68">
        <v>2020</v>
      </c>
      <c r="K192" s="69">
        <v>1</v>
      </c>
      <c r="L192" s="70">
        <v>3</v>
      </c>
      <c r="M192" s="71" t="s">
        <v>140</v>
      </c>
      <c r="N192" s="71" t="s">
        <v>18</v>
      </c>
      <c r="O192" s="71" t="s">
        <v>114</v>
      </c>
      <c r="P192" s="71" t="s">
        <v>102</v>
      </c>
      <c r="Q192" s="61" t="s">
        <v>474</v>
      </c>
      <c r="R192" s="63" t="s">
        <v>106</v>
      </c>
      <c r="S192" s="72" t="s">
        <v>643</v>
      </c>
      <c r="T192" s="61" t="s">
        <v>405</v>
      </c>
      <c r="U192" s="73" t="s">
        <v>695</v>
      </c>
      <c r="V192" s="62">
        <v>107884</v>
      </c>
      <c r="W192" s="62" t="s">
        <v>556</v>
      </c>
      <c r="X192" s="62" t="s">
        <v>402</v>
      </c>
      <c r="Y192" s="93">
        <v>1</v>
      </c>
      <c r="Z192" s="94">
        <v>1</v>
      </c>
      <c r="AA192" s="74">
        <v>1819</v>
      </c>
      <c r="AB192" s="75">
        <v>5238</v>
      </c>
      <c r="AC192" s="75">
        <v>80395.090643642077</v>
      </c>
      <c r="AD192" s="76">
        <v>96474.108772603053</v>
      </c>
      <c r="AE192" s="77">
        <v>507.30042881000003</v>
      </c>
      <c r="AF192" s="75">
        <v>1218.4354020999999</v>
      </c>
      <c r="AG192" s="78">
        <v>21847.359473225188</v>
      </c>
      <c r="AH192" s="79">
        <v>26216.831368102798</v>
      </c>
      <c r="AI192" s="74">
        <v>13108.415684632828</v>
      </c>
      <c r="AJ192" s="75">
        <v>0</v>
      </c>
      <c r="AK192" s="75">
        <v>0</v>
      </c>
      <c r="AL192" s="80">
        <v>13108.415684632828</v>
      </c>
      <c r="AM192" s="74">
        <v>5</v>
      </c>
      <c r="AN192" s="74">
        <v>3</v>
      </c>
      <c r="AO192" s="81">
        <v>0.6</v>
      </c>
      <c r="AP192" s="82">
        <v>40</v>
      </c>
      <c r="AQ192" s="75">
        <v>625.68753269376123</v>
      </c>
      <c r="AR192" s="75">
        <v>3637.1038004535144</v>
      </c>
      <c r="AS192" s="80">
        <v>4262.7913331472755</v>
      </c>
      <c r="AT192" s="74">
        <v>445.68613326356183</v>
      </c>
      <c r="AU192" s="75">
        <v>657.60552015814869</v>
      </c>
      <c r="AV192" s="75">
        <v>865.15543516483524</v>
      </c>
      <c r="AW192" s="75">
        <v>408.10867496947498</v>
      </c>
      <c r="AX192" s="80">
        <v>2376.5557635560208</v>
      </c>
      <c r="AY192" s="81">
        <v>3.2828987019795329E-2</v>
      </c>
      <c r="AZ192" s="83">
        <v>106.56978332868189</v>
      </c>
      <c r="BA192" s="80">
        <v>3.4985780335996983</v>
      </c>
      <c r="BB192" s="84">
        <v>2964.7521270539</v>
      </c>
      <c r="BC192" s="85">
        <v>3.4268433238115592</v>
      </c>
      <c r="BD192" s="86">
        <v>0.13570299562687757</v>
      </c>
      <c r="BE192" s="84">
        <v>3372.8608020233733</v>
      </c>
      <c r="BF192" s="87">
        <v>2.6489875707464865</v>
      </c>
      <c r="BG192" s="88">
        <v>0.15438299562731822</v>
      </c>
      <c r="BH192" s="89">
        <v>0.1951170043396547</v>
      </c>
      <c r="BI192" s="90">
        <v>0.60000000003193588</v>
      </c>
      <c r="BJ192" s="90">
        <v>0.10878000000268155</v>
      </c>
      <c r="BK192" s="91">
        <v>0.90389700437427212</v>
      </c>
      <c r="BL192" s="92">
        <v>2099.5966918890626</v>
      </c>
      <c r="BM192" s="95">
        <v>0</v>
      </c>
      <c r="BN192" t="s">
        <v>402</v>
      </c>
      <c r="BO192">
        <v>0.85994999999999999</v>
      </c>
    </row>
    <row r="193" spans="1:67">
      <c r="A193" s="61" t="str">
        <f t="shared" si="3"/>
        <v>UK</v>
      </c>
      <c r="B193" s="62" t="s">
        <v>64</v>
      </c>
      <c r="C193" s="62" t="s">
        <v>176</v>
      </c>
      <c r="D193" s="63" t="s">
        <v>97</v>
      </c>
      <c r="E193" s="64">
        <v>43831</v>
      </c>
      <c r="F193" s="64">
        <v>43921</v>
      </c>
      <c r="G193" s="65">
        <v>43995</v>
      </c>
      <c r="H193" s="66" t="s">
        <v>132</v>
      </c>
      <c r="I193" s="67">
        <v>3</v>
      </c>
      <c r="J193" s="68">
        <v>2020</v>
      </c>
      <c r="K193" s="69">
        <v>1</v>
      </c>
      <c r="L193" s="70">
        <v>3</v>
      </c>
      <c r="M193" s="71" t="s">
        <v>140</v>
      </c>
      <c r="N193" s="71" t="s">
        <v>18</v>
      </c>
      <c r="O193" s="71" t="s">
        <v>114</v>
      </c>
      <c r="P193" s="71" t="s">
        <v>102</v>
      </c>
      <c r="Q193" s="61" t="s">
        <v>474</v>
      </c>
      <c r="R193" s="63" t="s">
        <v>165</v>
      </c>
      <c r="S193" s="72" t="s">
        <v>696</v>
      </c>
      <c r="T193" s="61" t="s">
        <v>405</v>
      </c>
      <c r="U193" s="73" t="s">
        <v>697</v>
      </c>
      <c r="V193" s="62">
        <v>107225</v>
      </c>
      <c r="W193" s="62" t="s">
        <v>556</v>
      </c>
      <c r="X193" s="62" t="s">
        <v>402</v>
      </c>
      <c r="Y193" s="93">
        <v>1</v>
      </c>
      <c r="Z193" s="94">
        <v>1</v>
      </c>
      <c r="AA193" s="74">
        <v>0</v>
      </c>
      <c r="AB193" s="75">
        <v>0</v>
      </c>
      <c r="AC193" s="75">
        <v>0</v>
      </c>
      <c r="AD193" s="76">
        <v>0</v>
      </c>
      <c r="AE193" s="77">
        <v>27.581832471999999</v>
      </c>
      <c r="AF193" s="75">
        <v>48.365040422</v>
      </c>
      <c r="AG193" s="78">
        <v>2996.2350994825283</v>
      </c>
      <c r="AH193" s="79">
        <v>3595.4821193092621</v>
      </c>
      <c r="AI193" s="74">
        <v>1797.7410597127739</v>
      </c>
      <c r="AJ193" s="75">
        <v>0</v>
      </c>
      <c r="AK193" s="75">
        <v>0</v>
      </c>
      <c r="AL193" s="80">
        <v>1797.7410597127739</v>
      </c>
      <c r="AM193" s="74">
        <v>0</v>
      </c>
      <c r="AN193" s="74">
        <v>0</v>
      </c>
      <c r="AO193" s="81" t="s">
        <v>403</v>
      </c>
      <c r="AP193" s="82">
        <v>0</v>
      </c>
      <c r="AQ193" s="75">
        <v>0</v>
      </c>
      <c r="AR193" s="75">
        <v>0</v>
      </c>
      <c r="AS193" s="80">
        <v>0</v>
      </c>
      <c r="AT193" s="74">
        <v>61.12319602883889</v>
      </c>
      <c r="AU193" s="75">
        <v>90.186676492819359</v>
      </c>
      <c r="AV193" s="75">
        <v>118.65090993662423</v>
      </c>
      <c r="AW193" s="75">
        <v>55.969671657654516</v>
      </c>
      <c r="AX193" s="80">
        <v>325.93045411593698</v>
      </c>
      <c r="AY193" s="81">
        <v>0</v>
      </c>
      <c r="AZ193" s="83" t="s">
        <v>403</v>
      </c>
      <c r="BA193" s="80" t="s">
        <v>403</v>
      </c>
      <c r="BB193" s="84">
        <v>991.21449559044163</v>
      </c>
      <c r="BC193" s="85">
        <v>8.3540404040717888</v>
      </c>
      <c r="BD193" s="86">
        <v>0.330819999993202</v>
      </c>
      <c r="BE193" s="84">
        <v>1047.1841672480962</v>
      </c>
      <c r="BF193" s="87">
        <v>5.9969114619098605</v>
      </c>
      <c r="BG193" s="88">
        <v>0.34949999999297537</v>
      </c>
      <c r="BH193" s="89">
        <v>0</v>
      </c>
      <c r="BI193" s="90">
        <v>0.6000000000077621</v>
      </c>
      <c r="BJ193" s="90">
        <v>0.10877999999807343</v>
      </c>
      <c r="BK193" s="91">
        <v>0.70878000000583552</v>
      </c>
      <c r="BL193" s="92">
        <v>872.56358565381743</v>
      </c>
      <c r="BM193" s="95">
        <v>0</v>
      </c>
      <c r="BN193" t="s">
        <v>402</v>
      </c>
      <c r="BO193">
        <v>0.85994999999999999</v>
      </c>
    </row>
    <row r="194" spans="1:67">
      <c r="A194" s="61" t="str">
        <f t="shared" si="3"/>
        <v>UK</v>
      </c>
      <c r="B194" s="62" t="s">
        <v>64</v>
      </c>
      <c r="C194" s="62" t="s">
        <v>176</v>
      </c>
      <c r="D194" s="63" t="s">
        <v>97</v>
      </c>
      <c r="E194" s="64">
        <v>43831</v>
      </c>
      <c r="F194" s="64">
        <v>43921</v>
      </c>
      <c r="G194" s="65">
        <v>43995</v>
      </c>
      <c r="H194" s="66" t="s">
        <v>132</v>
      </c>
      <c r="I194" s="67">
        <v>3</v>
      </c>
      <c r="J194" s="68">
        <v>2020</v>
      </c>
      <c r="K194" s="69">
        <v>1</v>
      </c>
      <c r="L194" s="70">
        <v>3</v>
      </c>
      <c r="M194" s="71" t="s">
        <v>140</v>
      </c>
      <c r="N194" s="71" t="s">
        <v>18</v>
      </c>
      <c r="O194" s="71" t="s">
        <v>114</v>
      </c>
      <c r="P194" s="71" t="s">
        <v>102</v>
      </c>
      <c r="Q194" s="61" t="s">
        <v>474</v>
      </c>
      <c r="R194" s="63" t="s">
        <v>112</v>
      </c>
      <c r="S194" s="72" t="s">
        <v>696</v>
      </c>
      <c r="T194" s="61" t="s">
        <v>405</v>
      </c>
      <c r="U194" s="73" t="s">
        <v>698</v>
      </c>
      <c r="V194" s="62">
        <v>107900</v>
      </c>
      <c r="W194" s="62" t="s">
        <v>556</v>
      </c>
      <c r="X194" s="62" t="s">
        <v>402</v>
      </c>
      <c r="Y194" s="93">
        <v>1</v>
      </c>
      <c r="Z194" s="94">
        <v>1</v>
      </c>
      <c r="AA194" s="74">
        <v>156</v>
      </c>
      <c r="AB194" s="75">
        <v>248</v>
      </c>
      <c r="AC194" s="75">
        <v>33300.802133844991</v>
      </c>
      <c r="AD194" s="76">
        <v>39960.962560613989</v>
      </c>
      <c r="AE194" s="77">
        <v>57.906099056000002</v>
      </c>
      <c r="AF194" s="75">
        <v>91.704854795000003</v>
      </c>
      <c r="AG194" s="78">
        <v>12233.873519390663</v>
      </c>
      <c r="AH194" s="79">
        <v>14680.648223733937</v>
      </c>
      <c r="AI194" s="74">
        <v>7340.3241118669685</v>
      </c>
      <c r="AJ194" s="75">
        <v>0</v>
      </c>
      <c r="AK194" s="75">
        <v>0</v>
      </c>
      <c r="AL194" s="80">
        <v>7340.3241118669685</v>
      </c>
      <c r="AM194" s="74">
        <v>3</v>
      </c>
      <c r="AN194" s="74">
        <v>0</v>
      </c>
      <c r="AO194" s="81">
        <v>0</v>
      </c>
      <c r="AP194" s="82">
        <v>10</v>
      </c>
      <c r="AQ194" s="75">
        <v>3998.9999446479446</v>
      </c>
      <c r="AR194" s="75">
        <v>3998.9999446479446</v>
      </c>
      <c r="AS194" s="80">
        <v>7997.9998892958893</v>
      </c>
      <c r="AT194" s="74">
        <v>249.57101980347696</v>
      </c>
      <c r="AU194" s="75">
        <v>368.2395929414501</v>
      </c>
      <c r="AV194" s="75">
        <v>484.46139138321996</v>
      </c>
      <c r="AW194" s="75">
        <v>228.52875734635737</v>
      </c>
      <c r="AX194" s="80">
        <v>1330.8007614745045</v>
      </c>
      <c r="AY194" s="81">
        <v>0.10904548098739508</v>
      </c>
      <c r="AZ194" s="83">
        <v>799.79998892958895</v>
      </c>
      <c r="BA194" s="80">
        <v>87.214574486540286</v>
      </c>
      <c r="BB194" s="84">
        <v>-3950.7898518634811</v>
      </c>
      <c r="BC194" s="85">
        <v>-8.1550148724613578</v>
      </c>
      <c r="BD194" s="86">
        <v>-0.32293858895970173</v>
      </c>
      <c r="BE194" s="84">
        <v>-3722.2610945171236</v>
      </c>
      <c r="BF194" s="87">
        <v>-5.2206346765793841</v>
      </c>
      <c r="BG194" s="88">
        <v>-0.30425858895936336</v>
      </c>
      <c r="BH194" s="89">
        <v>0.65375858893906957</v>
      </c>
      <c r="BI194" s="90">
        <v>0.60000000001901033</v>
      </c>
      <c r="BJ194" s="90">
        <v>0.10878000000287628</v>
      </c>
      <c r="BK194" s="91">
        <v>1.3625385889609563</v>
      </c>
      <c r="BL194" s="92">
        <v>-4435.2512432466992</v>
      </c>
      <c r="BM194" s="95">
        <v>0</v>
      </c>
      <c r="BN194" t="s">
        <v>402</v>
      </c>
      <c r="BO194">
        <v>0.85994999999999999</v>
      </c>
    </row>
    <row r="195" spans="1:67">
      <c r="A195" s="61" t="str">
        <f t="shared" si="3"/>
        <v>UK</v>
      </c>
      <c r="B195" s="62" t="s">
        <v>64</v>
      </c>
      <c r="C195" s="62" t="s">
        <v>176</v>
      </c>
      <c r="D195" s="63" t="s">
        <v>97</v>
      </c>
      <c r="E195" s="64">
        <v>43831</v>
      </c>
      <c r="F195" s="64">
        <v>43921</v>
      </c>
      <c r="G195" s="65">
        <v>43995</v>
      </c>
      <c r="H195" s="66" t="s">
        <v>132</v>
      </c>
      <c r="I195" s="67">
        <v>3</v>
      </c>
      <c r="J195" s="68">
        <v>2020</v>
      </c>
      <c r="K195" s="69">
        <v>1</v>
      </c>
      <c r="L195" s="70">
        <v>3</v>
      </c>
      <c r="M195" s="71" t="s">
        <v>140</v>
      </c>
      <c r="N195" s="71" t="s">
        <v>18</v>
      </c>
      <c r="O195" s="71" t="s">
        <v>114</v>
      </c>
      <c r="P195" s="71" t="s">
        <v>102</v>
      </c>
      <c r="Q195" s="61" t="s">
        <v>474</v>
      </c>
      <c r="R195" s="63" t="s">
        <v>165</v>
      </c>
      <c r="S195" s="72" t="s">
        <v>696</v>
      </c>
      <c r="T195" s="61" t="s">
        <v>405</v>
      </c>
      <c r="U195" s="73" t="s">
        <v>699</v>
      </c>
      <c r="V195" s="62">
        <v>107237</v>
      </c>
      <c r="W195" s="62" t="s">
        <v>556</v>
      </c>
      <c r="X195" s="62" t="s">
        <v>402</v>
      </c>
      <c r="Y195" s="93">
        <v>1</v>
      </c>
      <c r="Z195" s="94">
        <v>1</v>
      </c>
      <c r="AA195" s="74">
        <v>0</v>
      </c>
      <c r="AB195" s="75">
        <v>0</v>
      </c>
      <c r="AC195" s="75">
        <v>0</v>
      </c>
      <c r="AD195" s="76">
        <v>0</v>
      </c>
      <c r="AE195" s="77">
        <v>1.1464285714</v>
      </c>
      <c r="AF195" s="75">
        <v>2.4214285713999999</v>
      </c>
      <c r="AG195" s="78">
        <v>35.659568966800393</v>
      </c>
      <c r="AH195" s="79">
        <v>42.79148275946276</v>
      </c>
      <c r="AI195" s="74">
        <v>21.39574138031281</v>
      </c>
      <c r="AJ195" s="75">
        <v>0</v>
      </c>
      <c r="AK195" s="75">
        <v>0</v>
      </c>
      <c r="AL195" s="80">
        <v>21.39574138031281</v>
      </c>
      <c r="AM195" s="74">
        <v>0</v>
      </c>
      <c r="AN195" s="74">
        <v>0</v>
      </c>
      <c r="AO195" s="81" t="s">
        <v>403</v>
      </c>
      <c r="AP195" s="82">
        <v>0</v>
      </c>
      <c r="AQ195" s="75">
        <v>0</v>
      </c>
      <c r="AR195" s="75">
        <v>0</v>
      </c>
      <c r="AS195" s="80">
        <v>0</v>
      </c>
      <c r="AT195" s="74">
        <v>0.72745520693063559</v>
      </c>
      <c r="AU195" s="75">
        <v>1.0733530258735973</v>
      </c>
      <c r="AV195" s="75">
        <v>1.4121189311006455</v>
      </c>
      <c r="AW195" s="75">
        <v>0.66612074829931978</v>
      </c>
      <c r="AX195" s="80">
        <v>3.8790479122041979</v>
      </c>
      <c r="AY195" s="81">
        <v>0</v>
      </c>
      <c r="AZ195" s="83" t="s">
        <v>403</v>
      </c>
      <c r="BA195" s="80" t="s">
        <v>403</v>
      </c>
      <c r="BB195" s="84">
        <v>11.79689860538403</v>
      </c>
      <c r="BC195" s="85">
        <v>8.3540404037988445</v>
      </c>
      <c r="BD195" s="86">
        <v>0.33081999999403033</v>
      </c>
      <c r="BE195" s="84">
        <v>12.46301935368335</v>
      </c>
      <c r="BF195" s="87">
        <v>5.9969114617625365</v>
      </c>
      <c r="BG195" s="88">
        <v>0.34949999999401599</v>
      </c>
      <c r="BH195" s="89">
        <v>0</v>
      </c>
      <c r="BI195" s="90">
        <v>0.60000000000652209</v>
      </c>
      <c r="BJ195" s="90">
        <v>0.10877999999987804</v>
      </c>
      <c r="BK195" s="91">
        <v>0.70878000000640018</v>
      </c>
      <c r="BL195" s="92">
        <v>10.384779674283386</v>
      </c>
      <c r="BM195" s="95">
        <v>0</v>
      </c>
      <c r="BN195" t="s">
        <v>402</v>
      </c>
      <c r="BO195">
        <v>0.85994999999999999</v>
      </c>
    </row>
    <row r="196" spans="1:67">
      <c r="A196" s="61" t="str">
        <f t="shared" si="3"/>
        <v>UK</v>
      </c>
      <c r="B196" s="62" t="s">
        <v>64</v>
      </c>
      <c r="C196" s="62" t="s">
        <v>176</v>
      </c>
      <c r="D196" s="63" t="s">
        <v>97</v>
      </c>
      <c r="E196" s="64">
        <v>43831</v>
      </c>
      <c r="F196" s="64">
        <v>43921</v>
      </c>
      <c r="G196" s="65">
        <v>43995</v>
      </c>
      <c r="H196" s="66" t="s">
        <v>132</v>
      </c>
      <c r="I196" s="67">
        <v>3</v>
      </c>
      <c r="J196" s="68">
        <v>2020</v>
      </c>
      <c r="K196" s="69">
        <v>1</v>
      </c>
      <c r="L196" s="70">
        <v>3</v>
      </c>
      <c r="M196" s="71" t="s">
        <v>140</v>
      </c>
      <c r="N196" s="71" t="s">
        <v>18</v>
      </c>
      <c r="O196" s="71" t="s">
        <v>114</v>
      </c>
      <c r="P196" s="71" t="s">
        <v>102</v>
      </c>
      <c r="Q196" s="61" t="s">
        <v>474</v>
      </c>
      <c r="R196" s="63" t="s">
        <v>106</v>
      </c>
      <c r="S196" s="72" t="s">
        <v>696</v>
      </c>
      <c r="T196" s="61" t="s">
        <v>405</v>
      </c>
      <c r="U196" s="73" t="s">
        <v>700</v>
      </c>
      <c r="V196" s="62">
        <v>107912</v>
      </c>
      <c r="W196" s="62" t="s">
        <v>556</v>
      </c>
      <c r="X196" s="62" t="s">
        <v>402</v>
      </c>
      <c r="Y196" s="93">
        <v>1</v>
      </c>
      <c r="Z196" s="94">
        <v>1</v>
      </c>
      <c r="AA196" s="74">
        <v>2446</v>
      </c>
      <c r="AB196" s="75">
        <v>5160</v>
      </c>
      <c r="AC196" s="75">
        <v>57152.537876620736</v>
      </c>
      <c r="AD196" s="76">
        <v>68583.045451479731</v>
      </c>
      <c r="AE196" s="77">
        <v>688.60894687999996</v>
      </c>
      <c r="AF196" s="75">
        <v>1103.9915854000001</v>
      </c>
      <c r="AG196" s="78">
        <v>19408.442244316528</v>
      </c>
      <c r="AH196" s="79">
        <v>23290.13069364498</v>
      </c>
      <c r="AI196" s="74">
        <v>11645.06534682249</v>
      </c>
      <c r="AJ196" s="75">
        <v>0</v>
      </c>
      <c r="AK196" s="75">
        <v>0</v>
      </c>
      <c r="AL196" s="80">
        <v>11645.06534682249</v>
      </c>
      <c r="AM196" s="74">
        <v>20</v>
      </c>
      <c r="AN196" s="74">
        <v>4</v>
      </c>
      <c r="AO196" s="81">
        <v>0.2</v>
      </c>
      <c r="AP196" s="82">
        <v>53</v>
      </c>
      <c r="AQ196" s="75">
        <v>14072.504314204314</v>
      </c>
      <c r="AR196" s="75">
        <v>17976.222929240073</v>
      </c>
      <c r="AS196" s="80">
        <v>32048.727243444388</v>
      </c>
      <c r="AT196" s="74">
        <v>395.93222178033608</v>
      </c>
      <c r="AU196" s="75">
        <v>584.19411155299724</v>
      </c>
      <c r="AV196" s="75">
        <v>768.57431287865575</v>
      </c>
      <c r="AW196" s="75">
        <v>362.5497011221583</v>
      </c>
      <c r="AX196" s="80">
        <v>2111.2503473341476</v>
      </c>
      <c r="AY196" s="81">
        <v>4.8007612287005751E-2</v>
      </c>
      <c r="AZ196" s="83">
        <v>604.69296685744132</v>
      </c>
      <c r="BA196" s="80">
        <v>29.029865505571262</v>
      </c>
      <c r="BB196" s="84">
        <v>-25628.026380405845</v>
      </c>
      <c r="BC196" s="85">
        <v>-33.344890599345412</v>
      </c>
      <c r="BD196" s="86">
        <v>-1.3204576677404716</v>
      </c>
      <c r="BE196" s="84">
        <v>-25265.476679283685</v>
      </c>
      <c r="BF196" s="87">
        <v>-22.336610633805801</v>
      </c>
      <c r="BG196" s="88">
        <v>-1.3017776677405577</v>
      </c>
      <c r="BH196" s="89">
        <v>1.6512776677288141</v>
      </c>
      <c r="BI196" s="90">
        <v>0.60000000001198306</v>
      </c>
      <c r="BJ196" s="90">
        <v>0.10877999999986582</v>
      </c>
      <c r="BK196" s="91">
        <v>2.3600576677406631</v>
      </c>
      <c r="BL196" s="92">
        <v>-26396.600693284501</v>
      </c>
      <c r="BM196" s="95">
        <v>0</v>
      </c>
      <c r="BN196" t="s">
        <v>402</v>
      </c>
      <c r="BO196">
        <v>0.85994999999999999</v>
      </c>
    </row>
    <row r="197" spans="1:67">
      <c r="A197" s="61" t="str">
        <f t="shared" si="3"/>
        <v>UK</v>
      </c>
      <c r="B197" s="62" t="s">
        <v>64</v>
      </c>
      <c r="C197" s="62" t="s">
        <v>176</v>
      </c>
      <c r="D197" s="63" t="s">
        <v>97</v>
      </c>
      <c r="E197" s="64">
        <v>43831</v>
      </c>
      <c r="F197" s="64">
        <v>43921</v>
      </c>
      <c r="G197" s="65">
        <v>43995</v>
      </c>
      <c r="H197" s="66" t="s">
        <v>132</v>
      </c>
      <c r="I197" s="67">
        <v>3</v>
      </c>
      <c r="J197" s="68">
        <v>2020</v>
      </c>
      <c r="K197" s="69">
        <v>1</v>
      </c>
      <c r="L197" s="70">
        <v>3</v>
      </c>
      <c r="M197" s="71" t="s">
        <v>140</v>
      </c>
      <c r="N197" s="71" t="s">
        <v>18</v>
      </c>
      <c r="O197" s="71" t="s">
        <v>114</v>
      </c>
      <c r="P197" s="71" t="s">
        <v>102</v>
      </c>
      <c r="Q197" s="61" t="s">
        <v>474</v>
      </c>
      <c r="R197" s="63" t="s">
        <v>165</v>
      </c>
      <c r="S197" s="72" t="s">
        <v>696</v>
      </c>
      <c r="T197" s="61" t="s">
        <v>405</v>
      </c>
      <c r="U197" s="73" t="s">
        <v>701</v>
      </c>
      <c r="V197" s="62">
        <v>107226</v>
      </c>
      <c r="W197" s="62" t="s">
        <v>556</v>
      </c>
      <c r="X197" s="62" t="s">
        <v>402</v>
      </c>
      <c r="Y197" s="93">
        <v>1</v>
      </c>
      <c r="Z197" s="94">
        <v>1</v>
      </c>
      <c r="AA197" s="74">
        <v>0</v>
      </c>
      <c r="AB197" s="75">
        <v>0</v>
      </c>
      <c r="AC197" s="75">
        <v>0</v>
      </c>
      <c r="AD197" s="76">
        <v>0</v>
      </c>
      <c r="AE197" s="77">
        <v>6.6459633954999999</v>
      </c>
      <c r="AF197" s="75">
        <v>14.037828429999999</v>
      </c>
      <c r="AG197" s="78">
        <v>787.77565038665034</v>
      </c>
      <c r="AH197" s="79">
        <v>945.33078045235186</v>
      </c>
      <c r="AI197" s="74">
        <v>472.66539023199027</v>
      </c>
      <c r="AJ197" s="75">
        <v>0</v>
      </c>
      <c r="AK197" s="75">
        <v>0</v>
      </c>
      <c r="AL197" s="80">
        <v>472.66539023199027</v>
      </c>
      <c r="AM197" s="74">
        <v>0</v>
      </c>
      <c r="AN197" s="74">
        <v>0</v>
      </c>
      <c r="AO197" s="81" t="s">
        <v>403</v>
      </c>
      <c r="AP197" s="82">
        <v>0</v>
      </c>
      <c r="AQ197" s="75">
        <v>0</v>
      </c>
      <c r="AR197" s="75">
        <v>0</v>
      </c>
      <c r="AS197" s="80">
        <v>0</v>
      </c>
      <c r="AT197" s="74">
        <v>16.070623267631838</v>
      </c>
      <c r="AU197" s="75">
        <v>23.712047075992793</v>
      </c>
      <c r="AV197" s="75">
        <v>31.195915755567185</v>
      </c>
      <c r="AW197" s="75">
        <v>14.715649149369151</v>
      </c>
      <c r="AX197" s="80">
        <v>85.694235248560972</v>
      </c>
      <c r="AY197" s="81">
        <v>0</v>
      </c>
      <c r="AZ197" s="83" t="s">
        <v>403</v>
      </c>
      <c r="BA197" s="80" t="s">
        <v>403</v>
      </c>
      <c r="BB197" s="84">
        <v>260.61194066166627</v>
      </c>
      <c r="BC197" s="85">
        <v>8.3540404039960841</v>
      </c>
      <c r="BD197" s="86">
        <v>0.3308200000009579</v>
      </c>
      <c r="BE197" s="84">
        <v>275.32758981103541</v>
      </c>
      <c r="BF197" s="87">
        <v>5.9969114618751025</v>
      </c>
      <c r="BG197" s="88">
        <v>0.3495000000011439</v>
      </c>
      <c r="BH197" s="89">
        <v>0</v>
      </c>
      <c r="BI197" s="90">
        <v>0.60000000000000009</v>
      </c>
      <c r="BJ197" s="90">
        <v>0.10877999999936676</v>
      </c>
      <c r="BK197" s="91">
        <v>0.70877999999936681</v>
      </c>
      <c r="BL197" s="92">
        <v>229.4160249060991</v>
      </c>
      <c r="BM197" s="95">
        <v>0</v>
      </c>
      <c r="BN197" t="s">
        <v>402</v>
      </c>
      <c r="BO197">
        <v>0.85994999999999999</v>
      </c>
    </row>
    <row r="198" spans="1:67">
      <c r="A198" s="61" t="str">
        <f t="shared" si="3"/>
        <v>UK</v>
      </c>
      <c r="B198" s="62" t="s">
        <v>64</v>
      </c>
      <c r="C198" s="62" t="s">
        <v>176</v>
      </c>
      <c r="D198" s="63" t="s">
        <v>97</v>
      </c>
      <c r="E198" s="64">
        <v>43831</v>
      </c>
      <c r="F198" s="64">
        <v>43921</v>
      </c>
      <c r="G198" s="65">
        <v>43995</v>
      </c>
      <c r="H198" s="66" t="s">
        <v>132</v>
      </c>
      <c r="I198" s="67">
        <v>3</v>
      </c>
      <c r="J198" s="68">
        <v>2020</v>
      </c>
      <c r="K198" s="69">
        <v>1</v>
      </c>
      <c r="L198" s="70">
        <v>3</v>
      </c>
      <c r="M198" s="71" t="s">
        <v>140</v>
      </c>
      <c r="N198" s="71" t="s">
        <v>18</v>
      </c>
      <c r="O198" s="71" t="s">
        <v>114</v>
      </c>
      <c r="P198" s="71" t="s">
        <v>102</v>
      </c>
      <c r="Q198" s="61" t="s">
        <v>474</v>
      </c>
      <c r="R198" s="63" t="s">
        <v>112</v>
      </c>
      <c r="S198" s="72" t="s">
        <v>696</v>
      </c>
      <c r="T198" s="61" t="s">
        <v>405</v>
      </c>
      <c r="U198" s="73" t="s">
        <v>702</v>
      </c>
      <c r="V198" s="62">
        <v>107901</v>
      </c>
      <c r="W198" s="62" t="s">
        <v>556</v>
      </c>
      <c r="X198" s="62" t="s">
        <v>402</v>
      </c>
      <c r="Y198" s="93">
        <v>1</v>
      </c>
      <c r="Z198" s="94">
        <v>1</v>
      </c>
      <c r="AA198" s="74">
        <v>72</v>
      </c>
      <c r="AB198" s="75">
        <v>116</v>
      </c>
      <c r="AC198" s="75">
        <v>14802.197837083553</v>
      </c>
      <c r="AD198" s="76">
        <v>17762.637404500263</v>
      </c>
      <c r="AE198" s="77">
        <v>25.21356389</v>
      </c>
      <c r="AF198" s="75">
        <v>41.857596002999998</v>
      </c>
      <c r="AG198" s="78">
        <v>5171.5254717134721</v>
      </c>
      <c r="AH198" s="79">
        <v>6205.8305659631369</v>
      </c>
      <c r="AI198" s="74">
        <v>3102.9152829815685</v>
      </c>
      <c r="AJ198" s="75">
        <v>0</v>
      </c>
      <c r="AK198" s="75">
        <v>0</v>
      </c>
      <c r="AL198" s="80">
        <v>3102.9152829815685</v>
      </c>
      <c r="AM198" s="74">
        <v>1</v>
      </c>
      <c r="AN198" s="74">
        <v>0</v>
      </c>
      <c r="AO198" s="81">
        <v>0</v>
      </c>
      <c r="AP198" s="82">
        <v>2</v>
      </c>
      <c r="AQ198" s="75">
        <v>573.12632751904175</v>
      </c>
      <c r="AR198" s="75">
        <v>573.12632751904175</v>
      </c>
      <c r="AS198" s="80">
        <v>1146.2526550380835</v>
      </c>
      <c r="AT198" s="74">
        <v>105.49911962207105</v>
      </c>
      <c r="AU198" s="75">
        <v>155.66291669283098</v>
      </c>
      <c r="AV198" s="75">
        <v>204.79240867492294</v>
      </c>
      <c r="AW198" s="75">
        <v>96.604095811384383</v>
      </c>
      <c r="AX198" s="80">
        <v>562.55854080120935</v>
      </c>
      <c r="AY198" s="81">
        <v>4.7781052687704689E-2</v>
      </c>
      <c r="AZ198" s="83">
        <v>573.12632751904175</v>
      </c>
      <c r="BA198" s="80">
        <v>27.384579251898028</v>
      </c>
      <c r="BB198" s="84">
        <v>564.59140156753438</v>
      </c>
      <c r="BC198" s="85">
        <v>2.7568961428826109</v>
      </c>
      <c r="BD198" s="86">
        <v>0.10917308725552295</v>
      </c>
      <c r="BE198" s="84">
        <v>661.19549737891884</v>
      </c>
      <c r="BF198" s="87">
        <v>2.1937729453957799</v>
      </c>
      <c r="BG198" s="88">
        <v>0.12785308725547978</v>
      </c>
      <c r="BH198" s="89">
        <v>0.22164691275479645</v>
      </c>
      <c r="BI198" s="90">
        <v>0.59999999999100562</v>
      </c>
      <c r="BJ198" s="90">
        <v>0.10877999999772173</v>
      </c>
      <c r="BK198" s="91">
        <v>0.93042691274352374</v>
      </c>
      <c r="BL198" s="92">
        <v>359.79899289261084</v>
      </c>
      <c r="BM198" s="95">
        <v>0</v>
      </c>
      <c r="BN198" t="s">
        <v>402</v>
      </c>
      <c r="BO198">
        <v>0.85994999999999999</v>
      </c>
    </row>
    <row r="199" spans="1:67">
      <c r="A199" s="61" t="str">
        <f t="shared" si="3"/>
        <v>UK</v>
      </c>
      <c r="B199" s="62" t="s">
        <v>64</v>
      </c>
      <c r="C199" s="62" t="s">
        <v>176</v>
      </c>
      <c r="D199" s="63" t="s">
        <v>97</v>
      </c>
      <c r="E199" s="64">
        <v>43831</v>
      </c>
      <c r="F199" s="64">
        <v>43921</v>
      </c>
      <c r="G199" s="65">
        <v>43995</v>
      </c>
      <c r="H199" s="66" t="s">
        <v>132</v>
      </c>
      <c r="I199" s="67">
        <v>3</v>
      </c>
      <c r="J199" s="68">
        <v>2020</v>
      </c>
      <c r="K199" s="69">
        <v>1</v>
      </c>
      <c r="L199" s="70">
        <v>3</v>
      </c>
      <c r="M199" s="71" t="s">
        <v>140</v>
      </c>
      <c r="N199" s="71" t="s">
        <v>18</v>
      </c>
      <c r="O199" s="71" t="s">
        <v>114</v>
      </c>
      <c r="P199" s="71" t="s">
        <v>102</v>
      </c>
      <c r="Q199" s="61" t="s">
        <v>474</v>
      </c>
      <c r="R199" s="63" t="s">
        <v>106</v>
      </c>
      <c r="S199" s="72" t="s">
        <v>696</v>
      </c>
      <c r="T199" s="61" t="s">
        <v>405</v>
      </c>
      <c r="U199" s="73" t="s">
        <v>703</v>
      </c>
      <c r="V199" s="62">
        <v>107913</v>
      </c>
      <c r="W199" s="62" t="s">
        <v>556</v>
      </c>
      <c r="X199" s="62" t="s">
        <v>402</v>
      </c>
      <c r="Y199" s="93">
        <v>1</v>
      </c>
      <c r="Z199" s="94">
        <v>1</v>
      </c>
      <c r="AA199" s="74">
        <v>1625</v>
      </c>
      <c r="AB199" s="75">
        <v>3134</v>
      </c>
      <c r="AC199" s="75">
        <v>27577.504475841619</v>
      </c>
      <c r="AD199" s="76">
        <v>33093.005370079656</v>
      </c>
      <c r="AE199" s="77">
        <v>537.45469207999997</v>
      </c>
      <c r="AF199" s="75">
        <v>918.10898192000002</v>
      </c>
      <c r="AG199" s="78">
        <v>9263.0799996511432</v>
      </c>
      <c r="AH199" s="79">
        <v>11115.695999534857</v>
      </c>
      <c r="AI199" s="74">
        <v>5557.8479997674285</v>
      </c>
      <c r="AJ199" s="75">
        <v>0</v>
      </c>
      <c r="AK199" s="75">
        <v>0</v>
      </c>
      <c r="AL199" s="80">
        <v>5557.8479997674285</v>
      </c>
      <c r="AM199" s="74">
        <v>9</v>
      </c>
      <c r="AN199" s="74">
        <v>1</v>
      </c>
      <c r="AO199" s="81">
        <v>0.1111111111111111</v>
      </c>
      <c r="AP199" s="82">
        <v>20</v>
      </c>
      <c r="AQ199" s="75">
        <v>3933.9496837025408</v>
      </c>
      <c r="AR199" s="75">
        <v>3933.9496837025408</v>
      </c>
      <c r="AS199" s="80">
        <v>7867.8993674050816</v>
      </c>
      <c r="AT199" s="74">
        <v>188.96683199023198</v>
      </c>
      <c r="AU199" s="75">
        <v>278.81870799465082</v>
      </c>
      <c r="AV199" s="75">
        <v>366.81796798651084</v>
      </c>
      <c r="AW199" s="75">
        <v>173.03433439153437</v>
      </c>
      <c r="AX199" s="80">
        <v>1007.6378423629279</v>
      </c>
      <c r="AY199" s="81">
        <v>2.1783906261514729E-2</v>
      </c>
      <c r="AZ199" s="83">
        <v>393.39496837025411</v>
      </c>
      <c r="BA199" s="80">
        <v>8.5696791147291673</v>
      </c>
      <c r="BB199" s="84">
        <v>-4803.487241897783</v>
      </c>
      <c r="BC199" s="85">
        <v>-13.09501622361755</v>
      </c>
      <c r="BD199" s="86">
        <v>-0.51856264245571526</v>
      </c>
      <c r="BE199" s="84">
        <v>-4630.4529075062492</v>
      </c>
      <c r="BF199" s="87">
        <v>-8.577258793023832</v>
      </c>
      <c r="BG199" s="88">
        <v>-0.49988264245592573</v>
      </c>
      <c r="BH199" s="89">
        <v>0.84938264245816664</v>
      </c>
      <c r="BI199" s="90">
        <v>0.59999999999748921</v>
      </c>
      <c r="BJ199" s="90">
        <v>0.10878000000009463</v>
      </c>
      <c r="BK199" s="91">
        <v>1.5581626424557504</v>
      </c>
      <c r="BL199" s="92">
        <v>-5170.3052098842945</v>
      </c>
      <c r="BM199" s="95">
        <v>0</v>
      </c>
      <c r="BN199" t="s">
        <v>402</v>
      </c>
      <c r="BO199">
        <v>0.85994999999999999</v>
      </c>
    </row>
    <row r="200" spans="1:67">
      <c r="A200" s="61" t="str">
        <f t="shared" si="3"/>
        <v>UK</v>
      </c>
      <c r="B200" s="62" t="s">
        <v>64</v>
      </c>
      <c r="C200" s="62" t="s">
        <v>176</v>
      </c>
      <c r="D200" s="63" t="s">
        <v>97</v>
      </c>
      <c r="E200" s="64">
        <v>43831</v>
      </c>
      <c r="F200" s="64">
        <v>43921</v>
      </c>
      <c r="G200" s="65">
        <v>43995</v>
      </c>
      <c r="H200" s="66" t="s">
        <v>132</v>
      </c>
      <c r="I200" s="67">
        <v>3</v>
      </c>
      <c r="J200" s="68">
        <v>2020</v>
      </c>
      <c r="K200" s="69">
        <v>1</v>
      </c>
      <c r="L200" s="70">
        <v>3</v>
      </c>
      <c r="M200" s="71" t="s">
        <v>140</v>
      </c>
      <c r="N200" s="71" t="s">
        <v>18</v>
      </c>
      <c r="O200" s="71" t="s">
        <v>114</v>
      </c>
      <c r="P200" s="71" t="s">
        <v>102</v>
      </c>
      <c r="Q200" s="61" t="s">
        <v>474</v>
      </c>
      <c r="R200" s="63" t="s">
        <v>165</v>
      </c>
      <c r="S200" s="72" t="s">
        <v>696</v>
      </c>
      <c r="T200" s="61" t="s">
        <v>405</v>
      </c>
      <c r="U200" s="73" t="s">
        <v>704</v>
      </c>
      <c r="V200" s="62">
        <v>107227</v>
      </c>
      <c r="W200" s="62" t="s">
        <v>556</v>
      </c>
      <c r="X200" s="62" t="s">
        <v>402</v>
      </c>
      <c r="Y200" s="93">
        <v>1</v>
      </c>
      <c r="Z200" s="94">
        <v>1</v>
      </c>
      <c r="AA200" s="74">
        <v>0</v>
      </c>
      <c r="AB200" s="75">
        <v>0</v>
      </c>
      <c r="AC200" s="75">
        <v>0</v>
      </c>
      <c r="AD200" s="76">
        <v>0</v>
      </c>
      <c r="AE200" s="77">
        <v>23.373136087999999</v>
      </c>
      <c r="AF200" s="75">
        <v>41.625931956000002</v>
      </c>
      <c r="AG200" s="78">
        <v>3698.3141700098845</v>
      </c>
      <c r="AH200" s="79">
        <v>4437.977004011861</v>
      </c>
      <c r="AI200" s="74">
        <v>2218.9885020059305</v>
      </c>
      <c r="AJ200" s="75">
        <v>0</v>
      </c>
      <c r="AK200" s="75">
        <v>0</v>
      </c>
      <c r="AL200" s="80">
        <v>2218.9885020059305</v>
      </c>
      <c r="AM200" s="74">
        <v>0</v>
      </c>
      <c r="AN200" s="74">
        <v>0</v>
      </c>
      <c r="AO200" s="81" t="s">
        <v>403</v>
      </c>
      <c r="AP200" s="82">
        <v>0</v>
      </c>
      <c r="AQ200" s="75">
        <v>0</v>
      </c>
      <c r="AR200" s="75">
        <v>0</v>
      </c>
      <c r="AS200" s="80">
        <v>0</v>
      </c>
      <c r="AT200" s="74">
        <v>75.445609069131933</v>
      </c>
      <c r="AU200" s="75">
        <v>111.31925651840223</v>
      </c>
      <c r="AV200" s="75">
        <v>146.45324113029827</v>
      </c>
      <c r="AW200" s="75">
        <v>69.08450869585441</v>
      </c>
      <c r="AX200" s="80">
        <v>402.30261541368685</v>
      </c>
      <c r="AY200" s="81">
        <v>0</v>
      </c>
      <c r="AZ200" s="83" t="s">
        <v>403</v>
      </c>
      <c r="BA200" s="80" t="s">
        <v>403</v>
      </c>
      <c r="BB200" s="84">
        <v>1223.4762937205655</v>
      </c>
      <c r="BC200" s="85">
        <v>8.354040404145433</v>
      </c>
      <c r="BD200" s="86">
        <v>0.33081999999943096</v>
      </c>
      <c r="BE200" s="84">
        <v>1292.5608024164198</v>
      </c>
      <c r="BF200" s="87">
        <v>5.9969114619548867</v>
      </c>
      <c r="BG200" s="88">
        <v>0.34949999999944981</v>
      </c>
      <c r="BH200" s="89">
        <v>0</v>
      </c>
      <c r="BI200" s="90">
        <v>0.6</v>
      </c>
      <c r="BJ200" s="90">
        <v>0.10878000000000314</v>
      </c>
      <c r="BK200" s="91">
        <v>0.70878000000000307</v>
      </c>
      <c r="BL200" s="92">
        <v>1077.0230525902671</v>
      </c>
      <c r="BM200" s="95">
        <v>0</v>
      </c>
      <c r="BN200" t="s">
        <v>402</v>
      </c>
      <c r="BO200">
        <v>0.85994999999999999</v>
      </c>
    </row>
    <row r="201" spans="1:67">
      <c r="A201" s="61" t="str">
        <f t="shared" si="3"/>
        <v>UK</v>
      </c>
      <c r="B201" s="62" t="s">
        <v>64</v>
      </c>
      <c r="C201" s="62" t="s">
        <v>176</v>
      </c>
      <c r="D201" s="63" t="s">
        <v>97</v>
      </c>
      <c r="E201" s="64">
        <v>43831</v>
      </c>
      <c r="F201" s="64">
        <v>43921</v>
      </c>
      <c r="G201" s="65">
        <v>43995</v>
      </c>
      <c r="H201" s="66" t="s">
        <v>132</v>
      </c>
      <c r="I201" s="67">
        <v>3</v>
      </c>
      <c r="J201" s="68">
        <v>2020</v>
      </c>
      <c r="K201" s="69">
        <v>1</v>
      </c>
      <c r="L201" s="70">
        <v>3</v>
      </c>
      <c r="M201" s="71" t="s">
        <v>140</v>
      </c>
      <c r="N201" s="71" t="s">
        <v>18</v>
      </c>
      <c r="O201" s="71" t="s">
        <v>114</v>
      </c>
      <c r="P201" s="71" t="s">
        <v>102</v>
      </c>
      <c r="Q201" s="61" t="s">
        <v>474</v>
      </c>
      <c r="R201" s="63" t="s">
        <v>112</v>
      </c>
      <c r="S201" s="72" t="s">
        <v>696</v>
      </c>
      <c r="T201" s="61" t="s">
        <v>405</v>
      </c>
      <c r="U201" s="73" t="s">
        <v>705</v>
      </c>
      <c r="V201" s="62">
        <v>107902</v>
      </c>
      <c r="W201" s="62" t="s">
        <v>556</v>
      </c>
      <c r="X201" s="62" t="s">
        <v>402</v>
      </c>
      <c r="Y201" s="93">
        <v>1</v>
      </c>
      <c r="Z201" s="94">
        <v>1</v>
      </c>
      <c r="AA201" s="74">
        <v>145</v>
      </c>
      <c r="AB201" s="75">
        <v>267</v>
      </c>
      <c r="AC201" s="75">
        <v>36908.851113436831</v>
      </c>
      <c r="AD201" s="76">
        <v>44290.62133612419</v>
      </c>
      <c r="AE201" s="77">
        <v>52.166192014000003</v>
      </c>
      <c r="AF201" s="75">
        <v>86.905537846000001</v>
      </c>
      <c r="AG201" s="78">
        <v>14481.366359672074</v>
      </c>
      <c r="AH201" s="79">
        <v>17377.639631373917</v>
      </c>
      <c r="AI201" s="74">
        <v>8688.8198156869585</v>
      </c>
      <c r="AJ201" s="75">
        <v>0</v>
      </c>
      <c r="AK201" s="75">
        <v>0</v>
      </c>
      <c r="AL201" s="80">
        <v>8688.8198156869585</v>
      </c>
      <c r="AM201" s="74">
        <v>12</v>
      </c>
      <c r="AN201" s="74">
        <v>3</v>
      </c>
      <c r="AO201" s="81">
        <v>0.25</v>
      </c>
      <c r="AP201" s="82">
        <v>21</v>
      </c>
      <c r="AQ201" s="75">
        <v>24278.597642886216</v>
      </c>
      <c r="AR201" s="75">
        <v>33112.963424617708</v>
      </c>
      <c r="AS201" s="80">
        <v>57391.561067503921</v>
      </c>
      <c r="AT201" s="74">
        <v>295.41987373684515</v>
      </c>
      <c r="AU201" s="75">
        <v>435.88912742601309</v>
      </c>
      <c r="AV201" s="75">
        <v>573.4621078434792</v>
      </c>
      <c r="AW201" s="75">
        <v>270.51192360020934</v>
      </c>
      <c r="AX201" s="80">
        <v>1575.2830326065468</v>
      </c>
      <c r="AY201" s="81">
        <v>0.24164167808515055</v>
      </c>
      <c r="AZ201" s="83">
        <v>2732.9314794049487</v>
      </c>
      <c r="BA201" s="80">
        <v>660.39014877514489</v>
      </c>
      <c r="BB201" s="84">
        <v>-52600.835448281869</v>
      </c>
      <c r="BC201" s="85">
        <v>-91.725041164600796</v>
      </c>
      <c r="BD201" s="86">
        <v>-3.6323116301211371</v>
      </c>
      <c r="BE201" s="84">
        <v>-52330.323524681662</v>
      </c>
      <c r="BF201" s="87">
        <v>-62.004660777496014</v>
      </c>
      <c r="BG201" s="88">
        <v>-3.6136316301210312</v>
      </c>
      <c r="BH201" s="89">
        <v>3.9631316301291015</v>
      </c>
      <c r="BI201" s="90">
        <v>0.59999999999196996</v>
      </c>
      <c r="BJ201" s="90">
        <v>0.10878000000009796</v>
      </c>
      <c r="BK201" s="91">
        <v>4.6719116301211692</v>
      </c>
      <c r="BL201" s="92">
        <v>-53174.297556125355</v>
      </c>
      <c r="BM201" s="95">
        <v>0</v>
      </c>
      <c r="BN201" t="s">
        <v>402</v>
      </c>
      <c r="BO201">
        <v>0.85994999999999999</v>
      </c>
    </row>
    <row r="202" spans="1:67">
      <c r="A202" s="61" t="str">
        <f t="shared" si="3"/>
        <v>UK</v>
      </c>
      <c r="B202" s="62" t="s">
        <v>64</v>
      </c>
      <c r="C202" s="62" t="s">
        <v>176</v>
      </c>
      <c r="D202" s="63" t="s">
        <v>97</v>
      </c>
      <c r="E202" s="64">
        <v>43831</v>
      </c>
      <c r="F202" s="64">
        <v>43921</v>
      </c>
      <c r="G202" s="65">
        <v>43995</v>
      </c>
      <c r="H202" s="66" t="s">
        <v>132</v>
      </c>
      <c r="I202" s="67">
        <v>3</v>
      </c>
      <c r="J202" s="68">
        <v>2020</v>
      </c>
      <c r="K202" s="69">
        <v>1</v>
      </c>
      <c r="L202" s="70">
        <v>3</v>
      </c>
      <c r="M202" s="71" t="s">
        <v>140</v>
      </c>
      <c r="N202" s="71" t="s">
        <v>18</v>
      </c>
      <c r="O202" s="71" t="s">
        <v>114</v>
      </c>
      <c r="P202" s="71" t="s">
        <v>102</v>
      </c>
      <c r="Q202" s="61" t="s">
        <v>474</v>
      </c>
      <c r="R202" s="63" t="s">
        <v>165</v>
      </c>
      <c r="S202" s="72" t="s">
        <v>696</v>
      </c>
      <c r="T202" s="61" t="s">
        <v>405</v>
      </c>
      <c r="U202" s="73" t="s">
        <v>706</v>
      </c>
      <c r="V202" s="62">
        <v>107239</v>
      </c>
      <c r="W202" s="62" t="s">
        <v>556</v>
      </c>
      <c r="X202" s="62" t="s">
        <v>402</v>
      </c>
      <c r="Y202" s="93">
        <v>1</v>
      </c>
      <c r="Z202" s="94">
        <v>1</v>
      </c>
      <c r="AA202" s="74">
        <v>0</v>
      </c>
      <c r="AB202" s="75">
        <v>0</v>
      </c>
      <c r="AC202" s="75">
        <v>0</v>
      </c>
      <c r="AD202" s="76">
        <v>0</v>
      </c>
      <c r="AE202" s="77">
        <v>1.8934210525999999</v>
      </c>
      <c r="AF202" s="75">
        <v>4.2184210526000001</v>
      </c>
      <c r="AG202" s="78">
        <v>123.77695770684342</v>
      </c>
      <c r="AH202" s="79">
        <v>148.53234924123495</v>
      </c>
      <c r="AI202" s="74">
        <v>74.266174620617477</v>
      </c>
      <c r="AJ202" s="75">
        <v>0</v>
      </c>
      <c r="AK202" s="75">
        <v>0</v>
      </c>
      <c r="AL202" s="80">
        <v>74.266174620617477</v>
      </c>
      <c r="AM202" s="74">
        <v>0</v>
      </c>
      <c r="AN202" s="74">
        <v>0</v>
      </c>
      <c r="AO202" s="81" t="s">
        <v>403</v>
      </c>
      <c r="AP202" s="82">
        <v>0</v>
      </c>
      <c r="AQ202" s="75">
        <v>0</v>
      </c>
      <c r="AR202" s="75">
        <v>0</v>
      </c>
      <c r="AS202" s="80">
        <v>0</v>
      </c>
      <c r="AT202" s="74">
        <v>2.5250499370893658</v>
      </c>
      <c r="AU202" s="75">
        <v>3.7256864268852841</v>
      </c>
      <c r="AV202" s="75">
        <v>4.9015675249723829</v>
      </c>
      <c r="AW202" s="75">
        <v>2.3121535698587126</v>
      </c>
      <c r="AX202" s="80">
        <v>13.464457458805743</v>
      </c>
      <c r="AY202" s="81">
        <v>0</v>
      </c>
      <c r="AZ202" s="83" t="s">
        <v>403</v>
      </c>
      <c r="BA202" s="80" t="s">
        <v>403</v>
      </c>
      <c r="BB202" s="84">
        <v>40.947893152392581</v>
      </c>
      <c r="BC202" s="85">
        <v>8.3540404051912542</v>
      </c>
      <c r="BD202" s="86">
        <v>0.33082000003081868</v>
      </c>
      <c r="BE202" s="84">
        <v>43.260046722251289</v>
      </c>
      <c r="BF202" s="87">
        <v>5.9969114626913909</v>
      </c>
      <c r="BG202" s="88">
        <v>0.34950000002996934</v>
      </c>
      <c r="BH202" s="89">
        <v>0</v>
      </c>
      <c r="BI202" s="90">
        <v>0.59999999997181563</v>
      </c>
      <c r="BJ202" s="90">
        <v>0.10877999999559947</v>
      </c>
      <c r="BK202" s="91">
        <v>0.70877999996741514</v>
      </c>
      <c r="BL202" s="92">
        <v>36.046325627420202</v>
      </c>
      <c r="BM202" s="95">
        <v>0</v>
      </c>
      <c r="BN202" t="s">
        <v>402</v>
      </c>
      <c r="BO202">
        <v>0.85994999999999999</v>
      </c>
    </row>
    <row r="203" spans="1:67">
      <c r="A203" s="61" t="str">
        <f t="shared" si="3"/>
        <v>UK</v>
      </c>
      <c r="B203" s="62" t="s">
        <v>64</v>
      </c>
      <c r="C203" s="62" t="s">
        <v>176</v>
      </c>
      <c r="D203" s="63" t="s">
        <v>97</v>
      </c>
      <c r="E203" s="64">
        <v>43831</v>
      </c>
      <c r="F203" s="64">
        <v>43921</v>
      </c>
      <c r="G203" s="65">
        <v>43995</v>
      </c>
      <c r="H203" s="66" t="s">
        <v>132</v>
      </c>
      <c r="I203" s="67">
        <v>3</v>
      </c>
      <c r="J203" s="68">
        <v>2020</v>
      </c>
      <c r="K203" s="69">
        <v>1</v>
      </c>
      <c r="L203" s="70">
        <v>3</v>
      </c>
      <c r="M203" s="71" t="s">
        <v>140</v>
      </c>
      <c r="N203" s="71" t="s">
        <v>18</v>
      </c>
      <c r="O203" s="71" t="s">
        <v>114</v>
      </c>
      <c r="P203" s="71" t="s">
        <v>102</v>
      </c>
      <c r="Q203" s="61" t="s">
        <v>474</v>
      </c>
      <c r="R203" s="63" t="s">
        <v>106</v>
      </c>
      <c r="S203" s="72" t="s">
        <v>696</v>
      </c>
      <c r="T203" s="61" t="s">
        <v>405</v>
      </c>
      <c r="U203" s="73" t="s">
        <v>707</v>
      </c>
      <c r="V203" s="62">
        <v>107914</v>
      </c>
      <c r="W203" s="62" t="s">
        <v>556</v>
      </c>
      <c r="X203" s="62" t="s">
        <v>402</v>
      </c>
      <c r="Y203" s="93">
        <v>1</v>
      </c>
      <c r="Z203" s="94">
        <v>1</v>
      </c>
      <c r="AA203" s="74">
        <v>1610</v>
      </c>
      <c r="AB203" s="75">
        <v>3545</v>
      </c>
      <c r="AC203" s="75">
        <v>58113.853529856387</v>
      </c>
      <c r="AD203" s="76">
        <v>69736.624236292802</v>
      </c>
      <c r="AE203" s="77">
        <v>486.66548065000001</v>
      </c>
      <c r="AF203" s="75">
        <v>749.05376020999995</v>
      </c>
      <c r="AG203" s="78">
        <v>20541.780990755276</v>
      </c>
      <c r="AH203" s="79">
        <v>24650.137189371475</v>
      </c>
      <c r="AI203" s="74">
        <v>12325.068594685737</v>
      </c>
      <c r="AJ203" s="75">
        <v>0</v>
      </c>
      <c r="AK203" s="75">
        <v>0</v>
      </c>
      <c r="AL203" s="80">
        <v>12325.068594685737</v>
      </c>
      <c r="AM203" s="74">
        <v>17</v>
      </c>
      <c r="AN203" s="74">
        <v>5</v>
      </c>
      <c r="AO203" s="81">
        <v>0.29411764705882354</v>
      </c>
      <c r="AP203" s="82">
        <v>51</v>
      </c>
      <c r="AQ203" s="75">
        <v>7466.3410488981917</v>
      </c>
      <c r="AR203" s="75">
        <v>11123.146728298156</v>
      </c>
      <c r="AS203" s="80">
        <v>18589.487777196347</v>
      </c>
      <c r="AT203" s="74">
        <v>419.05233221698938</v>
      </c>
      <c r="AU203" s="75">
        <v>618.30760783766505</v>
      </c>
      <c r="AV203" s="75">
        <v>813.45452725158441</v>
      </c>
      <c r="AW203" s="75">
        <v>383.72046891098319</v>
      </c>
      <c r="AX203" s="80">
        <v>2234.5349362172219</v>
      </c>
      <c r="AY203" s="81">
        <v>6.8085900784613865E-2</v>
      </c>
      <c r="AZ203" s="83">
        <v>364.49976033718326</v>
      </c>
      <c r="BA203" s="80">
        <v>24.817294518332993</v>
      </c>
      <c r="BB203" s="84">
        <v>-11793.855790092446</v>
      </c>
      <c r="BC203" s="85">
        <v>-14.498481961788693</v>
      </c>
      <c r="BD203" s="86">
        <v>-0.57413988569930774</v>
      </c>
      <c r="BE203" s="84">
        <v>-11410.135321181464</v>
      </c>
      <c r="BF203" s="87">
        <v>-9.5308834195130903</v>
      </c>
      <c r="BG203" s="88">
        <v>-0.55545988569912885</v>
      </c>
      <c r="BH203" s="89">
        <v>0.90495988568675967</v>
      </c>
      <c r="BI203" s="90">
        <v>0.60000000001132192</v>
      </c>
      <c r="BJ203" s="90">
        <v>0.10878000000208662</v>
      </c>
      <c r="BK203" s="91">
        <v>1.6137398857001681</v>
      </c>
      <c r="BL203" s="92">
        <v>-12607.310317344029</v>
      </c>
      <c r="BM203" s="95">
        <v>0</v>
      </c>
      <c r="BN203" t="s">
        <v>402</v>
      </c>
      <c r="BO203">
        <v>0.85994999999999999</v>
      </c>
    </row>
    <row r="204" spans="1:67">
      <c r="A204" s="61" t="str">
        <f t="shared" si="3"/>
        <v>UK</v>
      </c>
      <c r="B204" s="62" t="s">
        <v>64</v>
      </c>
      <c r="C204" s="62" t="s">
        <v>176</v>
      </c>
      <c r="D204" s="63" t="s">
        <v>97</v>
      </c>
      <c r="E204" s="64">
        <v>43831</v>
      </c>
      <c r="F204" s="64">
        <v>43921</v>
      </c>
      <c r="G204" s="65">
        <v>43995</v>
      </c>
      <c r="H204" s="66" t="s">
        <v>132</v>
      </c>
      <c r="I204" s="67">
        <v>3</v>
      </c>
      <c r="J204" s="68">
        <v>2020</v>
      </c>
      <c r="K204" s="69">
        <v>1</v>
      </c>
      <c r="L204" s="70">
        <v>3</v>
      </c>
      <c r="M204" s="71" t="s">
        <v>140</v>
      </c>
      <c r="N204" s="71" t="s">
        <v>18</v>
      </c>
      <c r="O204" s="71" t="s">
        <v>114</v>
      </c>
      <c r="P204" s="71" t="s">
        <v>102</v>
      </c>
      <c r="Q204" s="61" t="s">
        <v>474</v>
      </c>
      <c r="R204" s="63" t="s">
        <v>165</v>
      </c>
      <c r="S204" s="72" t="s">
        <v>696</v>
      </c>
      <c r="T204" s="61" t="s">
        <v>405</v>
      </c>
      <c r="U204" s="73" t="s">
        <v>708</v>
      </c>
      <c r="V204" s="62">
        <v>107228</v>
      </c>
      <c r="W204" s="62" t="s">
        <v>464</v>
      </c>
      <c r="X204" s="62" t="s">
        <v>402</v>
      </c>
      <c r="Y204" s="93">
        <v>1</v>
      </c>
      <c r="Z204" s="94">
        <v>1</v>
      </c>
      <c r="AA204" s="74">
        <v>0</v>
      </c>
      <c r="AB204" s="75">
        <v>0</v>
      </c>
      <c r="AC204" s="75">
        <v>0</v>
      </c>
      <c r="AD204" s="76">
        <v>0</v>
      </c>
      <c r="AE204" s="77">
        <v>43.427953064999997</v>
      </c>
      <c r="AF204" s="75">
        <v>87.077060408999998</v>
      </c>
      <c r="AG204" s="78">
        <v>8455.0416003256014</v>
      </c>
      <c r="AH204" s="79">
        <v>10146.049920344205</v>
      </c>
      <c r="AI204" s="74">
        <v>5073.0249601721025</v>
      </c>
      <c r="AJ204" s="75">
        <v>0</v>
      </c>
      <c r="AK204" s="75">
        <v>0</v>
      </c>
      <c r="AL204" s="80">
        <v>5073.0249601721025</v>
      </c>
      <c r="AM204" s="74">
        <v>0</v>
      </c>
      <c r="AN204" s="74">
        <v>0</v>
      </c>
      <c r="AO204" s="81" t="s">
        <v>403</v>
      </c>
      <c r="AP204" s="82">
        <v>0</v>
      </c>
      <c r="AQ204" s="75">
        <v>0</v>
      </c>
      <c r="AR204" s="75">
        <v>0</v>
      </c>
      <c r="AS204" s="80">
        <v>0</v>
      </c>
      <c r="AT204" s="74">
        <v>172.48284864236291</v>
      </c>
      <c r="AU204" s="75">
        <v>254.49675217163789</v>
      </c>
      <c r="AV204" s="75">
        <v>334.81964737484736</v>
      </c>
      <c r="AW204" s="75">
        <v>157.94017709169137</v>
      </c>
      <c r="AX204" s="80">
        <v>919.73942528053954</v>
      </c>
      <c r="AY204" s="81">
        <v>0</v>
      </c>
      <c r="AZ204" s="83" t="s">
        <v>403</v>
      </c>
      <c r="BA204" s="80" t="s">
        <v>403</v>
      </c>
      <c r="BB204" s="84">
        <v>2797.0968622478067</v>
      </c>
      <c r="BC204" s="85">
        <v>8.3540404040755618</v>
      </c>
      <c r="BD204" s="86">
        <v>0.3308200000033224</v>
      </c>
      <c r="BE204" s="84">
        <v>2955.0370393394978</v>
      </c>
      <c r="BF204" s="87">
        <v>5.9969114619655084</v>
      </c>
      <c r="BG204" s="88">
        <v>0.3495000000030396</v>
      </c>
      <c r="BH204" s="89">
        <v>0</v>
      </c>
      <c r="BI204" s="90">
        <v>0.59999999999724918</v>
      </c>
      <c r="BJ204" s="90">
        <v>0.10877999999965944</v>
      </c>
      <c r="BK204" s="91">
        <v>0.70877999999690866</v>
      </c>
      <c r="BL204" s="92">
        <v>2462.2772148729591</v>
      </c>
      <c r="BM204" s="95">
        <v>0</v>
      </c>
      <c r="BN204" t="s">
        <v>402</v>
      </c>
      <c r="BO204">
        <v>0.85994999999999999</v>
      </c>
    </row>
    <row r="205" spans="1:67">
      <c r="A205" s="61" t="str">
        <f t="shared" si="3"/>
        <v>UK</v>
      </c>
      <c r="B205" s="62" t="s">
        <v>64</v>
      </c>
      <c r="C205" s="62" t="s">
        <v>176</v>
      </c>
      <c r="D205" s="63" t="s">
        <v>97</v>
      </c>
      <c r="E205" s="64">
        <v>43831</v>
      </c>
      <c r="F205" s="64">
        <v>43921</v>
      </c>
      <c r="G205" s="65">
        <v>43995</v>
      </c>
      <c r="H205" s="66" t="s">
        <v>132</v>
      </c>
      <c r="I205" s="67">
        <v>3</v>
      </c>
      <c r="J205" s="68">
        <v>2020</v>
      </c>
      <c r="K205" s="69">
        <v>1</v>
      </c>
      <c r="L205" s="70">
        <v>3</v>
      </c>
      <c r="M205" s="71" t="s">
        <v>140</v>
      </c>
      <c r="N205" s="71" t="s">
        <v>18</v>
      </c>
      <c r="O205" s="71" t="s">
        <v>114</v>
      </c>
      <c r="P205" s="71" t="s">
        <v>102</v>
      </c>
      <c r="Q205" s="61" t="s">
        <v>474</v>
      </c>
      <c r="R205" s="63" t="s">
        <v>112</v>
      </c>
      <c r="S205" s="72" t="s">
        <v>696</v>
      </c>
      <c r="T205" s="61" t="s">
        <v>405</v>
      </c>
      <c r="U205" s="73" t="s">
        <v>709</v>
      </c>
      <c r="V205" s="62">
        <v>107903</v>
      </c>
      <c r="W205" s="62" t="s">
        <v>464</v>
      </c>
      <c r="X205" s="62" t="s">
        <v>402</v>
      </c>
      <c r="Y205" s="93">
        <v>1</v>
      </c>
      <c r="Z205" s="94">
        <v>1</v>
      </c>
      <c r="AA205" s="74">
        <v>83</v>
      </c>
      <c r="AB205" s="75">
        <v>165</v>
      </c>
      <c r="AC205" s="75">
        <v>28405.537048665617</v>
      </c>
      <c r="AD205" s="76">
        <v>34086.644458398747</v>
      </c>
      <c r="AE205" s="77">
        <v>42.101624928</v>
      </c>
      <c r="AF205" s="75">
        <v>77.165537262000001</v>
      </c>
      <c r="AG205" s="78">
        <v>15518.905472411187</v>
      </c>
      <c r="AH205" s="79">
        <v>18622.686567823712</v>
      </c>
      <c r="AI205" s="74">
        <v>9311.3432836792836</v>
      </c>
      <c r="AJ205" s="75">
        <v>0</v>
      </c>
      <c r="AK205" s="75">
        <v>0</v>
      </c>
      <c r="AL205" s="80">
        <v>9311.3432836792836</v>
      </c>
      <c r="AM205" s="74">
        <v>1</v>
      </c>
      <c r="AN205" s="74">
        <v>0</v>
      </c>
      <c r="AO205" s="81">
        <v>0</v>
      </c>
      <c r="AP205" s="82">
        <v>7</v>
      </c>
      <c r="AQ205" s="75">
        <v>4767.7190534333395</v>
      </c>
      <c r="AR205" s="75">
        <v>4767.7190534333395</v>
      </c>
      <c r="AS205" s="80">
        <v>9535.4381068666789</v>
      </c>
      <c r="AT205" s="74">
        <v>316.58567164370021</v>
      </c>
      <c r="AU205" s="75">
        <v>467.11905473574041</v>
      </c>
      <c r="AV205" s="75">
        <v>614.54865672422818</v>
      </c>
      <c r="AW205" s="75">
        <v>289.89315422989711</v>
      </c>
      <c r="AX205" s="80">
        <v>1688.1465373335661</v>
      </c>
      <c r="AY205" s="81">
        <v>9.0714070663862723E-2</v>
      </c>
      <c r="AZ205" s="83">
        <v>1362.2054438380969</v>
      </c>
      <c r="BA205" s="80">
        <v>123.5712008910276</v>
      </c>
      <c r="BB205" s="84">
        <v>-4401.4737987441131</v>
      </c>
      <c r="BC205" s="85">
        <v>-7.1621241875388639</v>
      </c>
      <c r="BD205" s="86">
        <v>-0.2836201178342671</v>
      </c>
      <c r="BE205" s="84">
        <v>-4111.5806445142171</v>
      </c>
      <c r="BF205" s="87">
        <v>-4.5459869222286136</v>
      </c>
      <c r="BG205" s="88">
        <v>-0.26494011783392846</v>
      </c>
      <c r="BH205" s="89">
        <v>0.61444011781748098</v>
      </c>
      <c r="BI205" s="90">
        <v>0.60000000001498632</v>
      </c>
      <c r="BJ205" s="90">
        <v>0.10878000000287889</v>
      </c>
      <c r="BK205" s="91">
        <v>1.3232201178353462</v>
      </c>
      <c r="BL205" s="92">
        <v>-5016.0224554683427</v>
      </c>
      <c r="BM205" s="95">
        <v>0</v>
      </c>
      <c r="BN205" t="s">
        <v>402</v>
      </c>
      <c r="BO205">
        <v>0.85994999999999999</v>
      </c>
    </row>
    <row r="206" spans="1:67">
      <c r="A206" s="61" t="str">
        <f t="shared" si="3"/>
        <v>UK</v>
      </c>
      <c r="B206" s="62" t="s">
        <v>64</v>
      </c>
      <c r="C206" s="62" t="s">
        <v>176</v>
      </c>
      <c r="D206" s="63" t="s">
        <v>97</v>
      </c>
      <c r="E206" s="64">
        <v>43831</v>
      </c>
      <c r="F206" s="64">
        <v>43921</v>
      </c>
      <c r="G206" s="65">
        <v>43995</v>
      </c>
      <c r="H206" s="66" t="s">
        <v>132</v>
      </c>
      <c r="I206" s="67">
        <v>3</v>
      </c>
      <c r="J206" s="68">
        <v>2020</v>
      </c>
      <c r="K206" s="69">
        <v>1</v>
      </c>
      <c r="L206" s="70">
        <v>3</v>
      </c>
      <c r="M206" s="71" t="s">
        <v>140</v>
      </c>
      <c r="N206" s="71" t="s">
        <v>18</v>
      </c>
      <c r="O206" s="71" t="s">
        <v>114</v>
      </c>
      <c r="P206" s="71" t="s">
        <v>102</v>
      </c>
      <c r="Q206" s="61" t="s">
        <v>474</v>
      </c>
      <c r="R206" s="63" t="s">
        <v>165</v>
      </c>
      <c r="S206" s="72" t="s">
        <v>696</v>
      </c>
      <c r="T206" s="61" t="s">
        <v>405</v>
      </c>
      <c r="U206" s="73" t="s">
        <v>710</v>
      </c>
      <c r="V206" s="62">
        <v>107240</v>
      </c>
      <c r="W206" s="62" t="s">
        <v>464</v>
      </c>
      <c r="X206" s="62" t="s">
        <v>402</v>
      </c>
      <c r="Y206" s="93">
        <v>1</v>
      </c>
      <c r="Z206" s="94">
        <v>1</v>
      </c>
      <c r="AA206" s="74">
        <v>0</v>
      </c>
      <c r="AB206" s="75">
        <v>0</v>
      </c>
      <c r="AC206" s="75">
        <v>0</v>
      </c>
      <c r="AD206" s="76">
        <v>0</v>
      </c>
      <c r="AE206" s="77">
        <v>3.9445652174000001</v>
      </c>
      <c r="AF206" s="75">
        <v>8.9778985507000009</v>
      </c>
      <c r="AG206" s="78">
        <v>892.05859689516842</v>
      </c>
      <c r="AH206" s="79">
        <v>1070.4703162742019</v>
      </c>
      <c r="AI206" s="74">
        <v>535.23515813710094</v>
      </c>
      <c r="AJ206" s="75">
        <v>0</v>
      </c>
      <c r="AK206" s="75">
        <v>0</v>
      </c>
      <c r="AL206" s="80">
        <v>535.23515813710094</v>
      </c>
      <c r="AM206" s="74">
        <v>0</v>
      </c>
      <c r="AN206" s="74">
        <v>0</v>
      </c>
      <c r="AO206" s="81" t="s">
        <v>403</v>
      </c>
      <c r="AP206" s="82">
        <v>0</v>
      </c>
      <c r="AQ206" s="75">
        <v>0</v>
      </c>
      <c r="AR206" s="75">
        <v>0</v>
      </c>
      <c r="AS206" s="80">
        <v>0</v>
      </c>
      <c r="AT206" s="74">
        <v>18.197995376475376</v>
      </c>
      <c r="AU206" s="75">
        <v>26.850963766498054</v>
      </c>
      <c r="AV206" s="75">
        <v>35.325520437234722</v>
      </c>
      <c r="AW206" s="75">
        <v>16.66365459038316</v>
      </c>
      <c r="AX206" s="80">
        <v>97.038134170591306</v>
      </c>
      <c r="AY206" s="81">
        <v>0</v>
      </c>
      <c r="AZ206" s="83" t="s">
        <v>403</v>
      </c>
      <c r="BA206" s="80" t="s">
        <v>403</v>
      </c>
      <c r="BB206" s="84">
        <v>295.11082502471083</v>
      </c>
      <c r="BC206" s="85">
        <v>8.3540404039921938</v>
      </c>
      <c r="BD206" s="86">
        <v>0.33081999999983319</v>
      </c>
      <c r="BE206" s="84">
        <v>311.77447961509404</v>
      </c>
      <c r="BF206" s="87">
        <v>5.9969114618470485</v>
      </c>
      <c r="BG206" s="88">
        <v>0.34950000000026082</v>
      </c>
      <c r="BH206" s="89">
        <v>0</v>
      </c>
      <c r="BI206" s="90">
        <v>0.59999999999999987</v>
      </c>
      <c r="BJ206" s="90">
        <v>0.10878000000037541</v>
      </c>
      <c r="BK206" s="91">
        <v>0.70878000000037522</v>
      </c>
      <c r="BL206" s="92">
        <v>259.78530458747616</v>
      </c>
      <c r="BM206" s="95">
        <v>0</v>
      </c>
      <c r="BN206" t="s">
        <v>402</v>
      </c>
      <c r="BO206">
        <v>0.85994999999999999</v>
      </c>
    </row>
    <row r="207" spans="1:67">
      <c r="A207" s="61" t="str">
        <f t="shared" si="3"/>
        <v>UK</v>
      </c>
      <c r="B207" s="62" t="s">
        <v>64</v>
      </c>
      <c r="C207" s="62" t="s">
        <v>176</v>
      </c>
      <c r="D207" s="63" t="s">
        <v>97</v>
      </c>
      <c r="E207" s="64">
        <v>43831</v>
      </c>
      <c r="F207" s="64">
        <v>43921</v>
      </c>
      <c r="G207" s="65">
        <v>43995</v>
      </c>
      <c r="H207" s="66" t="s">
        <v>132</v>
      </c>
      <c r="I207" s="67">
        <v>3</v>
      </c>
      <c r="J207" s="68">
        <v>2020</v>
      </c>
      <c r="K207" s="69">
        <v>1</v>
      </c>
      <c r="L207" s="70">
        <v>3</v>
      </c>
      <c r="M207" s="71" t="s">
        <v>140</v>
      </c>
      <c r="N207" s="71" t="s">
        <v>18</v>
      </c>
      <c r="O207" s="71" t="s">
        <v>114</v>
      </c>
      <c r="P207" s="71" t="s">
        <v>102</v>
      </c>
      <c r="Q207" s="61" t="s">
        <v>474</v>
      </c>
      <c r="R207" s="63" t="s">
        <v>106</v>
      </c>
      <c r="S207" s="72" t="s">
        <v>696</v>
      </c>
      <c r="T207" s="61" t="s">
        <v>405</v>
      </c>
      <c r="U207" s="73" t="s">
        <v>711</v>
      </c>
      <c r="V207" s="62">
        <v>107915</v>
      </c>
      <c r="W207" s="62" t="s">
        <v>464</v>
      </c>
      <c r="X207" s="62" t="s">
        <v>402</v>
      </c>
      <c r="Y207" s="93">
        <v>1</v>
      </c>
      <c r="Z207" s="94">
        <v>1</v>
      </c>
      <c r="AA207" s="74">
        <v>187</v>
      </c>
      <c r="AB207" s="75">
        <v>512</v>
      </c>
      <c r="AC207" s="75">
        <v>23862.743878132449</v>
      </c>
      <c r="AD207" s="76">
        <v>28635.292654224082</v>
      </c>
      <c r="AE207" s="77">
        <v>51.115212225999997</v>
      </c>
      <c r="AF207" s="75">
        <v>110.23733301999999</v>
      </c>
      <c r="AG207" s="78">
        <v>8208.801062503635</v>
      </c>
      <c r="AH207" s="79">
        <v>9850.5612750741329</v>
      </c>
      <c r="AI207" s="74">
        <v>4925.2806374789234</v>
      </c>
      <c r="AJ207" s="75">
        <v>0</v>
      </c>
      <c r="AK207" s="75">
        <v>0</v>
      </c>
      <c r="AL207" s="80">
        <v>4925.2806374789234</v>
      </c>
      <c r="AM207" s="74">
        <v>5</v>
      </c>
      <c r="AN207" s="74">
        <v>1</v>
      </c>
      <c r="AO207" s="81">
        <v>0.2</v>
      </c>
      <c r="AP207" s="82">
        <v>15</v>
      </c>
      <c r="AQ207" s="75">
        <v>6235.5138829001689</v>
      </c>
      <c r="AR207" s="75">
        <v>6710.5670341298919</v>
      </c>
      <c r="AS207" s="80">
        <v>12946.08091703006</v>
      </c>
      <c r="AT207" s="74">
        <v>167.45954167102738</v>
      </c>
      <c r="AU207" s="75">
        <v>247.08491198325484</v>
      </c>
      <c r="AV207" s="75">
        <v>325.06852207686495</v>
      </c>
      <c r="AW207" s="75">
        <v>153.340403849061</v>
      </c>
      <c r="AX207" s="80">
        <v>892.95337958020809</v>
      </c>
      <c r="AY207" s="81">
        <v>0.13607005529858565</v>
      </c>
      <c r="AZ207" s="83">
        <v>863.07206113533732</v>
      </c>
      <c r="BA207" s="80">
        <v>117.43826308534965</v>
      </c>
      <c r="BB207" s="84">
        <v>-10230.445349508698</v>
      </c>
      <c r="BC207" s="85">
        <v>-31.471657988126058</v>
      </c>
      <c r="BD207" s="86">
        <v>-1.24627765633639</v>
      </c>
      <c r="BE207" s="84">
        <v>-10077.104945659636</v>
      </c>
      <c r="BF207" s="87">
        <v>-21.063789573231993</v>
      </c>
      <c r="BG207" s="88">
        <v>-1.2275976563362079</v>
      </c>
      <c r="BH207" s="89">
        <v>1.5770976563393027</v>
      </c>
      <c r="BI207" s="90">
        <v>0.5999999999971668</v>
      </c>
      <c r="BJ207" s="90">
        <v>0.10878000000012945</v>
      </c>
      <c r="BK207" s="91">
        <v>2.285877656336599</v>
      </c>
      <c r="BL207" s="92">
        <v>-10555.513871585559</v>
      </c>
      <c r="BM207" s="95">
        <v>0</v>
      </c>
      <c r="BN207" t="s">
        <v>402</v>
      </c>
      <c r="BO207">
        <v>0.85994999999999999</v>
      </c>
    </row>
    <row r="208" spans="1:67">
      <c r="A208" s="61" t="str">
        <f t="shared" si="3"/>
        <v>UK</v>
      </c>
      <c r="B208" s="62" t="s">
        <v>64</v>
      </c>
      <c r="C208" s="62" t="s">
        <v>176</v>
      </c>
      <c r="D208" s="63" t="s">
        <v>97</v>
      </c>
      <c r="E208" s="64">
        <v>43831</v>
      </c>
      <c r="F208" s="64">
        <v>43921</v>
      </c>
      <c r="G208" s="65">
        <v>43995</v>
      </c>
      <c r="H208" s="66" t="s">
        <v>132</v>
      </c>
      <c r="I208" s="67">
        <v>3</v>
      </c>
      <c r="J208" s="68">
        <v>2020</v>
      </c>
      <c r="K208" s="69">
        <v>1</v>
      </c>
      <c r="L208" s="70">
        <v>3</v>
      </c>
      <c r="M208" s="71" t="s">
        <v>140</v>
      </c>
      <c r="N208" s="71" t="s">
        <v>18</v>
      </c>
      <c r="O208" s="71" t="s">
        <v>114</v>
      </c>
      <c r="P208" s="71" t="s">
        <v>102</v>
      </c>
      <c r="Q208" s="61" t="s">
        <v>474</v>
      </c>
      <c r="R208" s="63" t="s">
        <v>165</v>
      </c>
      <c r="S208" s="72" t="s">
        <v>696</v>
      </c>
      <c r="T208" s="61" t="s">
        <v>405</v>
      </c>
      <c r="U208" s="73" t="s">
        <v>712</v>
      </c>
      <c r="V208" s="62">
        <v>106658</v>
      </c>
      <c r="W208" s="62" t="s">
        <v>464</v>
      </c>
      <c r="X208" s="62" t="s">
        <v>402</v>
      </c>
      <c r="Y208" s="93">
        <v>1</v>
      </c>
      <c r="Z208" s="94">
        <v>1</v>
      </c>
      <c r="AA208" s="74">
        <v>0</v>
      </c>
      <c r="AB208" s="75">
        <v>0</v>
      </c>
      <c r="AC208" s="75">
        <v>0</v>
      </c>
      <c r="AD208" s="76">
        <v>0</v>
      </c>
      <c r="AE208" s="77">
        <v>7.6027397299999994E-2</v>
      </c>
      <c r="AF208" s="75">
        <v>7.6027397299999994E-2</v>
      </c>
      <c r="AG208" s="78">
        <v>13.038867029478459</v>
      </c>
      <c r="AH208" s="79">
        <v>15.646640434909008</v>
      </c>
      <c r="AI208" s="74">
        <v>7.8233202175707897</v>
      </c>
      <c r="AJ208" s="75">
        <v>0</v>
      </c>
      <c r="AK208" s="75">
        <v>0</v>
      </c>
      <c r="AL208" s="80">
        <v>7.8233202175707897</v>
      </c>
      <c r="AM208" s="74">
        <v>0</v>
      </c>
      <c r="AN208" s="74">
        <v>0</v>
      </c>
      <c r="AO208" s="81" t="s">
        <v>403</v>
      </c>
      <c r="AP208" s="82">
        <v>0</v>
      </c>
      <c r="AQ208" s="75">
        <v>0</v>
      </c>
      <c r="AR208" s="75">
        <v>0</v>
      </c>
      <c r="AS208" s="80">
        <v>0</v>
      </c>
      <c r="AT208" s="74">
        <v>0.26599288737717308</v>
      </c>
      <c r="AU208" s="75">
        <v>0.39246989755218331</v>
      </c>
      <c r="AV208" s="75">
        <v>0.51633913436827727</v>
      </c>
      <c r="AW208" s="75">
        <v>0.24356603616489331</v>
      </c>
      <c r="AX208" s="80">
        <v>1.4183679554625268</v>
      </c>
      <c r="AY208" s="81">
        <v>0</v>
      </c>
      <c r="AZ208" s="83" t="s">
        <v>403</v>
      </c>
      <c r="BA208" s="80" t="s">
        <v>403</v>
      </c>
      <c r="BB208" s="84">
        <v>4.3135179908134198</v>
      </c>
      <c r="BC208" s="85">
        <v>8.3540404042603846</v>
      </c>
      <c r="BD208" s="86">
        <v>0.33082000000930728</v>
      </c>
      <c r="BE208" s="84">
        <v>4.5570840269783126</v>
      </c>
      <c r="BF208" s="87">
        <v>5.9969114617037498</v>
      </c>
      <c r="BG208" s="88">
        <v>0.34950000001346676</v>
      </c>
      <c r="BH208" s="89">
        <v>0</v>
      </c>
      <c r="BI208" s="90">
        <v>0.59999999999108167</v>
      </c>
      <c r="BJ208" s="90">
        <v>0.10877999999968249</v>
      </c>
      <c r="BK208" s="91">
        <v>0.70877999999076413</v>
      </c>
      <c r="BL208" s="92">
        <v>3.7971788564451412</v>
      </c>
      <c r="BM208" s="95">
        <v>0</v>
      </c>
      <c r="BN208" t="s">
        <v>402</v>
      </c>
      <c r="BO208">
        <v>0.85994999999999999</v>
      </c>
    </row>
    <row r="209" spans="1:67">
      <c r="A209" s="61" t="str">
        <f t="shared" si="3"/>
        <v>UK</v>
      </c>
      <c r="B209" s="62" t="s">
        <v>64</v>
      </c>
      <c r="C209" s="62" t="s">
        <v>176</v>
      </c>
      <c r="D209" s="63" t="s">
        <v>97</v>
      </c>
      <c r="E209" s="64">
        <v>43831</v>
      </c>
      <c r="F209" s="64">
        <v>43921</v>
      </c>
      <c r="G209" s="65">
        <v>43995</v>
      </c>
      <c r="H209" s="66" t="s">
        <v>132</v>
      </c>
      <c r="I209" s="67">
        <v>3</v>
      </c>
      <c r="J209" s="68">
        <v>2020</v>
      </c>
      <c r="K209" s="69">
        <v>1</v>
      </c>
      <c r="L209" s="70">
        <v>3</v>
      </c>
      <c r="M209" s="71" t="s">
        <v>140</v>
      </c>
      <c r="N209" s="71" t="s">
        <v>18</v>
      </c>
      <c r="O209" s="71" t="s">
        <v>114</v>
      </c>
      <c r="P209" s="71" t="s">
        <v>102</v>
      </c>
      <c r="Q209" s="61" t="s">
        <v>474</v>
      </c>
      <c r="R209" s="63" t="s">
        <v>165</v>
      </c>
      <c r="S209" s="72" t="s">
        <v>696</v>
      </c>
      <c r="T209" s="61" t="s">
        <v>405</v>
      </c>
      <c r="U209" s="73" t="s">
        <v>713</v>
      </c>
      <c r="V209" s="62">
        <v>107229</v>
      </c>
      <c r="W209" s="62" t="s">
        <v>464</v>
      </c>
      <c r="X209" s="62" t="s">
        <v>402</v>
      </c>
      <c r="Y209" s="93">
        <v>1</v>
      </c>
      <c r="Z209" s="94">
        <v>1</v>
      </c>
      <c r="AA209" s="74">
        <v>0</v>
      </c>
      <c r="AB209" s="75">
        <v>0</v>
      </c>
      <c r="AC209" s="75">
        <v>0</v>
      </c>
      <c r="AD209" s="76">
        <v>0</v>
      </c>
      <c r="AE209" s="77">
        <v>131.21259538999999</v>
      </c>
      <c r="AF209" s="75">
        <v>286.35486464000002</v>
      </c>
      <c r="AG209" s="78">
        <v>20993.027594627594</v>
      </c>
      <c r="AH209" s="79">
        <v>25191.633113553115</v>
      </c>
      <c r="AI209" s="74">
        <v>12595.816556776557</v>
      </c>
      <c r="AJ209" s="75">
        <v>0</v>
      </c>
      <c r="AK209" s="75">
        <v>0</v>
      </c>
      <c r="AL209" s="80">
        <v>12595.816556776557</v>
      </c>
      <c r="AM209" s="74">
        <v>0</v>
      </c>
      <c r="AN209" s="74">
        <v>0</v>
      </c>
      <c r="AO209" s="81" t="s">
        <v>403</v>
      </c>
      <c r="AP209" s="82">
        <v>0</v>
      </c>
      <c r="AQ209" s="75">
        <v>0</v>
      </c>
      <c r="AR209" s="75">
        <v>0</v>
      </c>
      <c r="AS209" s="80">
        <v>0</v>
      </c>
      <c r="AT209" s="74">
        <v>428.25776292807723</v>
      </c>
      <c r="AU209" s="75">
        <v>631.89013058898774</v>
      </c>
      <c r="AV209" s="75">
        <v>831.3238927379499</v>
      </c>
      <c r="AW209" s="75">
        <v>392.14975546252685</v>
      </c>
      <c r="AX209" s="80">
        <v>2283.6215417175417</v>
      </c>
      <c r="AY209" s="81">
        <v>0</v>
      </c>
      <c r="AZ209" s="83" t="s">
        <v>403</v>
      </c>
      <c r="BA209" s="80" t="s">
        <v>403</v>
      </c>
      <c r="BB209" s="84">
        <v>6944.9133888714441</v>
      </c>
      <c r="BC209" s="85">
        <v>8.3540404041540288</v>
      </c>
      <c r="BD209" s="86">
        <v>0.33082000000079759</v>
      </c>
      <c r="BE209" s="84">
        <v>7337.0631443339716</v>
      </c>
      <c r="BF209" s="87">
        <v>5.9969114619882111</v>
      </c>
      <c r="BG209" s="88">
        <v>0.34950000000055387</v>
      </c>
      <c r="BH209" s="89">
        <v>0</v>
      </c>
      <c r="BI209" s="90">
        <v>0.60000000000000009</v>
      </c>
      <c r="BJ209" s="90">
        <v>0.1087799999987592</v>
      </c>
      <c r="BK209" s="91">
        <v>0.70877999999875929</v>
      </c>
      <c r="BL209" s="92">
        <v>6113.5894961334961</v>
      </c>
      <c r="BM209" s="95">
        <v>0</v>
      </c>
      <c r="BN209" t="s">
        <v>402</v>
      </c>
      <c r="BO209">
        <v>0.85994999999999999</v>
      </c>
    </row>
    <row r="210" spans="1:67">
      <c r="A210" s="61" t="str">
        <f t="shared" si="3"/>
        <v>UK</v>
      </c>
      <c r="B210" s="62" t="s">
        <v>64</v>
      </c>
      <c r="C210" s="62" t="s">
        <v>176</v>
      </c>
      <c r="D210" s="63" t="s">
        <v>97</v>
      </c>
      <c r="E210" s="64">
        <v>43831</v>
      </c>
      <c r="F210" s="64">
        <v>43921</v>
      </c>
      <c r="G210" s="65">
        <v>43995</v>
      </c>
      <c r="H210" s="66" t="s">
        <v>132</v>
      </c>
      <c r="I210" s="67">
        <v>3</v>
      </c>
      <c r="J210" s="68">
        <v>2020</v>
      </c>
      <c r="K210" s="69">
        <v>1</v>
      </c>
      <c r="L210" s="70">
        <v>3</v>
      </c>
      <c r="M210" s="71" t="s">
        <v>140</v>
      </c>
      <c r="N210" s="71" t="s">
        <v>18</v>
      </c>
      <c r="O210" s="71" t="s">
        <v>114</v>
      </c>
      <c r="P210" s="71" t="s">
        <v>102</v>
      </c>
      <c r="Q210" s="61" t="s">
        <v>474</v>
      </c>
      <c r="R210" s="63" t="s">
        <v>112</v>
      </c>
      <c r="S210" s="72" t="s">
        <v>696</v>
      </c>
      <c r="T210" s="61" t="s">
        <v>405</v>
      </c>
      <c r="U210" s="73" t="s">
        <v>714</v>
      </c>
      <c r="V210" s="62">
        <v>107904</v>
      </c>
      <c r="W210" s="62" t="s">
        <v>464</v>
      </c>
      <c r="X210" s="62" t="s">
        <v>402</v>
      </c>
      <c r="Y210" s="93">
        <v>1</v>
      </c>
      <c r="Z210" s="94">
        <v>1</v>
      </c>
      <c r="AA210" s="74">
        <v>262</v>
      </c>
      <c r="AB210" s="75">
        <v>600</v>
      </c>
      <c r="AC210" s="75">
        <v>71214.479302285021</v>
      </c>
      <c r="AD210" s="76">
        <v>85457.375162509445</v>
      </c>
      <c r="AE210" s="77">
        <v>122.37400443</v>
      </c>
      <c r="AF210" s="75">
        <v>247.97189893000001</v>
      </c>
      <c r="AG210" s="78">
        <v>33139.75451014594</v>
      </c>
      <c r="AH210" s="79">
        <v>39767.705411942559</v>
      </c>
      <c r="AI210" s="74">
        <v>19883.852706552709</v>
      </c>
      <c r="AJ210" s="75">
        <v>0</v>
      </c>
      <c r="AK210" s="75">
        <v>0</v>
      </c>
      <c r="AL210" s="80">
        <v>19883.852706552709</v>
      </c>
      <c r="AM210" s="74">
        <v>12</v>
      </c>
      <c r="AN210" s="74">
        <v>5</v>
      </c>
      <c r="AO210" s="81">
        <v>0.41666666666666669</v>
      </c>
      <c r="AP210" s="82">
        <v>32</v>
      </c>
      <c r="AQ210" s="75">
        <v>5952.9857501017495</v>
      </c>
      <c r="AR210" s="75">
        <v>9447.1888262108259</v>
      </c>
      <c r="AS210" s="80">
        <v>15400.174576312576</v>
      </c>
      <c r="AT210" s="74">
        <v>676.05099201116343</v>
      </c>
      <c r="AU210" s="75">
        <v>997.50661075643939</v>
      </c>
      <c r="AV210" s="75">
        <v>1312.3342786208502</v>
      </c>
      <c r="AW210" s="75">
        <v>619.05061424501423</v>
      </c>
      <c r="AX210" s="80">
        <v>3604.9424956334669</v>
      </c>
      <c r="AY210" s="81">
        <v>0.12904688046540821</v>
      </c>
      <c r="AZ210" s="83">
        <v>481.25545550976801</v>
      </c>
      <c r="BA210" s="80">
        <v>62.104515240494614</v>
      </c>
      <c r="BB210" s="84">
        <v>-4436.8809897319661</v>
      </c>
      <c r="BC210" s="85">
        <v>-3.3809076406925409</v>
      </c>
      <c r="BD210" s="86">
        <v>-0.13388394257337022</v>
      </c>
      <c r="BE210" s="84">
        <v>-3817.8303754869485</v>
      </c>
      <c r="BF210" s="87">
        <v>-1.9767320276705191</v>
      </c>
      <c r="BG210" s="88">
        <v>-0.11520394257350627</v>
      </c>
      <c r="BH210" s="89">
        <v>0.46470394255931252</v>
      </c>
      <c r="BI210" s="90">
        <v>0.60000000001403586</v>
      </c>
      <c r="BJ210" s="90">
        <v>0.10878000000059722</v>
      </c>
      <c r="BK210" s="91">
        <v>1.1734839425739456</v>
      </c>
      <c r="BL210" s="92">
        <v>-5749.2152683528111</v>
      </c>
      <c r="BM210" s="95">
        <v>0</v>
      </c>
      <c r="BN210" t="s">
        <v>402</v>
      </c>
      <c r="BO210">
        <v>0.85994999999999999</v>
      </c>
    </row>
    <row r="211" spans="1:67">
      <c r="A211" s="61" t="str">
        <f t="shared" si="3"/>
        <v>UK</v>
      </c>
      <c r="B211" s="62" t="s">
        <v>64</v>
      </c>
      <c r="C211" s="62" t="s">
        <v>176</v>
      </c>
      <c r="D211" s="63" t="s">
        <v>97</v>
      </c>
      <c r="E211" s="64">
        <v>43831</v>
      </c>
      <c r="F211" s="64">
        <v>43921</v>
      </c>
      <c r="G211" s="65">
        <v>43995</v>
      </c>
      <c r="H211" s="66" t="s">
        <v>132</v>
      </c>
      <c r="I211" s="67">
        <v>3</v>
      </c>
      <c r="J211" s="68">
        <v>2020</v>
      </c>
      <c r="K211" s="69">
        <v>1</v>
      </c>
      <c r="L211" s="70">
        <v>3</v>
      </c>
      <c r="M211" s="71" t="s">
        <v>140</v>
      </c>
      <c r="N211" s="71" t="s">
        <v>18</v>
      </c>
      <c r="O211" s="71" t="s">
        <v>114</v>
      </c>
      <c r="P211" s="71" t="s">
        <v>102</v>
      </c>
      <c r="Q211" s="61" t="s">
        <v>474</v>
      </c>
      <c r="R211" s="63" t="s">
        <v>165</v>
      </c>
      <c r="S211" s="72" t="s">
        <v>696</v>
      </c>
      <c r="T211" s="61" t="s">
        <v>405</v>
      </c>
      <c r="U211" s="73" t="s">
        <v>715</v>
      </c>
      <c r="V211" s="62">
        <v>107241</v>
      </c>
      <c r="W211" s="62" t="s">
        <v>464</v>
      </c>
      <c r="X211" s="62" t="s">
        <v>402</v>
      </c>
      <c r="Y211" s="93">
        <v>1</v>
      </c>
      <c r="Z211" s="94">
        <v>1</v>
      </c>
      <c r="AA211" s="74">
        <v>0</v>
      </c>
      <c r="AB211" s="75">
        <v>0</v>
      </c>
      <c r="AC211" s="75">
        <v>0</v>
      </c>
      <c r="AD211" s="76">
        <v>0</v>
      </c>
      <c r="AE211" s="77">
        <v>11.659651792</v>
      </c>
      <c r="AF211" s="75">
        <v>26.680485125000001</v>
      </c>
      <c r="AG211" s="78">
        <v>932.35260151171576</v>
      </c>
      <c r="AH211" s="79">
        <v>1118.8231218094074</v>
      </c>
      <c r="AI211" s="74">
        <v>559.41156090470372</v>
      </c>
      <c r="AJ211" s="75">
        <v>0</v>
      </c>
      <c r="AK211" s="75">
        <v>0</v>
      </c>
      <c r="AL211" s="80">
        <v>559.41156090470372</v>
      </c>
      <c r="AM211" s="74">
        <v>0</v>
      </c>
      <c r="AN211" s="74">
        <v>0</v>
      </c>
      <c r="AO211" s="81" t="s">
        <v>403</v>
      </c>
      <c r="AP211" s="82">
        <v>0</v>
      </c>
      <c r="AQ211" s="75">
        <v>0</v>
      </c>
      <c r="AR211" s="75">
        <v>0</v>
      </c>
      <c r="AS211" s="80">
        <v>0</v>
      </c>
      <c r="AT211" s="74">
        <v>19.019993070527356</v>
      </c>
      <c r="AU211" s="75">
        <v>28.063813305424734</v>
      </c>
      <c r="AV211" s="75">
        <v>36.921163019943016</v>
      </c>
      <c r="AW211" s="75">
        <v>17.41634659573231</v>
      </c>
      <c r="AX211" s="80">
        <v>101.42131599162741</v>
      </c>
      <c r="AY211" s="81">
        <v>0</v>
      </c>
      <c r="AZ211" s="83" t="s">
        <v>403</v>
      </c>
      <c r="BA211" s="80" t="s">
        <v>403</v>
      </c>
      <c r="BB211" s="84">
        <v>308.44088763532761</v>
      </c>
      <c r="BC211" s="85">
        <v>8.3540404041097744</v>
      </c>
      <c r="BD211" s="86">
        <v>0.33082000000345557</v>
      </c>
      <c r="BE211" s="84">
        <v>325.85723423105992</v>
      </c>
      <c r="BF211" s="87">
        <v>5.9969114620051771</v>
      </c>
      <c r="BG211" s="88">
        <v>0.34950000000291226</v>
      </c>
      <c r="BH211" s="89">
        <v>0</v>
      </c>
      <c r="BI211" s="90">
        <v>0.59999999999750553</v>
      </c>
      <c r="BJ211" s="90">
        <v>0.10877999999912369</v>
      </c>
      <c r="BK211" s="91">
        <v>0.70877999999662922</v>
      </c>
      <c r="BL211" s="92">
        <v>271.51972461538469</v>
      </c>
      <c r="BM211" s="95">
        <v>0</v>
      </c>
      <c r="BN211" t="s">
        <v>402</v>
      </c>
      <c r="BO211">
        <v>0.85994999999999999</v>
      </c>
    </row>
    <row r="212" spans="1:67">
      <c r="A212" s="61" t="str">
        <f t="shared" si="3"/>
        <v>UK</v>
      </c>
      <c r="B212" s="62" t="s">
        <v>64</v>
      </c>
      <c r="C212" s="62" t="s">
        <v>176</v>
      </c>
      <c r="D212" s="63" t="s">
        <v>97</v>
      </c>
      <c r="E212" s="64">
        <v>43831</v>
      </c>
      <c r="F212" s="64">
        <v>43921</v>
      </c>
      <c r="G212" s="65">
        <v>43995</v>
      </c>
      <c r="H212" s="66" t="s">
        <v>132</v>
      </c>
      <c r="I212" s="67">
        <v>3</v>
      </c>
      <c r="J212" s="68">
        <v>2020</v>
      </c>
      <c r="K212" s="69">
        <v>1</v>
      </c>
      <c r="L212" s="70">
        <v>3</v>
      </c>
      <c r="M212" s="71" t="s">
        <v>140</v>
      </c>
      <c r="N212" s="71" t="s">
        <v>18</v>
      </c>
      <c r="O212" s="71" t="s">
        <v>114</v>
      </c>
      <c r="P212" s="71" t="s">
        <v>102</v>
      </c>
      <c r="Q212" s="61" t="s">
        <v>474</v>
      </c>
      <c r="R212" s="63" t="s">
        <v>106</v>
      </c>
      <c r="S212" s="72" t="s">
        <v>696</v>
      </c>
      <c r="T212" s="61" t="s">
        <v>405</v>
      </c>
      <c r="U212" s="73" t="s">
        <v>716</v>
      </c>
      <c r="V212" s="62">
        <v>107916</v>
      </c>
      <c r="W212" s="62" t="s">
        <v>464</v>
      </c>
      <c r="X212" s="62" t="s">
        <v>402</v>
      </c>
      <c r="Y212" s="93">
        <v>1</v>
      </c>
      <c r="Z212" s="94">
        <v>1</v>
      </c>
      <c r="AA212" s="74">
        <v>464</v>
      </c>
      <c r="AB212" s="75">
        <v>1110</v>
      </c>
      <c r="AC212" s="75">
        <v>38102.137823129255</v>
      </c>
      <c r="AD212" s="76">
        <v>45722.565388685391</v>
      </c>
      <c r="AE212" s="77">
        <v>140.81446281999999</v>
      </c>
      <c r="AF212" s="75">
        <v>251.89568495</v>
      </c>
      <c r="AG212" s="78">
        <v>14952.986098028956</v>
      </c>
      <c r="AH212" s="79">
        <v>17943.583317634744</v>
      </c>
      <c r="AI212" s="74">
        <v>8971.7916590499444</v>
      </c>
      <c r="AJ212" s="75">
        <v>0</v>
      </c>
      <c r="AK212" s="75">
        <v>0</v>
      </c>
      <c r="AL212" s="80">
        <v>8971.7916590499444</v>
      </c>
      <c r="AM212" s="74">
        <v>7</v>
      </c>
      <c r="AN212" s="74">
        <v>2</v>
      </c>
      <c r="AO212" s="81">
        <v>0.2857142857142857</v>
      </c>
      <c r="AP212" s="82">
        <v>18</v>
      </c>
      <c r="AQ212" s="75">
        <v>19638.734475260189</v>
      </c>
      <c r="AR212" s="75">
        <v>22140.356613756612</v>
      </c>
      <c r="AS212" s="80">
        <v>41779.091089016802</v>
      </c>
      <c r="AT212" s="74">
        <v>305.04091640211635</v>
      </c>
      <c r="AU212" s="75">
        <v>450.08488156288155</v>
      </c>
      <c r="AV212" s="75">
        <v>592.13824949124955</v>
      </c>
      <c r="AW212" s="75">
        <v>279.32178031280893</v>
      </c>
      <c r="AX212" s="80">
        <v>1626.5858277690563</v>
      </c>
      <c r="AY212" s="81">
        <v>7.1458151431108896E-2</v>
      </c>
      <c r="AZ212" s="83">
        <v>2321.0606160564889</v>
      </c>
      <c r="BA212" s="80">
        <v>165.85870098294748</v>
      </c>
      <c r="BB212" s="84">
        <v>-36832.344228315604</v>
      </c>
      <c r="BC212" s="85">
        <v>-62.202271614713347</v>
      </c>
      <c r="BD212" s="86">
        <v>-2.4632099559813474</v>
      </c>
      <c r="BE212" s="84">
        <v>-36553.022448002797</v>
      </c>
      <c r="BF212" s="87">
        <v>-41.944577143970086</v>
      </c>
      <c r="BG212" s="88">
        <v>-2.4445299559812388</v>
      </c>
      <c r="BH212" s="89">
        <v>2.7940299559647124</v>
      </c>
      <c r="BI212" s="90">
        <v>0.60000000001555343</v>
      </c>
      <c r="BJ212" s="90">
        <v>0.10878000000170311</v>
      </c>
      <c r="BK212" s="91">
        <v>3.5028099559819688</v>
      </c>
      <c r="BL212" s="92">
        <v>-37424.482477806843</v>
      </c>
      <c r="BM212" s="95">
        <v>0</v>
      </c>
      <c r="BN212" t="s">
        <v>402</v>
      </c>
      <c r="BO212">
        <v>0.85994999999999999</v>
      </c>
    </row>
    <row r="213" spans="1:67">
      <c r="A213" s="61" t="str">
        <f t="shared" si="3"/>
        <v>UK</v>
      </c>
      <c r="B213" s="62" t="s">
        <v>64</v>
      </c>
      <c r="C213" s="62" t="s">
        <v>176</v>
      </c>
      <c r="D213" s="63" t="s">
        <v>97</v>
      </c>
      <c r="E213" s="64">
        <v>43831</v>
      </c>
      <c r="F213" s="64">
        <v>43921</v>
      </c>
      <c r="G213" s="65">
        <v>43995</v>
      </c>
      <c r="H213" s="66" t="s">
        <v>132</v>
      </c>
      <c r="I213" s="67">
        <v>3</v>
      </c>
      <c r="J213" s="68">
        <v>2020</v>
      </c>
      <c r="K213" s="69">
        <v>1</v>
      </c>
      <c r="L213" s="70">
        <v>3</v>
      </c>
      <c r="M213" s="71" t="s">
        <v>140</v>
      </c>
      <c r="N213" s="71" t="s">
        <v>18</v>
      </c>
      <c r="O213" s="71" t="s">
        <v>114</v>
      </c>
      <c r="P213" s="71" t="s">
        <v>102</v>
      </c>
      <c r="Q213" s="61" t="s">
        <v>474</v>
      </c>
      <c r="R213" s="63" t="s">
        <v>165</v>
      </c>
      <c r="S213" s="72" t="s">
        <v>696</v>
      </c>
      <c r="T213" s="61" t="s">
        <v>405</v>
      </c>
      <c r="U213" s="73" t="s">
        <v>717</v>
      </c>
      <c r="V213" s="62">
        <v>107230</v>
      </c>
      <c r="W213" s="62" t="s">
        <v>464</v>
      </c>
      <c r="X213" s="62" t="s">
        <v>402</v>
      </c>
      <c r="Y213" s="93">
        <v>1</v>
      </c>
      <c r="Z213" s="94">
        <v>1</v>
      </c>
      <c r="AA213" s="74">
        <v>0</v>
      </c>
      <c r="AB213" s="75">
        <v>0</v>
      </c>
      <c r="AC213" s="75">
        <v>0</v>
      </c>
      <c r="AD213" s="76">
        <v>0</v>
      </c>
      <c r="AE213" s="77">
        <v>154.23658768999999</v>
      </c>
      <c r="AF213" s="75">
        <v>305.16304738000002</v>
      </c>
      <c r="AG213" s="78">
        <v>18788.423130414561</v>
      </c>
      <c r="AH213" s="79">
        <v>22546.107756264901</v>
      </c>
      <c r="AI213" s="74">
        <v>11273.05387813245</v>
      </c>
      <c r="AJ213" s="75">
        <v>0</v>
      </c>
      <c r="AK213" s="75">
        <v>0</v>
      </c>
      <c r="AL213" s="80">
        <v>11273.05387813245</v>
      </c>
      <c r="AM213" s="74">
        <v>0</v>
      </c>
      <c r="AN213" s="74">
        <v>0</v>
      </c>
      <c r="AO213" s="81" t="s">
        <v>403</v>
      </c>
      <c r="AP213" s="82">
        <v>0</v>
      </c>
      <c r="AQ213" s="75">
        <v>0</v>
      </c>
      <c r="AR213" s="75">
        <v>0</v>
      </c>
      <c r="AS213" s="80">
        <v>0</v>
      </c>
      <c r="AT213" s="74">
        <v>383.28383186231758</v>
      </c>
      <c r="AU213" s="75">
        <v>565.53153621722197</v>
      </c>
      <c r="AV213" s="75">
        <v>744.02155596255602</v>
      </c>
      <c r="AW213" s="75">
        <v>350.96774407814411</v>
      </c>
      <c r="AX213" s="80">
        <v>2043.8046681202397</v>
      </c>
      <c r="AY213" s="81">
        <v>0</v>
      </c>
      <c r="AZ213" s="83" t="s">
        <v>403</v>
      </c>
      <c r="BA213" s="80" t="s">
        <v>403</v>
      </c>
      <c r="BB213" s="84">
        <v>6215.5861401244274</v>
      </c>
      <c r="BC213" s="85">
        <v>8.3540404042234986</v>
      </c>
      <c r="BD213" s="86">
        <v>0.3308200000064232</v>
      </c>
      <c r="BE213" s="84">
        <v>6566.5538842025708</v>
      </c>
      <c r="BF213" s="87">
        <v>5.9969114620193054</v>
      </c>
      <c r="BG213" s="88">
        <v>0.34950000000652964</v>
      </c>
      <c r="BH213" s="89">
        <v>0</v>
      </c>
      <c r="BI213" s="90">
        <v>0.59999999999381071</v>
      </c>
      <c r="BJ213" s="90">
        <v>0.10877999999966702</v>
      </c>
      <c r="BK213" s="91">
        <v>0.70877999999347774</v>
      </c>
      <c r="BL213" s="92">
        <v>5471.5645841618716</v>
      </c>
      <c r="BM213" s="95">
        <v>0</v>
      </c>
      <c r="BN213" t="s">
        <v>402</v>
      </c>
      <c r="BO213">
        <v>0.85994999999999999</v>
      </c>
    </row>
    <row r="214" spans="1:67">
      <c r="A214" s="61" t="str">
        <f t="shared" si="3"/>
        <v>UK</v>
      </c>
      <c r="B214" s="62" t="s">
        <v>64</v>
      </c>
      <c r="C214" s="62" t="s">
        <v>176</v>
      </c>
      <c r="D214" s="63" t="s">
        <v>97</v>
      </c>
      <c r="E214" s="64">
        <v>43831</v>
      </c>
      <c r="F214" s="64">
        <v>43921</v>
      </c>
      <c r="G214" s="65">
        <v>43995</v>
      </c>
      <c r="H214" s="66" t="s">
        <v>132</v>
      </c>
      <c r="I214" s="67">
        <v>3</v>
      </c>
      <c r="J214" s="68">
        <v>2020</v>
      </c>
      <c r="K214" s="69">
        <v>1</v>
      </c>
      <c r="L214" s="70">
        <v>3</v>
      </c>
      <c r="M214" s="71" t="s">
        <v>140</v>
      </c>
      <c r="N214" s="71" t="s">
        <v>18</v>
      </c>
      <c r="O214" s="71" t="s">
        <v>114</v>
      </c>
      <c r="P214" s="71" t="s">
        <v>102</v>
      </c>
      <c r="Q214" s="61" t="s">
        <v>474</v>
      </c>
      <c r="R214" s="63" t="s">
        <v>112</v>
      </c>
      <c r="S214" s="72" t="s">
        <v>696</v>
      </c>
      <c r="T214" s="61" t="s">
        <v>405</v>
      </c>
      <c r="U214" s="73" t="s">
        <v>718</v>
      </c>
      <c r="V214" s="62">
        <v>107905</v>
      </c>
      <c r="W214" s="62" t="s">
        <v>464</v>
      </c>
      <c r="X214" s="62" t="s">
        <v>402</v>
      </c>
      <c r="Y214" s="93">
        <v>1</v>
      </c>
      <c r="Z214" s="94">
        <v>1</v>
      </c>
      <c r="AA214" s="74">
        <v>285</v>
      </c>
      <c r="AB214" s="75">
        <v>533</v>
      </c>
      <c r="AC214" s="75">
        <v>54510.165387522531</v>
      </c>
      <c r="AD214" s="76">
        <v>65412.198465027039</v>
      </c>
      <c r="AE214" s="77">
        <v>132.40360749999999</v>
      </c>
      <c r="AF214" s="75">
        <v>238.11351665000001</v>
      </c>
      <c r="AG214" s="78">
        <v>24735.37724053724</v>
      </c>
      <c r="AH214" s="79">
        <v>29682.452689109836</v>
      </c>
      <c r="AI214" s="74">
        <v>14841.226344554918</v>
      </c>
      <c r="AJ214" s="75">
        <v>0</v>
      </c>
      <c r="AK214" s="75">
        <v>0</v>
      </c>
      <c r="AL214" s="80">
        <v>14841.226344554918</v>
      </c>
      <c r="AM214" s="74">
        <v>7</v>
      </c>
      <c r="AN214" s="74">
        <v>1</v>
      </c>
      <c r="AO214" s="81">
        <v>0.14285714285714285</v>
      </c>
      <c r="AP214" s="82">
        <v>12</v>
      </c>
      <c r="AQ214" s="75">
        <v>2941.3919377870807</v>
      </c>
      <c r="AR214" s="75">
        <v>7360.2651280888422</v>
      </c>
      <c r="AS214" s="80">
        <v>10301.657065875923</v>
      </c>
      <c r="AT214" s="74">
        <v>504.60169570323859</v>
      </c>
      <c r="AU214" s="75">
        <v>744.53485494505503</v>
      </c>
      <c r="AV214" s="75">
        <v>979.52093872899582</v>
      </c>
      <c r="AW214" s="75">
        <v>462.05684685156115</v>
      </c>
      <c r="AX214" s="80">
        <v>2690.7143362288507</v>
      </c>
      <c r="AY214" s="81">
        <v>5.0396131092543754E-2</v>
      </c>
      <c r="AZ214" s="83">
        <v>858.47142215632687</v>
      </c>
      <c r="BA214" s="80">
        <v>43.26363833019272</v>
      </c>
      <c r="BB214" s="84">
        <v>-2118.6995673934507</v>
      </c>
      <c r="BC214" s="85">
        <v>-2.1629956886298185</v>
      </c>
      <c r="BD214" s="86">
        <v>-8.5654629270066215E-2</v>
      </c>
      <c r="BE214" s="84">
        <v>-1656.6427205418913</v>
      </c>
      <c r="BF214" s="87">
        <v>-1.1491871872003929</v>
      </c>
      <c r="BG214" s="88">
        <v>-6.6974629270133978E-2</v>
      </c>
      <c r="BH214" s="89">
        <v>0.41647462926068463</v>
      </c>
      <c r="BI214" s="90">
        <v>0.60000000000940246</v>
      </c>
      <c r="BJ214" s="90">
        <v>0.10878000000012976</v>
      </c>
      <c r="BK214" s="91">
        <v>1.1252546292702168</v>
      </c>
      <c r="BL214" s="92">
        <v>-3098.2205061224522</v>
      </c>
      <c r="BM214" s="95">
        <v>0</v>
      </c>
      <c r="BN214" t="s">
        <v>402</v>
      </c>
      <c r="BO214">
        <v>0.85994999999999999</v>
      </c>
    </row>
    <row r="215" spans="1:67">
      <c r="A215" s="61" t="str">
        <f t="shared" si="3"/>
        <v>UK</v>
      </c>
      <c r="B215" s="62" t="s">
        <v>64</v>
      </c>
      <c r="C215" s="62" t="s">
        <v>176</v>
      </c>
      <c r="D215" s="63" t="s">
        <v>97</v>
      </c>
      <c r="E215" s="64">
        <v>43831</v>
      </c>
      <c r="F215" s="64">
        <v>43921</v>
      </c>
      <c r="G215" s="65">
        <v>43995</v>
      </c>
      <c r="H215" s="66" t="s">
        <v>132</v>
      </c>
      <c r="I215" s="67">
        <v>3</v>
      </c>
      <c r="J215" s="68">
        <v>2020</v>
      </c>
      <c r="K215" s="69">
        <v>1</v>
      </c>
      <c r="L215" s="70">
        <v>3</v>
      </c>
      <c r="M215" s="71" t="s">
        <v>140</v>
      </c>
      <c r="N215" s="71" t="s">
        <v>18</v>
      </c>
      <c r="O215" s="71" t="s">
        <v>114</v>
      </c>
      <c r="P215" s="71" t="s">
        <v>102</v>
      </c>
      <c r="Q215" s="61" t="s">
        <v>474</v>
      </c>
      <c r="R215" s="63" t="s">
        <v>165</v>
      </c>
      <c r="S215" s="72" t="s">
        <v>696</v>
      </c>
      <c r="T215" s="61" t="s">
        <v>405</v>
      </c>
      <c r="U215" s="73" t="s">
        <v>719</v>
      </c>
      <c r="V215" s="62">
        <v>107242</v>
      </c>
      <c r="W215" s="62" t="s">
        <v>464</v>
      </c>
      <c r="X215" s="62" t="s">
        <v>402</v>
      </c>
      <c r="Y215" s="93">
        <v>1</v>
      </c>
      <c r="Z215" s="94">
        <v>1</v>
      </c>
      <c r="AA215" s="74">
        <v>0</v>
      </c>
      <c r="AB215" s="75">
        <v>0</v>
      </c>
      <c r="AC215" s="75">
        <v>0</v>
      </c>
      <c r="AD215" s="76">
        <v>0</v>
      </c>
      <c r="AE215" s="77">
        <v>7.5401041666999999</v>
      </c>
      <c r="AF215" s="75">
        <v>11.481770833000001</v>
      </c>
      <c r="AG215" s="78">
        <v>391.74502835048554</v>
      </c>
      <c r="AH215" s="79">
        <v>470.09403401360544</v>
      </c>
      <c r="AI215" s="74">
        <v>235.047017012617</v>
      </c>
      <c r="AJ215" s="75">
        <v>0</v>
      </c>
      <c r="AK215" s="75">
        <v>0</v>
      </c>
      <c r="AL215" s="80">
        <v>235.047017012617</v>
      </c>
      <c r="AM215" s="74">
        <v>0</v>
      </c>
      <c r="AN215" s="74">
        <v>0</v>
      </c>
      <c r="AO215" s="81" t="s">
        <v>403</v>
      </c>
      <c r="AP215" s="82">
        <v>0</v>
      </c>
      <c r="AQ215" s="75">
        <v>0</v>
      </c>
      <c r="AR215" s="75">
        <v>0</v>
      </c>
      <c r="AS215" s="80">
        <v>0</v>
      </c>
      <c r="AT215" s="74">
        <v>7.9915985782894357</v>
      </c>
      <c r="AU215" s="75">
        <v>11.791525352636782</v>
      </c>
      <c r="AV215" s="75">
        <v>15.513103122274551</v>
      </c>
      <c r="AW215" s="75">
        <v>7.3177971294842727</v>
      </c>
      <c r="AX215" s="80">
        <v>42.614024182685043</v>
      </c>
      <c r="AY215" s="81">
        <v>0</v>
      </c>
      <c r="AZ215" s="83" t="s">
        <v>403</v>
      </c>
      <c r="BA215" s="80" t="s">
        <v>403</v>
      </c>
      <c r="BB215" s="84">
        <v>129.59709027745805</v>
      </c>
      <c r="BC215" s="85">
        <v>8.3540404041648859</v>
      </c>
      <c r="BD215" s="86">
        <v>0.33081999999629969</v>
      </c>
      <c r="BE215" s="84">
        <v>136.91488740694234</v>
      </c>
      <c r="BF215" s="87">
        <v>5.9969114619733332</v>
      </c>
      <c r="BG215" s="88">
        <v>0.34949999999603731</v>
      </c>
      <c r="BH215" s="89">
        <v>0</v>
      </c>
      <c r="BI215" s="90">
        <v>0.60000000000593667</v>
      </c>
      <c r="BJ215" s="90">
        <v>0.10877999999673059</v>
      </c>
      <c r="BK215" s="91">
        <v>0.70878000000266728</v>
      </c>
      <c r="BL215" s="92">
        <v>114.08398715518348</v>
      </c>
      <c r="BM215" s="95">
        <v>0</v>
      </c>
      <c r="BN215" t="s">
        <v>402</v>
      </c>
      <c r="BO215">
        <v>0.85994999999999999</v>
      </c>
    </row>
    <row r="216" spans="1:67">
      <c r="A216" s="61" t="str">
        <f t="shared" si="3"/>
        <v>UK</v>
      </c>
      <c r="B216" s="62" t="s">
        <v>64</v>
      </c>
      <c r="C216" s="62" t="s">
        <v>176</v>
      </c>
      <c r="D216" s="63" t="s">
        <v>97</v>
      </c>
      <c r="E216" s="64">
        <v>43831</v>
      </c>
      <c r="F216" s="64">
        <v>43921</v>
      </c>
      <c r="G216" s="65">
        <v>43995</v>
      </c>
      <c r="H216" s="66" t="s">
        <v>132</v>
      </c>
      <c r="I216" s="67">
        <v>3</v>
      </c>
      <c r="J216" s="68">
        <v>2020</v>
      </c>
      <c r="K216" s="69">
        <v>1</v>
      </c>
      <c r="L216" s="70">
        <v>3</v>
      </c>
      <c r="M216" s="71" t="s">
        <v>140</v>
      </c>
      <c r="N216" s="71" t="s">
        <v>18</v>
      </c>
      <c r="O216" s="71" t="s">
        <v>114</v>
      </c>
      <c r="P216" s="71" t="s">
        <v>102</v>
      </c>
      <c r="Q216" s="61" t="s">
        <v>474</v>
      </c>
      <c r="R216" s="63" t="s">
        <v>106</v>
      </c>
      <c r="S216" s="72" t="s">
        <v>696</v>
      </c>
      <c r="T216" s="61" t="s">
        <v>405</v>
      </c>
      <c r="U216" s="73" t="s">
        <v>720</v>
      </c>
      <c r="V216" s="62">
        <v>107917</v>
      </c>
      <c r="W216" s="62" t="s">
        <v>464</v>
      </c>
      <c r="X216" s="62" t="s">
        <v>402</v>
      </c>
      <c r="Y216" s="93">
        <v>1</v>
      </c>
      <c r="Z216" s="94">
        <v>1</v>
      </c>
      <c r="AA216" s="74">
        <v>865</v>
      </c>
      <c r="AB216" s="75">
        <v>1644</v>
      </c>
      <c r="AC216" s="75">
        <v>38991.782464096752</v>
      </c>
      <c r="AD216" s="76">
        <v>46790.138956916097</v>
      </c>
      <c r="AE216" s="77">
        <v>417.51579230999999</v>
      </c>
      <c r="AF216" s="75">
        <v>660.77592602000004</v>
      </c>
      <c r="AG216" s="78">
        <v>22336.08120820978</v>
      </c>
      <c r="AH216" s="79">
        <v>26803.297448688878</v>
      </c>
      <c r="AI216" s="74">
        <v>13401.648724925868</v>
      </c>
      <c r="AJ216" s="75">
        <v>0</v>
      </c>
      <c r="AK216" s="75">
        <v>0</v>
      </c>
      <c r="AL216" s="80">
        <v>13401.648724925868</v>
      </c>
      <c r="AM216" s="74">
        <v>10</v>
      </c>
      <c r="AN216" s="74">
        <v>4</v>
      </c>
      <c r="AO216" s="81">
        <v>0.4</v>
      </c>
      <c r="AP216" s="82">
        <v>23</v>
      </c>
      <c r="AQ216" s="75">
        <v>2360.9163439734866</v>
      </c>
      <c r="AR216" s="75">
        <v>8214.3380030234312</v>
      </c>
      <c r="AS216" s="80">
        <v>10575.254346996917</v>
      </c>
      <c r="AT216" s="74">
        <v>455.65605664282805</v>
      </c>
      <c r="AU216" s="75">
        <v>672.31604435141583</v>
      </c>
      <c r="AV216" s="75">
        <v>884.50881582650152</v>
      </c>
      <c r="AW216" s="75">
        <v>417.23799696493978</v>
      </c>
      <c r="AX216" s="80">
        <v>2429.7189137856849</v>
      </c>
      <c r="AY216" s="81">
        <v>3.4807563493624988E-2</v>
      </c>
      <c r="AZ216" s="83">
        <v>459.7936672607355</v>
      </c>
      <c r="BA216" s="80">
        <v>16.004297267144732</v>
      </c>
      <c r="BB216" s="84">
        <v>-3186.0319616721899</v>
      </c>
      <c r="BC216" s="85">
        <v>-3.6020352818022534</v>
      </c>
      <c r="BD216" s="86">
        <v>-0.14264059715636879</v>
      </c>
      <c r="BE216" s="84">
        <v>-2768.793964707249</v>
      </c>
      <c r="BF216" s="87">
        <v>-2.1269834790452835</v>
      </c>
      <c r="BG216" s="88">
        <v>-0.12396059715656656</v>
      </c>
      <c r="BH216" s="89">
        <v>0.47346059715747763</v>
      </c>
      <c r="BI216" s="90">
        <v>0.6</v>
      </c>
      <c r="BJ216" s="90">
        <v>0.10877999999805807</v>
      </c>
      <c r="BK216" s="91">
        <v>1.1822405971555356</v>
      </c>
      <c r="BL216" s="92">
        <v>-4070.5407774986888</v>
      </c>
      <c r="BM216" s="95">
        <v>0</v>
      </c>
      <c r="BN216" t="s">
        <v>402</v>
      </c>
      <c r="BO216">
        <v>0.85994999999999999</v>
      </c>
    </row>
    <row r="217" spans="1:67">
      <c r="A217" s="61" t="str">
        <f t="shared" si="3"/>
        <v>UK</v>
      </c>
      <c r="B217" s="62" t="s">
        <v>64</v>
      </c>
      <c r="C217" s="62" t="s">
        <v>176</v>
      </c>
      <c r="D217" s="63" t="s">
        <v>97</v>
      </c>
      <c r="E217" s="64">
        <v>43831</v>
      </c>
      <c r="F217" s="64">
        <v>43921</v>
      </c>
      <c r="G217" s="65">
        <v>43995</v>
      </c>
      <c r="H217" s="66" t="s">
        <v>132</v>
      </c>
      <c r="I217" s="67">
        <v>3</v>
      </c>
      <c r="J217" s="68">
        <v>2020</v>
      </c>
      <c r="K217" s="69">
        <v>1</v>
      </c>
      <c r="L217" s="70">
        <v>3</v>
      </c>
      <c r="M217" s="71" t="s">
        <v>140</v>
      </c>
      <c r="N217" s="71" t="s">
        <v>18</v>
      </c>
      <c r="O217" s="71" t="s">
        <v>114</v>
      </c>
      <c r="P217" s="71" t="s">
        <v>102</v>
      </c>
      <c r="Q217" s="61" t="s">
        <v>474</v>
      </c>
      <c r="R217" s="63" t="s">
        <v>165</v>
      </c>
      <c r="S217" s="72" t="s">
        <v>696</v>
      </c>
      <c r="T217" s="61" t="s">
        <v>405</v>
      </c>
      <c r="U217" s="73" t="s">
        <v>721</v>
      </c>
      <c r="V217" s="62">
        <v>107231</v>
      </c>
      <c r="W217" s="62" t="s">
        <v>556</v>
      </c>
      <c r="X217" s="62" t="s">
        <v>402</v>
      </c>
      <c r="Y217" s="93">
        <v>1</v>
      </c>
      <c r="Z217" s="94">
        <v>1</v>
      </c>
      <c r="AA217" s="74">
        <v>0</v>
      </c>
      <c r="AB217" s="75">
        <v>0</v>
      </c>
      <c r="AC217" s="75">
        <v>0</v>
      </c>
      <c r="AD217" s="76">
        <v>0</v>
      </c>
      <c r="AE217" s="77">
        <v>2.4982371434999999</v>
      </c>
      <c r="AF217" s="75">
        <v>6.3898046261000001</v>
      </c>
      <c r="AG217" s="78">
        <v>311.55107922553634</v>
      </c>
      <c r="AH217" s="79">
        <v>373.86129507529506</v>
      </c>
      <c r="AI217" s="74">
        <v>186.93064753764753</v>
      </c>
      <c r="AJ217" s="75">
        <v>0</v>
      </c>
      <c r="AK217" s="75">
        <v>0</v>
      </c>
      <c r="AL217" s="80">
        <v>186.93064753764753</v>
      </c>
      <c r="AM217" s="74">
        <v>0</v>
      </c>
      <c r="AN217" s="74">
        <v>0</v>
      </c>
      <c r="AO217" s="81" t="s">
        <v>403</v>
      </c>
      <c r="AP217" s="82">
        <v>0</v>
      </c>
      <c r="AQ217" s="75">
        <v>0</v>
      </c>
      <c r="AR217" s="75">
        <v>0</v>
      </c>
      <c r="AS217" s="80">
        <v>0</v>
      </c>
      <c r="AT217" s="74">
        <v>6.3556420161637304</v>
      </c>
      <c r="AU217" s="75">
        <v>9.3776874847374856</v>
      </c>
      <c r="AV217" s="75">
        <v>12.337422737368453</v>
      </c>
      <c r="AW217" s="75">
        <v>5.8197741598930177</v>
      </c>
      <c r="AX217" s="80">
        <v>33.890526398162685</v>
      </c>
      <c r="AY217" s="81">
        <v>0</v>
      </c>
      <c r="AZ217" s="83" t="s">
        <v>403</v>
      </c>
      <c r="BA217" s="80" t="s">
        <v>403</v>
      </c>
      <c r="BB217" s="84">
        <v>103.06732802709456</v>
      </c>
      <c r="BC217" s="85">
        <v>8.3540404038289946</v>
      </c>
      <c r="BD217" s="86">
        <v>0.33081999999262601</v>
      </c>
      <c r="BE217" s="84">
        <v>108.88710218698759</v>
      </c>
      <c r="BF217" s="87">
        <v>5.9969114617802211</v>
      </c>
      <c r="BG217" s="88">
        <v>0.34949999999249765</v>
      </c>
      <c r="BH217" s="89">
        <v>0</v>
      </c>
      <c r="BI217" s="90">
        <v>0.60000000000746501</v>
      </c>
      <c r="BJ217" s="90">
        <v>0.10878000000002838</v>
      </c>
      <c r="BK217" s="91">
        <v>0.70878000000749342</v>
      </c>
      <c r="BL217" s="92">
        <v>90.729905289726133</v>
      </c>
      <c r="BM217" s="95">
        <v>0</v>
      </c>
      <c r="BN217" t="s">
        <v>402</v>
      </c>
      <c r="BO217">
        <v>0.85994999999999999</v>
      </c>
    </row>
    <row r="218" spans="1:67">
      <c r="A218" s="61" t="str">
        <f t="shared" si="3"/>
        <v>UK</v>
      </c>
      <c r="B218" s="62" t="s">
        <v>64</v>
      </c>
      <c r="C218" s="62" t="s">
        <v>176</v>
      </c>
      <c r="D218" s="63" t="s">
        <v>97</v>
      </c>
      <c r="E218" s="64">
        <v>43831</v>
      </c>
      <c r="F218" s="64">
        <v>43921</v>
      </c>
      <c r="G218" s="65">
        <v>43995</v>
      </c>
      <c r="H218" s="66" t="s">
        <v>132</v>
      </c>
      <c r="I218" s="67">
        <v>3</v>
      </c>
      <c r="J218" s="68">
        <v>2020</v>
      </c>
      <c r="K218" s="69">
        <v>1</v>
      </c>
      <c r="L218" s="70">
        <v>3</v>
      </c>
      <c r="M218" s="71" t="s">
        <v>140</v>
      </c>
      <c r="N218" s="71" t="s">
        <v>18</v>
      </c>
      <c r="O218" s="71" t="s">
        <v>114</v>
      </c>
      <c r="P218" s="71" t="s">
        <v>102</v>
      </c>
      <c r="Q218" s="61" t="s">
        <v>474</v>
      </c>
      <c r="R218" s="63" t="s">
        <v>112</v>
      </c>
      <c r="S218" s="72" t="s">
        <v>696</v>
      </c>
      <c r="T218" s="61" t="s">
        <v>405</v>
      </c>
      <c r="U218" s="73" t="s">
        <v>722</v>
      </c>
      <c r="V218" s="62">
        <v>107906</v>
      </c>
      <c r="W218" s="62" t="s">
        <v>556</v>
      </c>
      <c r="X218" s="62" t="s">
        <v>402</v>
      </c>
      <c r="Y218" s="93">
        <v>1</v>
      </c>
      <c r="Z218" s="94">
        <v>1</v>
      </c>
      <c r="AA218" s="74">
        <v>35</v>
      </c>
      <c r="AB218" s="75">
        <v>66</v>
      </c>
      <c r="AC218" s="75">
        <v>5584.278158846445</v>
      </c>
      <c r="AD218" s="76">
        <v>6701.1337905692189</v>
      </c>
      <c r="AE218" s="77">
        <v>9.4256081378999994</v>
      </c>
      <c r="AF218" s="75">
        <v>15.008138575</v>
      </c>
      <c r="AG218" s="78">
        <v>1629.5507783010639</v>
      </c>
      <c r="AH218" s="79">
        <v>1955.4609340077911</v>
      </c>
      <c r="AI218" s="74">
        <v>977.73046700389557</v>
      </c>
      <c r="AJ218" s="75">
        <v>0</v>
      </c>
      <c r="AK218" s="75">
        <v>0</v>
      </c>
      <c r="AL218" s="80">
        <v>977.73046700389557</v>
      </c>
      <c r="AM218" s="74">
        <v>0</v>
      </c>
      <c r="AN218" s="74">
        <v>0</v>
      </c>
      <c r="AO218" s="81" t="s">
        <v>403</v>
      </c>
      <c r="AP218" s="82">
        <v>1</v>
      </c>
      <c r="AQ218" s="75">
        <v>0</v>
      </c>
      <c r="AR218" s="75">
        <v>0</v>
      </c>
      <c r="AS218" s="80">
        <v>0</v>
      </c>
      <c r="AT218" s="74">
        <v>33.242835878830164</v>
      </c>
      <c r="AU218" s="75">
        <v>49.049478427815572</v>
      </c>
      <c r="AV218" s="75">
        <v>64.530210822722253</v>
      </c>
      <c r="AW218" s="75">
        <v>30.440008540031396</v>
      </c>
      <c r="AX218" s="80">
        <v>177.26253366939937</v>
      </c>
      <c r="AY218" s="81">
        <v>6.6630514837180604E-2</v>
      </c>
      <c r="AZ218" s="83">
        <v>0</v>
      </c>
      <c r="BA218" s="80">
        <v>0</v>
      </c>
      <c r="BB218" s="84">
        <v>539.08798845049114</v>
      </c>
      <c r="BC218" s="85">
        <v>8.3540404033620259</v>
      </c>
      <c r="BD218" s="86">
        <v>0.33081999998339001</v>
      </c>
      <c r="BE218" s="84">
        <v>569.52799699052252</v>
      </c>
      <c r="BF218" s="87">
        <v>5.9969114614247756</v>
      </c>
      <c r="BG218" s="88">
        <v>0.3494999999842292</v>
      </c>
      <c r="BH218" s="89">
        <v>0</v>
      </c>
      <c r="BI218" s="90">
        <v>0.60000000001427212</v>
      </c>
      <c r="BJ218" s="90">
        <v>0.10878000000356518</v>
      </c>
      <c r="BK218" s="91">
        <v>0.70878000001783725</v>
      </c>
      <c r="BL218" s="92">
        <v>474.55777762776893</v>
      </c>
      <c r="BM218" s="95">
        <v>0</v>
      </c>
      <c r="BN218" t="s">
        <v>402</v>
      </c>
      <c r="BO218">
        <v>0.85994999999999999</v>
      </c>
    </row>
    <row r="219" spans="1:67">
      <c r="A219" s="61" t="str">
        <f t="shared" si="3"/>
        <v>UK</v>
      </c>
      <c r="B219" s="62" t="s">
        <v>64</v>
      </c>
      <c r="C219" s="62" t="s">
        <v>176</v>
      </c>
      <c r="D219" s="63" t="s">
        <v>97</v>
      </c>
      <c r="E219" s="64">
        <v>43831</v>
      </c>
      <c r="F219" s="64">
        <v>43921</v>
      </c>
      <c r="G219" s="65">
        <v>43995</v>
      </c>
      <c r="H219" s="66" t="s">
        <v>132</v>
      </c>
      <c r="I219" s="67">
        <v>3</v>
      </c>
      <c r="J219" s="68">
        <v>2020</v>
      </c>
      <c r="K219" s="69">
        <v>1</v>
      </c>
      <c r="L219" s="70">
        <v>3</v>
      </c>
      <c r="M219" s="71" t="s">
        <v>140</v>
      </c>
      <c r="N219" s="71" t="s">
        <v>18</v>
      </c>
      <c r="O219" s="71" t="s">
        <v>114</v>
      </c>
      <c r="P219" s="71" t="s">
        <v>102</v>
      </c>
      <c r="Q219" s="61" t="s">
        <v>474</v>
      </c>
      <c r="R219" s="63" t="s">
        <v>106</v>
      </c>
      <c r="S219" s="72" t="s">
        <v>696</v>
      </c>
      <c r="T219" s="61" t="s">
        <v>405</v>
      </c>
      <c r="U219" s="73" t="s">
        <v>723</v>
      </c>
      <c r="V219" s="62">
        <v>107918</v>
      </c>
      <c r="W219" s="62" t="s">
        <v>556</v>
      </c>
      <c r="X219" s="62" t="s">
        <v>402</v>
      </c>
      <c r="Y219" s="93">
        <v>1</v>
      </c>
      <c r="Z219" s="94">
        <v>1</v>
      </c>
      <c r="AA219" s="74">
        <v>225</v>
      </c>
      <c r="AB219" s="75">
        <v>488</v>
      </c>
      <c r="AC219" s="75">
        <v>10335.697829176115</v>
      </c>
      <c r="AD219" s="76">
        <v>12402.837395197395</v>
      </c>
      <c r="AE219" s="77">
        <v>132.18815635000001</v>
      </c>
      <c r="AF219" s="75">
        <v>265.52481107</v>
      </c>
      <c r="AG219" s="78">
        <v>7218.2770471539043</v>
      </c>
      <c r="AH219" s="79">
        <v>8661.9324565381703</v>
      </c>
      <c r="AI219" s="74">
        <v>4330.9662282690851</v>
      </c>
      <c r="AJ219" s="75">
        <v>0</v>
      </c>
      <c r="AK219" s="75">
        <v>0</v>
      </c>
      <c r="AL219" s="80">
        <v>4330.9662282690851</v>
      </c>
      <c r="AM219" s="74">
        <v>6</v>
      </c>
      <c r="AN219" s="74">
        <v>3</v>
      </c>
      <c r="AO219" s="81">
        <v>0.5</v>
      </c>
      <c r="AP219" s="82">
        <v>18</v>
      </c>
      <c r="AQ219" s="75">
        <v>1989.4063707192281</v>
      </c>
      <c r="AR219" s="75">
        <v>4648.5493924065358</v>
      </c>
      <c r="AS219" s="80">
        <v>6637.955763125764</v>
      </c>
      <c r="AT219" s="74">
        <v>147.2528517588232</v>
      </c>
      <c r="AU219" s="75">
        <v>217.27013912436769</v>
      </c>
      <c r="AV219" s="75">
        <v>285.84377106808535</v>
      </c>
      <c r="AW219" s="75">
        <v>134.83741524507241</v>
      </c>
      <c r="AX219" s="80">
        <v>785.20417719634861</v>
      </c>
      <c r="AY219" s="81">
        <v>6.7790275144022916E-2</v>
      </c>
      <c r="AZ219" s="83">
        <v>368.77532017365354</v>
      </c>
      <c r="BA219" s="80">
        <v>24.999380420897118</v>
      </c>
      <c r="BB219" s="84">
        <v>-4250.0053503692088</v>
      </c>
      <c r="BC219" s="85">
        <v>-14.86828044035599</v>
      </c>
      <c r="BD219" s="86">
        <v>-0.58878390543972603</v>
      </c>
      <c r="BE219" s="84">
        <v>-4115.1679351241364</v>
      </c>
      <c r="BF219" s="87">
        <v>-9.7821534906026901</v>
      </c>
      <c r="BG219" s="88">
        <v>-0.57010390543913891</v>
      </c>
      <c r="BH219" s="89">
        <v>0.91960390544209503</v>
      </c>
      <c r="BI219" s="90">
        <v>0.599999999996778</v>
      </c>
      <c r="BJ219" s="90">
        <v>0.1087800000009624</v>
      </c>
      <c r="BK219" s="91">
        <v>1.6283839054398355</v>
      </c>
      <c r="BL219" s="92">
        <v>-4535.8491214372934</v>
      </c>
      <c r="BM219" s="95">
        <v>0</v>
      </c>
      <c r="BN219" t="s">
        <v>402</v>
      </c>
      <c r="BO219">
        <v>0.85994999999999999</v>
      </c>
    </row>
    <row r="220" spans="1:67">
      <c r="A220" s="61" t="str">
        <f t="shared" si="3"/>
        <v>UK</v>
      </c>
      <c r="B220" s="62" t="s">
        <v>64</v>
      </c>
      <c r="C220" s="62" t="s">
        <v>176</v>
      </c>
      <c r="D220" s="63" t="s">
        <v>97</v>
      </c>
      <c r="E220" s="64">
        <v>43831</v>
      </c>
      <c r="F220" s="64">
        <v>43921</v>
      </c>
      <c r="G220" s="65">
        <v>43995</v>
      </c>
      <c r="H220" s="66" t="s">
        <v>132</v>
      </c>
      <c r="I220" s="67">
        <v>3</v>
      </c>
      <c r="J220" s="68">
        <v>2020</v>
      </c>
      <c r="K220" s="69">
        <v>1</v>
      </c>
      <c r="L220" s="70">
        <v>3</v>
      </c>
      <c r="M220" s="71" t="s">
        <v>140</v>
      </c>
      <c r="N220" s="71" t="s">
        <v>18</v>
      </c>
      <c r="O220" s="71" t="s">
        <v>114</v>
      </c>
      <c r="P220" s="71" t="s">
        <v>102</v>
      </c>
      <c r="Q220" s="61" t="s">
        <v>474</v>
      </c>
      <c r="R220" s="63" t="s">
        <v>165</v>
      </c>
      <c r="S220" s="72" t="s">
        <v>696</v>
      </c>
      <c r="T220" s="61" t="s">
        <v>405</v>
      </c>
      <c r="U220" s="73" t="s">
        <v>724</v>
      </c>
      <c r="V220" s="62">
        <v>107232</v>
      </c>
      <c r="W220" s="62" t="s">
        <v>556</v>
      </c>
      <c r="X220" s="62" t="s">
        <v>402</v>
      </c>
      <c r="Y220" s="93">
        <v>1</v>
      </c>
      <c r="Z220" s="94">
        <v>1</v>
      </c>
      <c r="AA220" s="74">
        <v>0</v>
      </c>
      <c r="AB220" s="75">
        <v>0</v>
      </c>
      <c r="AC220" s="75">
        <v>0</v>
      </c>
      <c r="AD220" s="76">
        <v>0</v>
      </c>
      <c r="AE220" s="77">
        <v>1.1929485740000001</v>
      </c>
      <c r="AF220" s="75">
        <v>1.5618010330000001</v>
      </c>
      <c r="AG220" s="78">
        <v>96.252449019129017</v>
      </c>
      <c r="AH220" s="79">
        <v>115.50293882202455</v>
      </c>
      <c r="AI220" s="74">
        <v>57.751469411012273</v>
      </c>
      <c r="AJ220" s="75">
        <v>0</v>
      </c>
      <c r="AK220" s="75">
        <v>0</v>
      </c>
      <c r="AL220" s="80">
        <v>57.751469411012273</v>
      </c>
      <c r="AM220" s="74">
        <v>0</v>
      </c>
      <c r="AN220" s="74">
        <v>0</v>
      </c>
      <c r="AO220" s="81" t="s">
        <v>403</v>
      </c>
      <c r="AP220" s="82">
        <v>0</v>
      </c>
      <c r="AQ220" s="75">
        <v>0</v>
      </c>
      <c r="AR220" s="75">
        <v>0</v>
      </c>
      <c r="AS220" s="80">
        <v>0</v>
      </c>
      <c r="AT220" s="74">
        <v>1.9635499599976745</v>
      </c>
      <c r="AU220" s="75">
        <v>2.8971987155067156</v>
      </c>
      <c r="AV220" s="75">
        <v>3.8115969811035524</v>
      </c>
      <c r="AW220" s="75">
        <v>1.7979957476597477</v>
      </c>
      <c r="AX220" s="80">
        <v>10.470341404267691</v>
      </c>
      <c r="AY220" s="81">
        <v>0</v>
      </c>
      <c r="AZ220" s="83" t="s">
        <v>403</v>
      </c>
      <c r="BA220" s="80" t="s">
        <v>403</v>
      </c>
      <c r="BB220" s="84">
        <v>31.842235184952614</v>
      </c>
      <c r="BC220" s="85">
        <v>8.3540404042752421</v>
      </c>
      <c r="BD220" s="86">
        <v>0.33082000000461653</v>
      </c>
      <c r="BE220" s="84">
        <v>33.640230932612354</v>
      </c>
      <c r="BF220" s="87">
        <v>5.9969114620605861</v>
      </c>
      <c r="BG220" s="88">
        <v>0.34950000000443376</v>
      </c>
      <c r="BH220" s="89">
        <v>0</v>
      </c>
      <c r="BI220" s="90">
        <v>0.59999999999516751</v>
      </c>
      <c r="BJ220" s="90">
        <v>0.10877999999965546</v>
      </c>
      <c r="BK220" s="91">
        <v>0.708779999994823</v>
      </c>
      <c r="BL220" s="92">
        <v>28.030638203849051</v>
      </c>
      <c r="BM220" s="95">
        <v>0</v>
      </c>
      <c r="BN220" t="s">
        <v>402</v>
      </c>
      <c r="BO220">
        <v>0.85994999999999999</v>
      </c>
    </row>
    <row r="221" spans="1:67">
      <c r="A221" s="61" t="str">
        <f t="shared" si="3"/>
        <v>UK</v>
      </c>
      <c r="B221" s="62" t="s">
        <v>64</v>
      </c>
      <c r="C221" s="62" t="s">
        <v>176</v>
      </c>
      <c r="D221" s="63" t="s">
        <v>97</v>
      </c>
      <c r="E221" s="64">
        <v>43831</v>
      </c>
      <c r="F221" s="64">
        <v>43921</v>
      </c>
      <c r="G221" s="65">
        <v>43995</v>
      </c>
      <c r="H221" s="66" t="s">
        <v>132</v>
      </c>
      <c r="I221" s="67">
        <v>3</v>
      </c>
      <c r="J221" s="68">
        <v>2020</v>
      </c>
      <c r="K221" s="69">
        <v>1</v>
      </c>
      <c r="L221" s="70">
        <v>3</v>
      </c>
      <c r="M221" s="71" t="s">
        <v>140</v>
      </c>
      <c r="N221" s="71" t="s">
        <v>18</v>
      </c>
      <c r="O221" s="71" t="s">
        <v>114</v>
      </c>
      <c r="P221" s="71" t="s">
        <v>102</v>
      </c>
      <c r="Q221" s="61" t="s">
        <v>474</v>
      </c>
      <c r="R221" s="63" t="s">
        <v>112</v>
      </c>
      <c r="S221" s="72" t="s">
        <v>696</v>
      </c>
      <c r="T221" s="61" t="s">
        <v>405</v>
      </c>
      <c r="U221" s="73" t="s">
        <v>725</v>
      </c>
      <c r="V221" s="62">
        <v>107907</v>
      </c>
      <c r="W221" s="62" t="s">
        <v>556</v>
      </c>
      <c r="X221" s="62" t="s">
        <v>402</v>
      </c>
      <c r="Y221" s="93">
        <v>1</v>
      </c>
      <c r="Z221" s="94">
        <v>1</v>
      </c>
      <c r="AA221" s="74">
        <v>4</v>
      </c>
      <c r="AB221" s="75">
        <v>6</v>
      </c>
      <c r="AC221" s="75">
        <v>423.82308738880164</v>
      </c>
      <c r="AD221" s="76">
        <v>508.58770486656198</v>
      </c>
      <c r="AE221" s="77">
        <v>1.2476166605000001</v>
      </c>
      <c r="AF221" s="75">
        <v>2.7476166604999999</v>
      </c>
      <c r="AG221" s="78">
        <v>143.22993599627887</v>
      </c>
      <c r="AH221" s="79">
        <v>171.87592319320891</v>
      </c>
      <c r="AI221" s="74">
        <v>85.937961595441593</v>
      </c>
      <c r="AJ221" s="75">
        <v>0</v>
      </c>
      <c r="AK221" s="75">
        <v>0</v>
      </c>
      <c r="AL221" s="80">
        <v>85.937961595441593</v>
      </c>
      <c r="AM221" s="74">
        <v>1</v>
      </c>
      <c r="AN221" s="74">
        <v>0</v>
      </c>
      <c r="AO221" s="81">
        <v>0</v>
      </c>
      <c r="AP221" s="82">
        <v>4</v>
      </c>
      <c r="AQ221" s="75">
        <v>837.39751743706029</v>
      </c>
      <c r="AR221" s="75">
        <v>837.39751743706029</v>
      </c>
      <c r="AS221" s="80">
        <v>1674.7950348741206</v>
      </c>
      <c r="AT221" s="74">
        <v>2.9218906942264087</v>
      </c>
      <c r="AU221" s="75">
        <v>4.3112210733182161</v>
      </c>
      <c r="AV221" s="75">
        <v>5.6719054653177512</v>
      </c>
      <c r="AW221" s="75">
        <v>2.675535204372347</v>
      </c>
      <c r="AX221" s="80">
        <v>15.580552437234722</v>
      </c>
      <c r="AY221" s="81">
        <v>1.4558071573463587</v>
      </c>
      <c r="AZ221" s="83">
        <v>418.69875871853014</v>
      </c>
      <c r="BA221" s="80">
        <v>609.54464971447226</v>
      </c>
      <c r="BB221" s="84">
        <v>-1627.4117074452001</v>
      </c>
      <c r="BC221" s="85">
        <v>-286.92504086966994</v>
      </c>
      <c r="BD221" s="86">
        <v>-11.362231618168709</v>
      </c>
      <c r="BE221" s="84">
        <v>-1624.7361722408277</v>
      </c>
      <c r="BF221" s="87">
        <v>-194.63884039814886</v>
      </c>
      <c r="BG221" s="88">
        <v>-11.343551618168974</v>
      </c>
      <c r="BH221" s="89">
        <v>11.693051618187081</v>
      </c>
      <c r="BI221" s="90">
        <v>0.5999999999837623</v>
      </c>
      <c r="BJ221" s="90">
        <v>0.10877999999692457</v>
      </c>
      <c r="BK221" s="91">
        <v>12.401831618167767</v>
      </c>
      <c r="BL221" s="92">
        <v>-1633.0836129105178</v>
      </c>
      <c r="BM221" s="95">
        <v>0</v>
      </c>
      <c r="BN221" t="s">
        <v>402</v>
      </c>
      <c r="BO221">
        <v>0.85994999999999999</v>
      </c>
    </row>
    <row r="222" spans="1:67">
      <c r="A222" s="61" t="str">
        <f t="shared" si="3"/>
        <v>UK</v>
      </c>
      <c r="B222" s="62" t="s">
        <v>64</v>
      </c>
      <c r="C222" s="62" t="s">
        <v>176</v>
      </c>
      <c r="D222" s="63" t="s">
        <v>97</v>
      </c>
      <c r="E222" s="64">
        <v>43831</v>
      </c>
      <c r="F222" s="64">
        <v>43921</v>
      </c>
      <c r="G222" s="65">
        <v>43995</v>
      </c>
      <c r="H222" s="66" t="s">
        <v>132</v>
      </c>
      <c r="I222" s="67">
        <v>3</v>
      </c>
      <c r="J222" s="68">
        <v>2020</v>
      </c>
      <c r="K222" s="69">
        <v>1</v>
      </c>
      <c r="L222" s="70">
        <v>3</v>
      </c>
      <c r="M222" s="71" t="s">
        <v>140</v>
      </c>
      <c r="N222" s="71" t="s">
        <v>18</v>
      </c>
      <c r="O222" s="71" t="s">
        <v>114</v>
      </c>
      <c r="P222" s="71" t="s">
        <v>102</v>
      </c>
      <c r="Q222" s="61" t="s">
        <v>474</v>
      </c>
      <c r="R222" s="63" t="s">
        <v>165</v>
      </c>
      <c r="S222" s="72" t="s">
        <v>696</v>
      </c>
      <c r="T222" s="61" t="s">
        <v>405</v>
      </c>
      <c r="U222" s="73" t="s">
        <v>726</v>
      </c>
      <c r="V222" s="62">
        <v>107244</v>
      </c>
      <c r="W222" s="62" t="s">
        <v>556</v>
      </c>
      <c r="X222" s="62" t="s">
        <v>402</v>
      </c>
      <c r="Y222" s="93">
        <v>1</v>
      </c>
      <c r="Z222" s="94">
        <v>1</v>
      </c>
      <c r="AA222" s="74">
        <v>0</v>
      </c>
      <c r="AB222" s="75">
        <v>0</v>
      </c>
      <c r="AC222" s="75">
        <v>0</v>
      </c>
      <c r="AD222" s="76">
        <v>0</v>
      </c>
      <c r="AE222" s="77">
        <v>1.7749999999999999</v>
      </c>
      <c r="AF222" s="75">
        <v>1.7749999999999999</v>
      </c>
      <c r="AG222" s="78">
        <v>36.860912980987266</v>
      </c>
      <c r="AH222" s="79">
        <v>44.233095577649863</v>
      </c>
      <c r="AI222" s="74">
        <v>22.116547788824931</v>
      </c>
      <c r="AJ222" s="75">
        <v>0</v>
      </c>
      <c r="AK222" s="75">
        <v>0</v>
      </c>
      <c r="AL222" s="80">
        <v>22.116547788824931</v>
      </c>
      <c r="AM222" s="74">
        <v>0</v>
      </c>
      <c r="AN222" s="74">
        <v>0</v>
      </c>
      <c r="AO222" s="81" t="s">
        <v>403</v>
      </c>
      <c r="AP222" s="82">
        <v>0</v>
      </c>
      <c r="AQ222" s="75">
        <v>0</v>
      </c>
      <c r="AR222" s="75">
        <v>0</v>
      </c>
      <c r="AS222" s="80">
        <v>0</v>
      </c>
      <c r="AT222" s="74">
        <v>0.75196262480376763</v>
      </c>
      <c r="AU222" s="75">
        <v>1.1095134807837665</v>
      </c>
      <c r="AV222" s="75">
        <v>1.4596921540787255</v>
      </c>
      <c r="AW222" s="75">
        <v>0.68856185452642604</v>
      </c>
      <c r="AX222" s="80">
        <v>4.0097301141926858</v>
      </c>
      <c r="AY222" s="81">
        <v>0</v>
      </c>
      <c r="AZ222" s="83" t="s">
        <v>403</v>
      </c>
      <c r="BA222" s="80" t="s">
        <v>403</v>
      </c>
      <c r="BB222" s="84">
        <v>12.194327232048373</v>
      </c>
      <c r="BC222" s="85">
        <v>8.3540404036389013</v>
      </c>
      <c r="BD222" s="86">
        <v>0.33081999999126893</v>
      </c>
      <c r="BE222" s="84">
        <v>12.882889086574799</v>
      </c>
      <c r="BF222" s="87">
        <v>5.9969114615731964</v>
      </c>
      <c r="BG222" s="88">
        <v>0.34949999999239711</v>
      </c>
      <c r="BH222" s="89">
        <v>0</v>
      </c>
      <c r="BI222" s="90">
        <v>0.60000000000630949</v>
      </c>
      <c r="BJ222" s="90">
        <v>0.10878000000327966</v>
      </c>
      <c r="BK222" s="91">
        <v>0.70878000000958918</v>
      </c>
      <c r="BL222" s="92">
        <v>10.734635077969649</v>
      </c>
      <c r="BM222" s="95">
        <v>0</v>
      </c>
      <c r="BN222" t="s">
        <v>402</v>
      </c>
      <c r="BO222">
        <v>0.85994999999999999</v>
      </c>
    </row>
    <row r="223" spans="1:67">
      <c r="A223" s="61" t="str">
        <f t="shared" si="3"/>
        <v>UK</v>
      </c>
      <c r="B223" s="62" t="s">
        <v>64</v>
      </c>
      <c r="C223" s="62" t="s">
        <v>176</v>
      </c>
      <c r="D223" s="63" t="s">
        <v>97</v>
      </c>
      <c r="E223" s="64">
        <v>43831</v>
      </c>
      <c r="F223" s="64">
        <v>43921</v>
      </c>
      <c r="G223" s="65">
        <v>43995</v>
      </c>
      <c r="H223" s="66" t="s">
        <v>132</v>
      </c>
      <c r="I223" s="67">
        <v>3</v>
      </c>
      <c r="J223" s="68">
        <v>2020</v>
      </c>
      <c r="K223" s="69">
        <v>1</v>
      </c>
      <c r="L223" s="70">
        <v>3</v>
      </c>
      <c r="M223" s="71" t="s">
        <v>140</v>
      </c>
      <c r="N223" s="71" t="s">
        <v>18</v>
      </c>
      <c r="O223" s="71" t="s">
        <v>114</v>
      </c>
      <c r="P223" s="71" t="s">
        <v>102</v>
      </c>
      <c r="Q223" s="61" t="s">
        <v>474</v>
      </c>
      <c r="R223" s="63" t="s">
        <v>106</v>
      </c>
      <c r="S223" s="72" t="s">
        <v>696</v>
      </c>
      <c r="T223" s="61" t="s">
        <v>405</v>
      </c>
      <c r="U223" s="73" t="s">
        <v>727</v>
      </c>
      <c r="V223" s="62">
        <v>107919</v>
      </c>
      <c r="W223" s="62" t="s">
        <v>556</v>
      </c>
      <c r="X223" s="62" t="s">
        <v>402</v>
      </c>
      <c r="Y223" s="93">
        <v>1</v>
      </c>
      <c r="Z223" s="94">
        <v>1</v>
      </c>
      <c r="AA223" s="74">
        <v>406</v>
      </c>
      <c r="AB223" s="75">
        <v>1089</v>
      </c>
      <c r="AC223" s="75">
        <v>15533.509707541136</v>
      </c>
      <c r="AD223" s="76">
        <v>18640.211648351647</v>
      </c>
      <c r="AE223" s="77">
        <v>131.31871075999999</v>
      </c>
      <c r="AF223" s="75">
        <v>326.29069270999997</v>
      </c>
      <c r="AG223" s="78">
        <v>5608.1853449619157</v>
      </c>
      <c r="AH223" s="79">
        <v>6729.8224139775566</v>
      </c>
      <c r="AI223" s="74">
        <v>3364.9112069306357</v>
      </c>
      <c r="AJ223" s="75">
        <v>0</v>
      </c>
      <c r="AK223" s="75">
        <v>0</v>
      </c>
      <c r="AL223" s="80">
        <v>3364.9112069306357</v>
      </c>
      <c r="AM223" s="74">
        <v>4</v>
      </c>
      <c r="AN223" s="74">
        <v>2</v>
      </c>
      <c r="AO223" s="81">
        <v>0.5</v>
      </c>
      <c r="AP223" s="82">
        <v>25</v>
      </c>
      <c r="AQ223" s="75">
        <v>905.59916770742484</v>
      </c>
      <c r="AR223" s="75">
        <v>1967.439978138264</v>
      </c>
      <c r="AS223" s="80">
        <v>2873.0391458456888</v>
      </c>
      <c r="AT223" s="74">
        <v>114.40698103726962</v>
      </c>
      <c r="AU223" s="75">
        <v>168.80637888249316</v>
      </c>
      <c r="AV223" s="75">
        <v>222.08413965928253</v>
      </c>
      <c r="AW223" s="75">
        <v>104.76090224315367</v>
      </c>
      <c r="AX223" s="80">
        <v>610.0584018221989</v>
      </c>
      <c r="AY223" s="81">
        <v>7.6618795934272801E-2</v>
      </c>
      <c r="AZ223" s="83">
        <v>114.92156583382756</v>
      </c>
      <c r="BA223" s="80">
        <v>8.8051520010691302</v>
      </c>
      <c r="BB223" s="84">
        <v>-1017.7392699773245</v>
      </c>
      <c r="BC223" s="85">
        <v>-4.5826742582280833</v>
      </c>
      <c r="BD223" s="86">
        <v>-0.18147390062484389</v>
      </c>
      <c r="BE223" s="84">
        <v>-912.97836773417112</v>
      </c>
      <c r="BF223" s="87">
        <v>-2.7933064623531805</v>
      </c>
      <c r="BG223" s="88">
        <v>-0.16279390062497498</v>
      </c>
      <c r="BH223" s="89">
        <v>0.51229390063341407</v>
      </c>
      <c r="BI223" s="90">
        <v>0.59999999999170606</v>
      </c>
      <c r="BJ223" s="90">
        <v>0.10877999999950817</v>
      </c>
      <c r="BK223" s="91">
        <v>1.2210739006246283</v>
      </c>
      <c r="BL223" s="92">
        <v>-1239.8234096366077</v>
      </c>
      <c r="BM223" s="95">
        <v>0</v>
      </c>
      <c r="BN223" t="s">
        <v>402</v>
      </c>
      <c r="BO223">
        <v>0.85994999999999999</v>
      </c>
    </row>
    <row r="224" spans="1:67">
      <c r="A224" s="61" t="str">
        <f t="shared" si="3"/>
        <v>UK</v>
      </c>
      <c r="B224" s="62" t="s">
        <v>64</v>
      </c>
      <c r="C224" s="62" t="s">
        <v>176</v>
      </c>
      <c r="D224" s="63" t="s">
        <v>97</v>
      </c>
      <c r="E224" s="64">
        <v>43831</v>
      </c>
      <c r="F224" s="64">
        <v>43921</v>
      </c>
      <c r="G224" s="65">
        <v>43995</v>
      </c>
      <c r="H224" s="66" t="s">
        <v>132</v>
      </c>
      <c r="I224" s="67">
        <v>3</v>
      </c>
      <c r="J224" s="68">
        <v>2020</v>
      </c>
      <c r="K224" s="69">
        <v>1</v>
      </c>
      <c r="L224" s="70">
        <v>3</v>
      </c>
      <c r="M224" s="71" t="s">
        <v>140</v>
      </c>
      <c r="N224" s="71" t="s">
        <v>18</v>
      </c>
      <c r="O224" s="71" t="s">
        <v>114</v>
      </c>
      <c r="P224" s="71" t="s">
        <v>102</v>
      </c>
      <c r="Q224" s="61" t="s">
        <v>474</v>
      </c>
      <c r="R224" s="63" t="s">
        <v>165</v>
      </c>
      <c r="S224" s="72" t="s">
        <v>696</v>
      </c>
      <c r="T224" s="61" t="s">
        <v>405</v>
      </c>
      <c r="U224" s="73" t="s">
        <v>728</v>
      </c>
      <c r="V224" s="62">
        <v>107233</v>
      </c>
      <c r="W224" s="62" t="s">
        <v>556</v>
      </c>
      <c r="X224" s="62" t="s">
        <v>402</v>
      </c>
      <c r="Y224" s="93">
        <v>1</v>
      </c>
      <c r="Z224" s="94">
        <v>1</v>
      </c>
      <c r="AA224" s="74">
        <v>0</v>
      </c>
      <c r="AB224" s="75">
        <v>0</v>
      </c>
      <c r="AC224" s="75">
        <v>0</v>
      </c>
      <c r="AD224" s="76">
        <v>0</v>
      </c>
      <c r="AE224" s="77">
        <v>17.963535819000001</v>
      </c>
      <c r="AF224" s="75">
        <v>30.973832248000001</v>
      </c>
      <c r="AG224" s="78">
        <v>2147.9885271236699</v>
      </c>
      <c r="AH224" s="79">
        <v>2577.5862325716612</v>
      </c>
      <c r="AI224" s="74">
        <v>1288.7931162276877</v>
      </c>
      <c r="AJ224" s="75">
        <v>0</v>
      </c>
      <c r="AK224" s="75">
        <v>0</v>
      </c>
      <c r="AL224" s="80">
        <v>1288.7931162276877</v>
      </c>
      <c r="AM224" s="74">
        <v>0</v>
      </c>
      <c r="AN224" s="74">
        <v>0</v>
      </c>
      <c r="AO224" s="81" t="s">
        <v>403</v>
      </c>
      <c r="AP224" s="82">
        <v>0</v>
      </c>
      <c r="AQ224" s="75">
        <v>0</v>
      </c>
      <c r="AR224" s="75">
        <v>0</v>
      </c>
      <c r="AS224" s="80">
        <v>0</v>
      </c>
      <c r="AT224" s="74">
        <v>43.818965953834528</v>
      </c>
      <c r="AU224" s="75">
        <v>64.654454665968956</v>
      </c>
      <c r="AV224" s="75">
        <v>85.060345674748532</v>
      </c>
      <c r="AW224" s="75">
        <v>40.124425686377116</v>
      </c>
      <c r="AX224" s="80">
        <v>233.65819198092913</v>
      </c>
      <c r="AY224" s="81">
        <v>0</v>
      </c>
      <c r="AZ224" s="83" t="s">
        <v>403</v>
      </c>
      <c r="BA224" s="80" t="s">
        <v>403</v>
      </c>
      <c r="BB224" s="84">
        <v>710.59756458980132</v>
      </c>
      <c r="BC224" s="85">
        <v>8.3540404045260441</v>
      </c>
      <c r="BD224" s="86">
        <v>0.33082000002176404</v>
      </c>
      <c r="BE224" s="84">
        <v>750.72199027617853</v>
      </c>
      <c r="BF224" s="87">
        <v>5.9969114622619708</v>
      </c>
      <c r="BG224" s="88">
        <v>0.34950000002162762</v>
      </c>
      <c r="BH224" s="89">
        <v>0</v>
      </c>
      <c r="BI224" s="90">
        <v>0.59999999997834519</v>
      </c>
      <c r="BJ224" s="90">
        <v>0.10878000000019382</v>
      </c>
      <c r="BK224" s="91">
        <v>0.70877999997853902</v>
      </c>
      <c r="BL224" s="92">
        <v>625.53721891505302</v>
      </c>
      <c r="BM224" s="95">
        <v>0</v>
      </c>
      <c r="BN224" t="s">
        <v>402</v>
      </c>
      <c r="BO224">
        <v>0.85994999999999999</v>
      </c>
    </row>
    <row r="225" spans="1:67">
      <c r="A225" s="61" t="str">
        <f t="shared" si="3"/>
        <v>UK</v>
      </c>
      <c r="B225" s="62" t="s">
        <v>64</v>
      </c>
      <c r="C225" s="62" t="s">
        <v>176</v>
      </c>
      <c r="D225" s="63" t="s">
        <v>97</v>
      </c>
      <c r="E225" s="64">
        <v>43831</v>
      </c>
      <c r="F225" s="64">
        <v>43921</v>
      </c>
      <c r="G225" s="65">
        <v>43995</v>
      </c>
      <c r="H225" s="66" t="s">
        <v>132</v>
      </c>
      <c r="I225" s="67">
        <v>3</v>
      </c>
      <c r="J225" s="68">
        <v>2020</v>
      </c>
      <c r="K225" s="69">
        <v>1</v>
      </c>
      <c r="L225" s="70">
        <v>3</v>
      </c>
      <c r="M225" s="71" t="s">
        <v>140</v>
      </c>
      <c r="N225" s="71" t="s">
        <v>18</v>
      </c>
      <c r="O225" s="71" t="s">
        <v>114</v>
      </c>
      <c r="P225" s="71" t="s">
        <v>102</v>
      </c>
      <c r="Q225" s="61" t="s">
        <v>474</v>
      </c>
      <c r="R225" s="63" t="s">
        <v>112</v>
      </c>
      <c r="S225" s="72" t="s">
        <v>696</v>
      </c>
      <c r="T225" s="61" t="s">
        <v>405</v>
      </c>
      <c r="U225" s="73" t="s">
        <v>729</v>
      </c>
      <c r="V225" s="62">
        <v>107908</v>
      </c>
      <c r="W225" s="62" t="s">
        <v>556</v>
      </c>
      <c r="X225" s="62" t="s">
        <v>402</v>
      </c>
      <c r="Y225" s="93">
        <v>1</v>
      </c>
      <c r="Z225" s="94">
        <v>1</v>
      </c>
      <c r="AA225" s="74">
        <v>88</v>
      </c>
      <c r="AB225" s="75">
        <v>168</v>
      </c>
      <c r="AC225" s="75">
        <v>15546.397991743706</v>
      </c>
      <c r="AD225" s="76">
        <v>18655.677590557592</v>
      </c>
      <c r="AE225" s="77">
        <v>38.765280427</v>
      </c>
      <c r="AF225" s="75">
        <v>66.625947393000004</v>
      </c>
      <c r="AG225" s="78">
        <v>6624.1552484446775</v>
      </c>
      <c r="AH225" s="79">
        <v>7948.9862980405842</v>
      </c>
      <c r="AI225" s="74">
        <v>3974.4931490202921</v>
      </c>
      <c r="AJ225" s="75">
        <v>0</v>
      </c>
      <c r="AK225" s="75">
        <v>0</v>
      </c>
      <c r="AL225" s="80">
        <v>3974.4931490202921</v>
      </c>
      <c r="AM225" s="74">
        <v>0</v>
      </c>
      <c r="AN225" s="74">
        <v>0</v>
      </c>
      <c r="AO225" s="81" t="s">
        <v>403</v>
      </c>
      <c r="AP225" s="82">
        <v>0</v>
      </c>
      <c r="AQ225" s="75">
        <v>0</v>
      </c>
      <c r="AR225" s="75">
        <v>0</v>
      </c>
      <c r="AS225" s="80">
        <v>0</v>
      </c>
      <c r="AT225" s="74">
        <v>135.13276706785277</v>
      </c>
      <c r="AU225" s="75">
        <v>199.38707298098726</v>
      </c>
      <c r="AV225" s="75">
        <v>262.31654783417639</v>
      </c>
      <c r="AW225" s="75">
        <v>123.73922003604861</v>
      </c>
      <c r="AX225" s="80">
        <v>720.57560791906508</v>
      </c>
      <c r="AY225" s="81">
        <v>0</v>
      </c>
      <c r="AZ225" s="83" t="s">
        <v>403</v>
      </c>
      <c r="BA225" s="80" t="s">
        <v>403</v>
      </c>
      <c r="BB225" s="84">
        <v>2191.4030393394978</v>
      </c>
      <c r="BC225" s="85">
        <v>8.3540404043621184</v>
      </c>
      <c r="BD225" s="86">
        <v>0.33082000000740164</v>
      </c>
      <c r="BE225" s="84">
        <v>2315.142259375546</v>
      </c>
      <c r="BF225" s="87">
        <v>5.9969114621641797</v>
      </c>
      <c r="BG225" s="88">
        <v>0.34950000000666215</v>
      </c>
      <c r="BH225" s="89">
        <v>0</v>
      </c>
      <c r="BI225" s="90">
        <v>0.59999999999297804</v>
      </c>
      <c r="BJ225" s="90">
        <v>0.10877999999898147</v>
      </c>
      <c r="BK225" s="91">
        <v>0.70877999999195951</v>
      </c>
      <c r="BL225" s="92">
        <v>1929.0864915053198</v>
      </c>
      <c r="BM225" s="95">
        <v>0</v>
      </c>
      <c r="BN225" t="s">
        <v>402</v>
      </c>
      <c r="BO225">
        <v>0.85994999999999999</v>
      </c>
    </row>
    <row r="226" spans="1:67">
      <c r="A226" s="61" t="str">
        <f t="shared" ref="A226:A289" si="4">B226</f>
        <v>UK</v>
      </c>
      <c r="B226" s="62" t="s">
        <v>64</v>
      </c>
      <c r="C226" s="62" t="s">
        <v>176</v>
      </c>
      <c r="D226" s="63" t="s">
        <v>97</v>
      </c>
      <c r="E226" s="64">
        <v>43831</v>
      </c>
      <c r="F226" s="64">
        <v>43921</v>
      </c>
      <c r="G226" s="65">
        <v>43995</v>
      </c>
      <c r="H226" s="66" t="s">
        <v>132</v>
      </c>
      <c r="I226" s="67">
        <v>3</v>
      </c>
      <c r="J226" s="68">
        <v>2020</v>
      </c>
      <c r="K226" s="69">
        <v>1</v>
      </c>
      <c r="L226" s="70">
        <v>3</v>
      </c>
      <c r="M226" s="71" t="s">
        <v>140</v>
      </c>
      <c r="N226" s="71" t="s">
        <v>18</v>
      </c>
      <c r="O226" s="71" t="s">
        <v>114</v>
      </c>
      <c r="P226" s="71" t="s">
        <v>102</v>
      </c>
      <c r="Q226" s="61" t="s">
        <v>474</v>
      </c>
      <c r="R226" s="63" t="s">
        <v>165</v>
      </c>
      <c r="S226" s="72" t="s">
        <v>696</v>
      </c>
      <c r="T226" s="61" t="s">
        <v>405</v>
      </c>
      <c r="U226" s="73" t="s">
        <v>730</v>
      </c>
      <c r="V226" s="62">
        <v>107245</v>
      </c>
      <c r="W226" s="62" t="s">
        <v>556</v>
      </c>
      <c r="X226" s="62" t="s">
        <v>402</v>
      </c>
      <c r="Y226" s="93">
        <v>1</v>
      </c>
      <c r="Z226" s="94">
        <v>1</v>
      </c>
      <c r="AA226" s="74">
        <v>0</v>
      </c>
      <c r="AB226" s="75">
        <v>0</v>
      </c>
      <c r="AC226" s="75">
        <v>0</v>
      </c>
      <c r="AD226" s="76">
        <v>0</v>
      </c>
      <c r="AE226" s="77">
        <v>0.45</v>
      </c>
      <c r="AF226" s="75">
        <v>0.45</v>
      </c>
      <c r="AG226" s="78">
        <v>17.704517039362756</v>
      </c>
      <c r="AH226" s="79">
        <v>21.24542044653759</v>
      </c>
      <c r="AI226" s="74">
        <v>10.622710223501366</v>
      </c>
      <c r="AJ226" s="75">
        <v>0</v>
      </c>
      <c r="AK226" s="75">
        <v>0</v>
      </c>
      <c r="AL226" s="80">
        <v>10.622710223501366</v>
      </c>
      <c r="AM226" s="74">
        <v>0</v>
      </c>
      <c r="AN226" s="74">
        <v>0</v>
      </c>
      <c r="AO226" s="81" t="s">
        <v>403</v>
      </c>
      <c r="AP226" s="82">
        <v>0</v>
      </c>
      <c r="AQ226" s="75">
        <v>0</v>
      </c>
      <c r="AR226" s="75">
        <v>0</v>
      </c>
      <c r="AS226" s="80">
        <v>0</v>
      </c>
      <c r="AT226" s="74">
        <v>0.361172147566719</v>
      </c>
      <c r="AU226" s="75">
        <v>0.53290596290482006</v>
      </c>
      <c r="AV226" s="75">
        <v>0.70109887470201748</v>
      </c>
      <c r="AW226" s="75">
        <v>0.33072037827780687</v>
      </c>
      <c r="AX226" s="80">
        <v>1.9258973634513632</v>
      </c>
      <c r="AY226" s="81">
        <v>0</v>
      </c>
      <c r="AZ226" s="83" t="s">
        <v>403</v>
      </c>
      <c r="BA226" s="80" t="s">
        <v>403</v>
      </c>
      <c r="BB226" s="84">
        <v>5.8570083271120428</v>
      </c>
      <c r="BC226" s="85">
        <v>8.3540404049306183</v>
      </c>
      <c r="BD226" s="86">
        <v>0.33082000000847556</v>
      </c>
      <c r="BE226" s="84">
        <v>6.1877287053898495</v>
      </c>
      <c r="BF226" s="87">
        <v>5.9969114624679731</v>
      </c>
      <c r="BG226" s="88">
        <v>0.34950000000748771</v>
      </c>
      <c r="BH226" s="89">
        <v>0</v>
      </c>
      <c r="BI226" s="90">
        <v>0.59999999999343179</v>
      </c>
      <c r="BJ226" s="90">
        <v>0.10877999999488733</v>
      </c>
      <c r="BK226" s="91">
        <v>0.70877999998831909</v>
      </c>
      <c r="BL226" s="92">
        <v>5.1559094524100253</v>
      </c>
      <c r="BM226" s="95">
        <v>0</v>
      </c>
      <c r="BN226" t="s">
        <v>402</v>
      </c>
      <c r="BO226">
        <v>0.85994999999999999</v>
      </c>
    </row>
    <row r="227" spans="1:67">
      <c r="A227" s="61" t="str">
        <f t="shared" si="4"/>
        <v>UK</v>
      </c>
      <c r="B227" s="62" t="s">
        <v>64</v>
      </c>
      <c r="C227" s="62" t="s">
        <v>176</v>
      </c>
      <c r="D227" s="63" t="s">
        <v>97</v>
      </c>
      <c r="E227" s="64">
        <v>43831</v>
      </c>
      <c r="F227" s="64">
        <v>43921</v>
      </c>
      <c r="G227" s="65">
        <v>43995</v>
      </c>
      <c r="H227" s="66" t="s">
        <v>132</v>
      </c>
      <c r="I227" s="67">
        <v>3</v>
      </c>
      <c r="J227" s="68">
        <v>2020</v>
      </c>
      <c r="K227" s="69">
        <v>1</v>
      </c>
      <c r="L227" s="70">
        <v>3</v>
      </c>
      <c r="M227" s="71" t="s">
        <v>140</v>
      </c>
      <c r="N227" s="71" t="s">
        <v>18</v>
      </c>
      <c r="O227" s="71" t="s">
        <v>114</v>
      </c>
      <c r="P227" s="71" t="s">
        <v>102</v>
      </c>
      <c r="Q227" s="61" t="s">
        <v>474</v>
      </c>
      <c r="R227" s="63" t="s">
        <v>106</v>
      </c>
      <c r="S227" s="72" t="s">
        <v>696</v>
      </c>
      <c r="T227" s="61" t="s">
        <v>405</v>
      </c>
      <c r="U227" s="73" t="s">
        <v>731</v>
      </c>
      <c r="V227" s="62">
        <v>107920</v>
      </c>
      <c r="W227" s="62" t="s">
        <v>556</v>
      </c>
      <c r="X227" s="62" t="s">
        <v>402</v>
      </c>
      <c r="Y227" s="93">
        <v>1</v>
      </c>
      <c r="Z227" s="94">
        <v>1</v>
      </c>
      <c r="AA227" s="74">
        <v>453</v>
      </c>
      <c r="AB227" s="75">
        <v>990</v>
      </c>
      <c r="AC227" s="75">
        <v>23335.232693761267</v>
      </c>
      <c r="AD227" s="76">
        <v>28002.279232513516</v>
      </c>
      <c r="AE227" s="77">
        <v>226.38446023</v>
      </c>
      <c r="AF227" s="75">
        <v>380.74535293000002</v>
      </c>
      <c r="AG227" s="78">
        <v>10520.723930926217</v>
      </c>
      <c r="AH227" s="79">
        <v>12624.868716785861</v>
      </c>
      <c r="AI227" s="74">
        <v>6312.4343585092156</v>
      </c>
      <c r="AJ227" s="75">
        <v>0</v>
      </c>
      <c r="AK227" s="75">
        <v>0</v>
      </c>
      <c r="AL227" s="80">
        <v>6312.4343585092156</v>
      </c>
      <c r="AM227" s="74">
        <v>3</v>
      </c>
      <c r="AN227" s="74">
        <v>1</v>
      </c>
      <c r="AO227" s="81">
        <v>0.33333333333333331</v>
      </c>
      <c r="AP227" s="82">
        <v>9</v>
      </c>
      <c r="AQ227" s="75">
        <v>833.52521488458638</v>
      </c>
      <c r="AR227" s="75">
        <v>2078.3184714227568</v>
      </c>
      <c r="AS227" s="80">
        <v>2911.843686307343</v>
      </c>
      <c r="AT227" s="74">
        <v>214.62276819582533</v>
      </c>
      <c r="AU227" s="75">
        <v>316.6737903250189</v>
      </c>
      <c r="AV227" s="75">
        <v>416.62066766672484</v>
      </c>
      <c r="AW227" s="75">
        <v>196.52712303040875</v>
      </c>
      <c r="AX227" s="80">
        <v>1144.4443492179778</v>
      </c>
      <c r="AY227" s="81">
        <v>2.3637845953315282E-2</v>
      </c>
      <c r="AZ227" s="83">
        <v>323.53818736748258</v>
      </c>
      <c r="BA227" s="80">
        <v>7.6477458330074093</v>
      </c>
      <c r="BB227" s="84">
        <v>568.62220455840543</v>
      </c>
      <c r="BC227" s="85">
        <v>1.3648439664382517</v>
      </c>
      <c r="BD227" s="86">
        <v>5.4047821071220283E-2</v>
      </c>
      <c r="BE227" s="84">
        <v>765.14932758881332</v>
      </c>
      <c r="BF227" s="87">
        <v>1.2479035873534794</v>
      </c>
      <c r="BG227" s="88">
        <v>7.2727821071287405E-2</v>
      </c>
      <c r="BH227" s="89">
        <v>0.27677217893227163</v>
      </c>
      <c r="BI227" s="90">
        <v>0.59999999999557874</v>
      </c>
      <c r="BJ227" s="90">
        <v>0.10878000000112387</v>
      </c>
      <c r="BK227" s="91">
        <v>0.98555217892897429</v>
      </c>
      <c r="BL227" s="92">
        <v>152.0015368916811</v>
      </c>
      <c r="BM227" s="95">
        <v>0</v>
      </c>
      <c r="BN227" t="s">
        <v>402</v>
      </c>
      <c r="BO227">
        <v>0.85994999999999999</v>
      </c>
    </row>
    <row r="228" spans="1:67">
      <c r="A228" s="61" t="str">
        <f t="shared" si="4"/>
        <v>UK</v>
      </c>
      <c r="B228" s="62" t="s">
        <v>64</v>
      </c>
      <c r="C228" s="62" t="s">
        <v>176</v>
      </c>
      <c r="D228" s="63" t="s">
        <v>97</v>
      </c>
      <c r="E228" s="64">
        <v>43831</v>
      </c>
      <c r="F228" s="64">
        <v>43921</v>
      </c>
      <c r="G228" s="65">
        <v>43995</v>
      </c>
      <c r="H228" s="66" t="s">
        <v>132</v>
      </c>
      <c r="I228" s="67">
        <v>3</v>
      </c>
      <c r="J228" s="68">
        <v>2020</v>
      </c>
      <c r="K228" s="69">
        <v>1</v>
      </c>
      <c r="L228" s="70">
        <v>3</v>
      </c>
      <c r="M228" s="71" t="s">
        <v>140</v>
      </c>
      <c r="N228" s="71" t="s">
        <v>18</v>
      </c>
      <c r="O228" s="71" t="s">
        <v>114</v>
      </c>
      <c r="P228" s="71" t="s">
        <v>102</v>
      </c>
      <c r="Q228" s="61" t="s">
        <v>474</v>
      </c>
      <c r="R228" s="63" t="s">
        <v>165</v>
      </c>
      <c r="S228" s="72" t="s">
        <v>696</v>
      </c>
      <c r="T228" s="61" t="s">
        <v>405</v>
      </c>
      <c r="U228" s="73" t="s">
        <v>732</v>
      </c>
      <c r="V228" s="62">
        <v>107234</v>
      </c>
      <c r="W228" s="62" t="s">
        <v>556</v>
      </c>
      <c r="X228" s="62" t="s">
        <v>402</v>
      </c>
      <c r="Y228" s="93">
        <v>1</v>
      </c>
      <c r="Z228" s="94">
        <v>1</v>
      </c>
      <c r="AA228" s="74">
        <v>0</v>
      </c>
      <c r="AB228" s="75">
        <v>0</v>
      </c>
      <c r="AC228" s="75">
        <v>0</v>
      </c>
      <c r="AD228" s="76">
        <v>0</v>
      </c>
      <c r="AE228" s="77">
        <v>36.865427801000003</v>
      </c>
      <c r="AF228" s="75">
        <v>53.152363575000003</v>
      </c>
      <c r="AG228" s="78">
        <v>1981.893698121984</v>
      </c>
      <c r="AH228" s="79">
        <v>2378.2724376998663</v>
      </c>
      <c r="AI228" s="74">
        <v>1189.1362188499331</v>
      </c>
      <c r="AJ228" s="75">
        <v>0</v>
      </c>
      <c r="AK228" s="75">
        <v>0</v>
      </c>
      <c r="AL228" s="80">
        <v>1189.1362188499331</v>
      </c>
      <c r="AM228" s="74">
        <v>0</v>
      </c>
      <c r="AN228" s="74">
        <v>0</v>
      </c>
      <c r="AO228" s="81" t="s">
        <v>403</v>
      </c>
      <c r="AP228" s="82">
        <v>0</v>
      </c>
      <c r="AQ228" s="75">
        <v>0</v>
      </c>
      <c r="AR228" s="75">
        <v>0</v>
      </c>
      <c r="AS228" s="80">
        <v>0</v>
      </c>
      <c r="AT228" s="74">
        <v>40.43063144136287</v>
      </c>
      <c r="AU228" s="75">
        <v>59.65500031280888</v>
      </c>
      <c r="AV228" s="75">
        <v>78.482990443630442</v>
      </c>
      <c r="AW228" s="75">
        <v>37.021774279899994</v>
      </c>
      <c r="AX228" s="80">
        <v>215.5903964777022</v>
      </c>
      <c r="AY228" s="81">
        <v>0</v>
      </c>
      <c r="AZ228" s="83" t="s">
        <v>403</v>
      </c>
      <c r="BA228" s="80" t="s">
        <v>403</v>
      </c>
      <c r="BB228" s="84">
        <v>655.65007323797909</v>
      </c>
      <c r="BC228" s="85">
        <v>8.3540404045752137</v>
      </c>
      <c r="BD228" s="86">
        <v>0.33082000001274758</v>
      </c>
      <c r="BE228" s="84">
        <v>692.67184751787909</v>
      </c>
      <c r="BF228" s="87">
        <v>5.9969114622746744</v>
      </c>
      <c r="BG228" s="88">
        <v>0.34950000001223358</v>
      </c>
      <c r="BH228" s="89">
        <v>0</v>
      </c>
      <c r="BI228" s="90">
        <v>0.59999999998826514</v>
      </c>
      <c r="BJ228" s="90">
        <v>0.10877999999797809</v>
      </c>
      <c r="BK228" s="91">
        <v>0.70877999998624319</v>
      </c>
      <c r="BL228" s="92">
        <v>577.16708279434874</v>
      </c>
      <c r="BM228" s="95">
        <v>0</v>
      </c>
      <c r="BN228" t="s">
        <v>402</v>
      </c>
      <c r="BO228">
        <v>0.85994999999999999</v>
      </c>
    </row>
    <row r="229" spans="1:67">
      <c r="A229" s="61" t="str">
        <f t="shared" si="4"/>
        <v>UK</v>
      </c>
      <c r="B229" s="62" t="s">
        <v>64</v>
      </c>
      <c r="C229" s="62" t="s">
        <v>176</v>
      </c>
      <c r="D229" s="63" t="s">
        <v>97</v>
      </c>
      <c r="E229" s="64">
        <v>43831</v>
      </c>
      <c r="F229" s="64">
        <v>43921</v>
      </c>
      <c r="G229" s="65">
        <v>43995</v>
      </c>
      <c r="H229" s="66" t="s">
        <v>132</v>
      </c>
      <c r="I229" s="67">
        <v>3</v>
      </c>
      <c r="J229" s="68">
        <v>2020</v>
      </c>
      <c r="K229" s="69">
        <v>1</v>
      </c>
      <c r="L229" s="70">
        <v>3</v>
      </c>
      <c r="M229" s="71" t="s">
        <v>140</v>
      </c>
      <c r="N229" s="71" t="s">
        <v>18</v>
      </c>
      <c r="O229" s="71" t="s">
        <v>114</v>
      </c>
      <c r="P229" s="71" t="s">
        <v>102</v>
      </c>
      <c r="Q229" s="61" t="s">
        <v>474</v>
      </c>
      <c r="R229" s="63" t="s">
        <v>112</v>
      </c>
      <c r="S229" s="72" t="s">
        <v>696</v>
      </c>
      <c r="T229" s="61" t="s">
        <v>405</v>
      </c>
      <c r="U229" s="73" t="s">
        <v>733</v>
      </c>
      <c r="V229" s="62">
        <v>107909</v>
      </c>
      <c r="W229" s="62" t="s">
        <v>556</v>
      </c>
      <c r="X229" s="62" t="s">
        <v>402</v>
      </c>
      <c r="Y229" s="93">
        <v>1</v>
      </c>
      <c r="Z229" s="94">
        <v>1</v>
      </c>
      <c r="AA229" s="74">
        <v>22</v>
      </c>
      <c r="AB229" s="75">
        <v>38</v>
      </c>
      <c r="AC229" s="75">
        <v>3485.16389150532</v>
      </c>
      <c r="AD229" s="76">
        <v>4182.1966698063843</v>
      </c>
      <c r="AE229" s="77">
        <v>9.9445419491999996</v>
      </c>
      <c r="AF229" s="75">
        <v>14.558246194000001</v>
      </c>
      <c r="AG229" s="78">
        <v>1506.0908265596838</v>
      </c>
      <c r="AH229" s="79">
        <v>1807.3089919181348</v>
      </c>
      <c r="AI229" s="74">
        <v>903.65449595906739</v>
      </c>
      <c r="AJ229" s="75">
        <v>0</v>
      </c>
      <c r="AK229" s="75">
        <v>0</v>
      </c>
      <c r="AL229" s="80">
        <v>903.65449595906739</v>
      </c>
      <c r="AM229" s="74">
        <v>0</v>
      </c>
      <c r="AN229" s="74">
        <v>0</v>
      </c>
      <c r="AO229" s="81" t="s">
        <v>403</v>
      </c>
      <c r="AP229" s="82">
        <v>0</v>
      </c>
      <c r="AQ229" s="75">
        <v>0</v>
      </c>
      <c r="AR229" s="75">
        <v>0</v>
      </c>
      <c r="AS229" s="80">
        <v>0</v>
      </c>
      <c r="AT229" s="74">
        <v>30.724252862375717</v>
      </c>
      <c r="AU229" s="75">
        <v>45.3333338810396</v>
      </c>
      <c r="AV229" s="75">
        <v>59.641196733531018</v>
      </c>
      <c r="AW229" s="75">
        <v>28.133776640502354</v>
      </c>
      <c r="AX229" s="80">
        <v>163.83256011744871</v>
      </c>
      <c r="AY229" s="81">
        <v>0</v>
      </c>
      <c r="AZ229" s="83" t="s">
        <v>403</v>
      </c>
      <c r="BA229" s="80" t="s">
        <v>403</v>
      </c>
      <c r="BB229" s="84">
        <v>498.2449672166988</v>
      </c>
      <c r="BC229" s="85">
        <v>8.3540404033606404</v>
      </c>
      <c r="BD229" s="86">
        <v>0.33081999998288564</v>
      </c>
      <c r="BE229" s="84">
        <v>526.37874385720113</v>
      </c>
      <c r="BF229" s="87">
        <v>5.9969114614726919</v>
      </c>
      <c r="BG229" s="88">
        <v>0.34949999998312958</v>
      </c>
      <c r="BH229" s="89">
        <v>0</v>
      </c>
      <c r="BI229" s="90">
        <v>0.60000000001544207</v>
      </c>
      <c r="BJ229" s="90">
        <v>0.10878000000284598</v>
      </c>
      <c r="BK229" s="91">
        <v>0.708780000018288</v>
      </c>
      <c r="BL229" s="92">
        <v>438.60377048316764</v>
      </c>
      <c r="BM229" s="95">
        <v>0</v>
      </c>
      <c r="BN229" t="s">
        <v>402</v>
      </c>
      <c r="BO229">
        <v>0.85994999999999999</v>
      </c>
    </row>
    <row r="230" spans="1:67">
      <c r="A230" s="61" t="str">
        <f t="shared" si="4"/>
        <v>UK</v>
      </c>
      <c r="B230" s="62" t="s">
        <v>64</v>
      </c>
      <c r="C230" s="62" t="s">
        <v>176</v>
      </c>
      <c r="D230" s="63" t="s">
        <v>97</v>
      </c>
      <c r="E230" s="64">
        <v>43831</v>
      </c>
      <c r="F230" s="64">
        <v>43921</v>
      </c>
      <c r="G230" s="65">
        <v>43995</v>
      </c>
      <c r="H230" s="66" t="s">
        <v>132</v>
      </c>
      <c r="I230" s="67">
        <v>3</v>
      </c>
      <c r="J230" s="68">
        <v>2020</v>
      </c>
      <c r="K230" s="69">
        <v>1</v>
      </c>
      <c r="L230" s="70">
        <v>3</v>
      </c>
      <c r="M230" s="71" t="s">
        <v>140</v>
      </c>
      <c r="N230" s="71" t="s">
        <v>18</v>
      </c>
      <c r="O230" s="71" t="s">
        <v>114</v>
      </c>
      <c r="P230" s="71" t="s">
        <v>102</v>
      </c>
      <c r="Q230" s="61" t="s">
        <v>474</v>
      </c>
      <c r="R230" s="63" t="s">
        <v>106</v>
      </c>
      <c r="S230" s="72" t="s">
        <v>696</v>
      </c>
      <c r="T230" s="61" t="s">
        <v>405</v>
      </c>
      <c r="U230" s="73" t="s">
        <v>734</v>
      </c>
      <c r="V230" s="62">
        <v>107921</v>
      </c>
      <c r="W230" s="62" t="s">
        <v>556</v>
      </c>
      <c r="X230" s="62" t="s">
        <v>402</v>
      </c>
      <c r="Y230" s="93">
        <v>1</v>
      </c>
      <c r="Z230" s="94">
        <v>1</v>
      </c>
      <c r="AA230" s="74">
        <v>263</v>
      </c>
      <c r="AB230" s="75">
        <v>635</v>
      </c>
      <c r="AC230" s="75">
        <v>11887.386877144019</v>
      </c>
      <c r="AD230" s="76">
        <v>14264.864252572825</v>
      </c>
      <c r="AE230" s="77">
        <v>74.925560223999994</v>
      </c>
      <c r="AF230" s="75">
        <v>127.21325280000001</v>
      </c>
      <c r="AG230" s="78">
        <v>3249.0374425257282</v>
      </c>
      <c r="AH230" s="79">
        <v>3898.8449311006457</v>
      </c>
      <c r="AI230" s="74">
        <v>1949.4224654921798</v>
      </c>
      <c r="AJ230" s="75">
        <v>0</v>
      </c>
      <c r="AK230" s="75">
        <v>0</v>
      </c>
      <c r="AL230" s="80">
        <v>1949.4224654921798</v>
      </c>
      <c r="AM230" s="74">
        <v>2</v>
      </c>
      <c r="AN230" s="74">
        <v>1</v>
      </c>
      <c r="AO230" s="81">
        <v>0.5</v>
      </c>
      <c r="AP230" s="82">
        <v>7</v>
      </c>
      <c r="AQ230" s="75">
        <v>0</v>
      </c>
      <c r="AR230" s="75">
        <v>1296.9474231059946</v>
      </c>
      <c r="AS230" s="80">
        <v>1296.9474231059946</v>
      </c>
      <c r="AT230" s="74">
        <v>66.280363828129538</v>
      </c>
      <c r="AU230" s="75">
        <v>97.796027021338446</v>
      </c>
      <c r="AV230" s="75">
        <v>128.66188272573987</v>
      </c>
      <c r="AW230" s="75">
        <v>60.692019426710857</v>
      </c>
      <c r="AX230" s="80">
        <v>353.4302930019187</v>
      </c>
      <c r="AY230" s="81">
        <v>5.5025713484468025E-2</v>
      </c>
      <c r="AZ230" s="83">
        <v>185.27820330085638</v>
      </c>
      <c r="BA230" s="80">
        <v>10.195065329749941</v>
      </c>
      <c r="BB230" s="84">
        <v>-222.1008563486248</v>
      </c>
      <c r="BC230" s="85">
        <v>-1.7262366416793595</v>
      </c>
      <c r="BD230" s="86">
        <v>-6.8358971011417038E-2</v>
      </c>
      <c r="BE230" s="84">
        <v>-161.40883692191392</v>
      </c>
      <c r="BF230" s="87">
        <v>-0.85241885742582713</v>
      </c>
      <c r="BG230" s="88">
        <v>-4.9678971011315382E-2</v>
      </c>
      <c r="BH230" s="89">
        <v>0.39917897101788308</v>
      </c>
      <c r="BI230" s="90">
        <v>0.59999999999284181</v>
      </c>
      <c r="BJ230" s="90">
        <v>0.1087800000012219</v>
      </c>
      <c r="BK230" s="91">
        <v>1.1079589710119468</v>
      </c>
      <c r="BL230" s="92">
        <v>-350.76273907436507</v>
      </c>
      <c r="BM230" s="95">
        <v>0</v>
      </c>
      <c r="BN230" t="s">
        <v>402</v>
      </c>
      <c r="BO230">
        <v>0.85994999999999999</v>
      </c>
    </row>
    <row r="231" spans="1:67">
      <c r="A231" s="61" t="str">
        <f t="shared" si="4"/>
        <v>UK</v>
      </c>
      <c r="B231" s="62" t="s">
        <v>64</v>
      </c>
      <c r="C231" s="62" t="s">
        <v>176</v>
      </c>
      <c r="D231" s="63" t="s">
        <v>97</v>
      </c>
      <c r="E231" s="64">
        <v>43831</v>
      </c>
      <c r="F231" s="64">
        <v>43921</v>
      </c>
      <c r="G231" s="65">
        <v>43995</v>
      </c>
      <c r="H231" s="66" t="s">
        <v>132</v>
      </c>
      <c r="I231" s="67">
        <v>3</v>
      </c>
      <c r="J231" s="68">
        <v>2020</v>
      </c>
      <c r="K231" s="69">
        <v>1</v>
      </c>
      <c r="L231" s="70">
        <v>3</v>
      </c>
      <c r="M231" s="71" t="s">
        <v>140</v>
      </c>
      <c r="N231" s="71" t="s">
        <v>18</v>
      </c>
      <c r="O231" s="71" t="s">
        <v>114</v>
      </c>
      <c r="P231" s="71" t="s">
        <v>102</v>
      </c>
      <c r="Q231" s="61" t="s">
        <v>474</v>
      </c>
      <c r="R231" s="63" t="s">
        <v>165</v>
      </c>
      <c r="S231" s="72" t="s">
        <v>696</v>
      </c>
      <c r="T231" s="61" t="s">
        <v>405</v>
      </c>
      <c r="U231" s="73" t="s">
        <v>735</v>
      </c>
      <c r="V231" s="62">
        <v>107235</v>
      </c>
      <c r="W231" s="62" t="s">
        <v>556</v>
      </c>
      <c r="X231" s="62" t="s">
        <v>402</v>
      </c>
      <c r="Y231" s="93">
        <v>1</v>
      </c>
      <c r="Z231" s="94">
        <v>1</v>
      </c>
      <c r="AA231" s="74">
        <v>0</v>
      </c>
      <c r="AB231" s="75">
        <v>0</v>
      </c>
      <c r="AC231" s="75">
        <v>0</v>
      </c>
      <c r="AD231" s="76">
        <v>0</v>
      </c>
      <c r="AE231" s="77">
        <v>10.842078374</v>
      </c>
      <c r="AF231" s="75">
        <v>20.405339096999999</v>
      </c>
      <c r="AG231" s="78">
        <v>1949.4200170940171</v>
      </c>
      <c r="AH231" s="79">
        <v>2339.3040205825919</v>
      </c>
      <c r="AI231" s="74">
        <v>1169.6520102331531</v>
      </c>
      <c r="AJ231" s="75">
        <v>0</v>
      </c>
      <c r="AK231" s="75">
        <v>0</v>
      </c>
      <c r="AL231" s="80">
        <v>1169.6520102331531</v>
      </c>
      <c r="AM231" s="74">
        <v>0</v>
      </c>
      <c r="AN231" s="74">
        <v>0</v>
      </c>
      <c r="AO231" s="81" t="s">
        <v>403</v>
      </c>
      <c r="AP231" s="82">
        <v>0</v>
      </c>
      <c r="AQ231" s="75">
        <v>0</v>
      </c>
      <c r="AR231" s="75">
        <v>0</v>
      </c>
      <c r="AS231" s="80">
        <v>0</v>
      </c>
      <c r="AT231" s="74">
        <v>39.768168349322636</v>
      </c>
      <c r="AU231" s="75">
        <v>58.677542516425369</v>
      </c>
      <c r="AV231" s="75">
        <v>77.197032678644121</v>
      </c>
      <c r="AW231" s="75">
        <v>36.415165920111633</v>
      </c>
      <c r="AX231" s="80">
        <v>212.05790946450375</v>
      </c>
      <c r="AY231" s="81">
        <v>0</v>
      </c>
      <c r="AZ231" s="83" t="s">
        <v>403</v>
      </c>
      <c r="BA231" s="80" t="s">
        <v>403</v>
      </c>
      <c r="BB231" s="84">
        <v>644.90713007500449</v>
      </c>
      <c r="BC231" s="85">
        <v>8.3540404041127392</v>
      </c>
      <c r="BD231" s="86">
        <v>0.33082000001023981</v>
      </c>
      <c r="BE231" s="84">
        <v>681.32229599511606</v>
      </c>
      <c r="BF231" s="87">
        <v>5.9969114619579038</v>
      </c>
      <c r="BG231" s="88">
        <v>0.34950000001064785</v>
      </c>
      <c r="BH231" s="89">
        <v>0</v>
      </c>
      <c r="BI231" s="90">
        <v>0.59999999998806974</v>
      </c>
      <c r="BJ231" s="90">
        <v>0.10878000000257336</v>
      </c>
      <c r="BK231" s="91">
        <v>0.70877999999064312</v>
      </c>
      <c r="BL231" s="92">
        <v>567.7100973963602</v>
      </c>
      <c r="BM231" s="95">
        <v>0</v>
      </c>
      <c r="BN231" t="s">
        <v>402</v>
      </c>
      <c r="BO231">
        <v>0.85994999999999999</v>
      </c>
    </row>
    <row r="232" spans="1:67">
      <c r="A232" s="61" t="str">
        <f t="shared" si="4"/>
        <v>UK</v>
      </c>
      <c r="B232" s="62" t="s">
        <v>64</v>
      </c>
      <c r="C232" s="62" t="s">
        <v>176</v>
      </c>
      <c r="D232" s="63" t="s">
        <v>97</v>
      </c>
      <c r="E232" s="64">
        <v>43831</v>
      </c>
      <c r="F232" s="64">
        <v>43921</v>
      </c>
      <c r="G232" s="65">
        <v>43995</v>
      </c>
      <c r="H232" s="66" t="s">
        <v>132</v>
      </c>
      <c r="I232" s="67">
        <v>3</v>
      </c>
      <c r="J232" s="68">
        <v>2020</v>
      </c>
      <c r="K232" s="69">
        <v>1</v>
      </c>
      <c r="L232" s="70">
        <v>3</v>
      </c>
      <c r="M232" s="71" t="s">
        <v>140</v>
      </c>
      <c r="N232" s="71" t="s">
        <v>18</v>
      </c>
      <c r="O232" s="71" t="s">
        <v>114</v>
      </c>
      <c r="P232" s="71" t="s">
        <v>102</v>
      </c>
      <c r="Q232" s="61" t="s">
        <v>474</v>
      </c>
      <c r="R232" s="63" t="s">
        <v>112</v>
      </c>
      <c r="S232" s="72" t="s">
        <v>696</v>
      </c>
      <c r="T232" s="61" t="s">
        <v>405</v>
      </c>
      <c r="U232" s="73" t="s">
        <v>736</v>
      </c>
      <c r="V232" s="62">
        <v>107910</v>
      </c>
      <c r="W232" s="62" t="s">
        <v>556</v>
      </c>
      <c r="X232" s="62" t="s">
        <v>402</v>
      </c>
      <c r="Y232" s="93">
        <v>1</v>
      </c>
      <c r="Z232" s="94">
        <v>1</v>
      </c>
      <c r="AA232" s="74">
        <v>51</v>
      </c>
      <c r="AB232" s="75">
        <v>88</v>
      </c>
      <c r="AC232" s="75">
        <v>11644.252651898367</v>
      </c>
      <c r="AD232" s="76">
        <v>13973.103182743183</v>
      </c>
      <c r="AE232" s="77">
        <v>21.859681469000002</v>
      </c>
      <c r="AF232" s="75">
        <v>33.745864941000001</v>
      </c>
      <c r="AG232" s="78">
        <v>5123.1567605093323</v>
      </c>
      <c r="AH232" s="79">
        <v>6147.7881125646845</v>
      </c>
      <c r="AI232" s="74">
        <v>3073.8940562823423</v>
      </c>
      <c r="AJ232" s="75">
        <v>0</v>
      </c>
      <c r="AK232" s="75">
        <v>0</v>
      </c>
      <c r="AL232" s="80">
        <v>3073.8940562823423</v>
      </c>
      <c r="AM232" s="74">
        <v>2</v>
      </c>
      <c r="AN232" s="74">
        <v>1</v>
      </c>
      <c r="AO232" s="81">
        <v>0.5</v>
      </c>
      <c r="AP232" s="82">
        <v>5</v>
      </c>
      <c r="AQ232" s="75">
        <v>1093.6101078085935</v>
      </c>
      <c r="AR232" s="75">
        <v>1409.163320658178</v>
      </c>
      <c r="AS232" s="80">
        <v>2502.7734284667713</v>
      </c>
      <c r="AT232" s="74">
        <v>104.5123979138322</v>
      </c>
      <c r="AU232" s="75">
        <v>154.20701848944705</v>
      </c>
      <c r="AV232" s="75">
        <v>202.87700772137913</v>
      </c>
      <c r="AW232" s="75">
        <v>95.700568286528295</v>
      </c>
      <c r="AX232" s="80">
        <v>557.29699241118669</v>
      </c>
      <c r="AY232" s="81">
        <v>0.14816630152292173</v>
      </c>
      <c r="AZ232" s="83">
        <v>500.55468569335426</v>
      </c>
      <c r="BA232" s="80">
        <v>74.16533648915285</v>
      </c>
      <c r="BB232" s="84">
        <v>-807.93070892958985</v>
      </c>
      <c r="BC232" s="85">
        <v>-3.9823670410161038</v>
      </c>
      <c r="BD232" s="86">
        <v>-0.15770173482828725</v>
      </c>
      <c r="BE232" s="84">
        <v>-712.23014064306153</v>
      </c>
      <c r="BF232" s="87">
        <v>-2.38541068678312</v>
      </c>
      <c r="BG232" s="88">
        <v>-0.13902173482824548</v>
      </c>
      <c r="BH232" s="89">
        <v>0.48852173483326156</v>
      </c>
      <c r="BI232" s="90">
        <v>0.59999999999546039</v>
      </c>
      <c r="BJ232" s="90">
        <v>0.10878000000058197</v>
      </c>
      <c r="BK232" s="91">
        <v>1.197301734829304</v>
      </c>
      <c r="BL232" s="92">
        <v>-1010.8077166509684</v>
      </c>
      <c r="BM232" s="95">
        <v>0</v>
      </c>
      <c r="BN232" t="s">
        <v>402</v>
      </c>
      <c r="BO232">
        <v>0.85994999999999999</v>
      </c>
    </row>
    <row r="233" spans="1:67">
      <c r="A233" s="61" t="str">
        <f t="shared" si="4"/>
        <v>UK</v>
      </c>
      <c r="B233" s="62" t="s">
        <v>64</v>
      </c>
      <c r="C233" s="62" t="s">
        <v>176</v>
      </c>
      <c r="D233" s="63" t="s">
        <v>97</v>
      </c>
      <c r="E233" s="64">
        <v>43831</v>
      </c>
      <c r="F233" s="64">
        <v>43921</v>
      </c>
      <c r="G233" s="65">
        <v>43995</v>
      </c>
      <c r="H233" s="66" t="s">
        <v>132</v>
      </c>
      <c r="I233" s="67">
        <v>3</v>
      </c>
      <c r="J233" s="68">
        <v>2020</v>
      </c>
      <c r="K233" s="69">
        <v>1</v>
      </c>
      <c r="L233" s="70">
        <v>3</v>
      </c>
      <c r="M233" s="71" t="s">
        <v>140</v>
      </c>
      <c r="N233" s="71" t="s">
        <v>18</v>
      </c>
      <c r="O233" s="71" t="s">
        <v>114</v>
      </c>
      <c r="P233" s="71" t="s">
        <v>102</v>
      </c>
      <c r="Q233" s="61" t="s">
        <v>474</v>
      </c>
      <c r="R233" s="63" t="s">
        <v>106</v>
      </c>
      <c r="S233" s="72" t="s">
        <v>696</v>
      </c>
      <c r="T233" s="61" t="s">
        <v>405</v>
      </c>
      <c r="U233" s="73" t="s">
        <v>737</v>
      </c>
      <c r="V233" s="62">
        <v>107922</v>
      </c>
      <c r="W233" s="62" t="s">
        <v>556</v>
      </c>
      <c r="X233" s="62" t="s">
        <v>402</v>
      </c>
      <c r="Y233" s="93">
        <v>1</v>
      </c>
      <c r="Z233" s="94">
        <v>1</v>
      </c>
      <c r="AA233" s="74">
        <v>197</v>
      </c>
      <c r="AB233" s="75">
        <v>455</v>
      </c>
      <c r="AC233" s="75">
        <v>13835.261697773127</v>
      </c>
      <c r="AD233" s="76">
        <v>16602.314036862608</v>
      </c>
      <c r="AE233" s="77">
        <v>87.124337397999994</v>
      </c>
      <c r="AF233" s="75">
        <v>148.8745825</v>
      </c>
      <c r="AG233" s="78">
        <v>5599.1421089598234</v>
      </c>
      <c r="AH233" s="79">
        <v>6718.9705308448165</v>
      </c>
      <c r="AI233" s="74">
        <v>3359.4852654224082</v>
      </c>
      <c r="AJ233" s="75">
        <v>0</v>
      </c>
      <c r="AK233" s="75">
        <v>0</v>
      </c>
      <c r="AL233" s="80">
        <v>3359.4852654224082</v>
      </c>
      <c r="AM233" s="74">
        <v>6</v>
      </c>
      <c r="AN233" s="74">
        <v>2</v>
      </c>
      <c r="AO233" s="81">
        <v>0.33333333333333331</v>
      </c>
      <c r="AP233" s="82">
        <v>14</v>
      </c>
      <c r="AQ233" s="75">
        <v>1798.7325284028141</v>
      </c>
      <c r="AR233" s="75">
        <v>9974.8821647770219</v>
      </c>
      <c r="AS233" s="80">
        <v>11773.614693179836</v>
      </c>
      <c r="AT233" s="74">
        <v>114.22249902319903</v>
      </c>
      <c r="AU233" s="75">
        <v>168.53417747543463</v>
      </c>
      <c r="AV233" s="75">
        <v>221.72602751322751</v>
      </c>
      <c r="AW233" s="75">
        <v>104.59197459619746</v>
      </c>
      <c r="AX233" s="80">
        <v>609.07467860805866</v>
      </c>
      <c r="AY233" s="81">
        <v>9.4038886725341442E-2</v>
      </c>
      <c r="AZ233" s="83">
        <v>840.97247808427403</v>
      </c>
      <c r="BA233" s="80">
        <v>79.084115605696738</v>
      </c>
      <c r="BB233" s="84">
        <v>-9921.3065007372534</v>
      </c>
      <c r="BC233" s="85">
        <v>-44.745791064810277</v>
      </c>
      <c r="BD233" s="86">
        <v>-1.7719333261538484</v>
      </c>
      <c r="BE233" s="84">
        <v>-9816.7145261410551</v>
      </c>
      <c r="BF233" s="87">
        <v>-30.083276015060896</v>
      </c>
      <c r="BG233" s="88">
        <v>-1.7532533261537004</v>
      </c>
      <c r="BH233" s="89">
        <v>2.102753326146078</v>
      </c>
      <c r="BI233" s="90">
        <v>0.60000000000830733</v>
      </c>
      <c r="BJ233" s="90">
        <v>0.10877999999918006</v>
      </c>
      <c r="BK233" s="91">
        <v>2.8115333261535653</v>
      </c>
      <c r="BL233" s="92">
        <v>-10143.032528250478</v>
      </c>
      <c r="BM233" s="95">
        <v>0</v>
      </c>
      <c r="BN233" t="s">
        <v>402</v>
      </c>
      <c r="BO233">
        <v>0.85994999999999999</v>
      </c>
    </row>
    <row r="234" spans="1:67">
      <c r="A234" s="61" t="str">
        <f t="shared" si="4"/>
        <v>UK</v>
      </c>
      <c r="B234" s="62" t="s">
        <v>64</v>
      </c>
      <c r="C234" s="62" t="s">
        <v>176</v>
      </c>
      <c r="D234" s="63" t="s">
        <v>97</v>
      </c>
      <c r="E234" s="64">
        <v>43831</v>
      </c>
      <c r="F234" s="64">
        <v>43921</v>
      </c>
      <c r="G234" s="65">
        <v>43995</v>
      </c>
      <c r="H234" s="66" t="s">
        <v>132</v>
      </c>
      <c r="I234" s="67">
        <v>3</v>
      </c>
      <c r="J234" s="68">
        <v>2020</v>
      </c>
      <c r="K234" s="69">
        <v>1</v>
      </c>
      <c r="L234" s="70">
        <v>3</v>
      </c>
      <c r="M234" s="71" t="s">
        <v>140</v>
      </c>
      <c r="N234" s="71" t="s">
        <v>18</v>
      </c>
      <c r="O234" s="71" t="s">
        <v>114</v>
      </c>
      <c r="P234" s="71" t="s">
        <v>102</v>
      </c>
      <c r="Q234" s="61" t="s">
        <v>474</v>
      </c>
      <c r="R234" s="63" t="s">
        <v>165</v>
      </c>
      <c r="S234" s="72" t="s">
        <v>696</v>
      </c>
      <c r="T234" s="61" t="s">
        <v>405</v>
      </c>
      <c r="U234" s="73" t="s">
        <v>738</v>
      </c>
      <c r="V234" s="62">
        <v>107236</v>
      </c>
      <c r="W234" s="62" t="s">
        <v>556</v>
      </c>
      <c r="X234" s="62" t="s">
        <v>402</v>
      </c>
      <c r="Y234" s="93">
        <v>1</v>
      </c>
      <c r="Z234" s="94">
        <v>1</v>
      </c>
      <c r="AA234" s="74">
        <v>0</v>
      </c>
      <c r="AB234" s="75">
        <v>0</v>
      </c>
      <c r="AC234" s="75">
        <v>0</v>
      </c>
      <c r="AD234" s="76">
        <v>0</v>
      </c>
      <c r="AE234" s="77">
        <v>13.502430945</v>
      </c>
      <c r="AF234" s="75">
        <v>22.680047159000001</v>
      </c>
      <c r="AG234" s="78">
        <v>1497.7145186348043</v>
      </c>
      <c r="AH234" s="79">
        <v>1797.2574222919936</v>
      </c>
      <c r="AI234" s="74">
        <v>898.6287111576255</v>
      </c>
      <c r="AJ234" s="75">
        <v>0</v>
      </c>
      <c r="AK234" s="75">
        <v>0</v>
      </c>
      <c r="AL234" s="80">
        <v>898.6287111576255</v>
      </c>
      <c r="AM234" s="74">
        <v>0</v>
      </c>
      <c r="AN234" s="74">
        <v>0</v>
      </c>
      <c r="AO234" s="81" t="s">
        <v>403</v>
      </c>
      <c r="AP234" s="82">
        <v>0</v>
      </c>
      <c r="AQ234" s="75">
        <v>0</v>
      </c>
      <c r="AR234" s="75">
        <v>0</v>
      </c>
      <c r="AS234" s="80">
        <v>0</v>
      </c>
      <c r="AT234" s="74">
        <v>30.553376178847611</v>
      </c>
      <c r="AU234" s="75">
        <v>45.081207009709864</v>
      </c>
      <c r="AV234" s="75">
        <v>59.309494936914938</v>
      </c>
      <c r="AW234" s="75">
        <v>27.977307207395778</v>
      </c>
      <c r="AX234" s="80">
        <v>162.92138533286817</v>
      </c>
      <c r="AY234" s="81">
        <v>0</v>
      </c>
      <c r="AZ234" s="83" t="s">
        <v>403</v>
      </c>
      <c r="BA234" s="80" t="s">
        <v>403</v>
      </c>
      <c r="BB234" s="84">
        <v>495.47391708122552</v>
      </c>
      <c r="BC234" s="85">
        <v>8.3540404046306698</v>
      </c>
      <c r="BD234" s="86">
        <v>0.33082000001766659</v>
      </c>
      <c r="BE234" s="84">
        <v>523.45122428862135</v>
      </c>
      <c r="BF234" s="87">
        <v>5.9969114623216777</v>
      </c>
      <c r="BG234" s="88">
        <v>0.34950000001719767</v>
      </c>
      <c r="BH234" s="89">
        <v>0</v>
      </c>
      <c r="BI234" s="90">
        <v>0.59999999998447162</v>
      </c>
      <c r="BJ234" s="90">
        <v>0.10877999999717847</v>
      </c>
      <c r="BK234" s="91">
        <v>0.70877999998165009</v>
      </c>
      <c r="BL234" s="92">
        <v>436.16442214431072</v>
      </c>
      <c r="BM234" s="95">
        <v>0</v>
      </c>
      <c r="BN234" t="s">
        <v>402</v>
      </c>
      <c r="BO234">
        <v>0.85994999999999999</v>
      </c>
    </row>
    <row r="235" spans="1:67">
      <c r="A235" s="61" t="str">
        <f t="shared" si="4"/>
        <v>UK</v>
      </c>
      <c r="B235" s="62" t="s">
        <v>64</v>
      </c>
      <c r="C235" s="62" t="s">
        <v>176</v>
      </c>
      <c r="D235" s="63" t="s">
        <v>97</v>
      </c>
      <c r="E235" s="64">
        <v>43831</v>
      </c>
      <c r="F235" s="64">
        <v>43921</v>
      </c>
      <c r="G235" s="65">
        <v>43995</v>
      </c>
      <c r="H235" s="66" t="s">
        <v>132</v>
      </c>
      <c r="I235" s="67">
        <v>3</v>
      </c>
      <c r="J235" s="68">
        <v>2020</v>
      </c>
      <c r="K235" s="69">
        <v>1</v>
      </c>
      <c r="L235" s="70">
        <v>3</v>
      </c>
      <c r="M235" s="71" t="s">
        <v>140</v>
      </c>
      <c r="N235" s="71" t="s">
        <v>18</v>
      </c>
      <c r="O235" s="71" t="s">
        <v>114</v>
      </c>
      <c r="P235" s="71" t="s">
        <v>102</v>
      </c>
      <c r="Q235" s="61" t="s">
        <v>474</v>
      </c>
      <c r="R235" s="63" t="s">
        <v>112</v>
      </c>
      <c r="S235" s="72" t="s">
        <v>696</v>
      </c>
      <c r="T235" s="61" t="s">
        <v>405</v>
      </c>
      <c r="U235" s="73" t="s">
        <v>739</v>
      </c>
      <c r="V235" s="62">
        <v>107911</v>
      </c>
      <c r="W235" s="62" t="s">
        <v>556</v>
      </c>
      <c r="X235" s="62" t="s">
        <v>402</v>
      </c>
      <c r="Y235" s="93">
        <v>1</v>
      </c>
      <c r="Z235" s="94">
        <v>1</v>
      </c>
      <c r="AA235" s="74">
        <v>18</v>
      </c>
      <c r="AB235" s="75">
        <v>31</v>
      </c>
      <c r="AC235" s="75">
        <v>3975.0567008547005</v>
      </c>
      <c r="AD235" s="76">
        <v>4770.0680410488985</v>
      </c>
      <c r="AE235" s="77">
        <v>6.0380062130000001</v>
      </c>
      <c r="AF235" s="75">
        <v>9.1700183397000004</v>
      </c>
      <c r="AG235" s="78">
        <v>1237.351493575208</v>
      </c>
      <c r="AH235" s="79">
        <v>1484.8217921972209</v>
      </c>
      <c r="AI235" s="74">
        <v>742.41089612186749</v>
      </c>
      <c r="AJ235" s="75">
        <v>0</v>
      </c>
      <c r="AK235" s="75">
        <v>0</v>
      </c>
      <c r="AL235" s="80">
        <v>742.41089612186749</v>
      </c>
      <c r="AM235" s="74">
        <v>0</v>
      </c>
      <c r="AN235" s="74">
        <v>0</v>
      </c>
      <c r="AO235" s="81" t="s">
        <v>403</v>
      </c>
      <c r="AP235" s="82">
        <v>0</v>
      </c>
      <c r="AQ235" s="75">
        <v>0</v>
      </c>
      <c r="AR235" s="75">
        <v>0</v>
      </c>
      <c r="AS235" s="80">
        <v>0</v>
      </c>
      <c r="AT235" s="74">
        <v>25.241970468050468</v>
      </c>
      <c r="AU235" s="75">
        <v>37.244279955811379</v>
      </c>
      <c r="AV235" s="75">
        <v>48.999119144136287</v>
      </c>
      <c r="AW235" s="75">
        <v>23.113725899180182</v>
      </c>
      <c r="AX235" s="80">
        <v>134.5990954671783</v>
      </c>
      <c r="AY235" s="81">
        <v>0</v>
      </c>
      <c r="AZ235" s="83" t="s">
        <v>403</v>
      </c>
      <c r="BA235" s="80" t="s">
        <v>403</v>
      </c>
      <c r="BB235" s="84">
        <v>409.34062113029847</v>
      </c>
      <c r="BC235" s="85">
        <v>8.3540404048117303</v>
      </c>
      <c r="BD235" s="86">
        <v>0.33082000002080908</v>
      </c>
      <c r="BE235" s="84">
        <v>432.45434702947864</v>
      </c>
      <c r="BF235" s="87">
        <v>5.9969114624407567</v>
      </c>
      <c r="BG235" s="88">
        <v>0.34950000002015874</v>
      </c>
      <c r="BH235" s="89">
        <v>0</v>
      </c>
      <c r="BI235" s="90">
        <v>0.59999999998120401</v>
      </c>
      <c r="BJ235" s="90">
        <v>0.10877999999682157</v>
      </c>
      <c r="BK235" s="91">
        <v>0.70877999997802554</v>
      </c>
      <c r="BL235" s="92">
        <v>360.34150198616226</v>
      </c>
      <c r="BM235" s="95">
        <v>0</v>
      </c>
      <c r="BN235" t="s">
        <v>402</v>
      </c>
      <c r="BO235">
        <v>0.85994999999999999</v>
      </c>
    </row>
    <row r="236" spans="1:67">
      <c r="A236" s="61" t="str">
        <f t="shared" si="4"/>
        <v>UK</v>
      </c>
      <c r="B236" s="62" t="s">
        <v>64</v>
      </c>
      <c r="C236" s="62" t="s">
        <v>176</v>
      </c>
      <c r="D236" s="63" t="s">
        <v>97</v>
      </c>
      <c r="E236" s="64">
        <v>43831</v>
      </c>
      <c r="F236" s="64">
        <v>43921</v>
      </c>
      <c r="G236" s="65">
        <v>43995</v>
      </c>
      <c r="H236" s="66" t="s">
        <v>132</v>
      </c>
      <c r="I236" s="67">
        <v>3</v>
      </c>
      <c r="J236" s="68">
        <v>2020</v>
      </c>
      <c r="K236" s="69">
        <v>1</v>
      </c>
      <c r="L236" s="70">
        <v>3</v>
      </c>
      <c r="M236" s="71" t="s">
        <v>140</v>
      </c>
      <c r="N236" s="71" t="s">
        <v>18</v>
      </c>
      <c r="O236" s="71" t="s">
        <v>114</v>
      </c>
      <c r="P236" s="71" t="s">
        <v>102</v>
      </c>
      <c r="Q236" s="61" t="s">
        <v>474</v>
      </c>
      <c r="R236" s="63" t="s">
        <v>106</v>
      </c>
      <c r="S236" s="72" t="s">
        <v>696</v>
      </c>
      <c r="T236" s="61" t="s">
        <v>405</v>
      </c>
      <c r="U236" s="73" t="s">
        <v>740</v>
      </c>
      <c r="V236" s="62">
        <v>107923</v>
      </c>
      <c r="W236" s="62" t="s">
        <v>556</v>
      </c>
      <c r="X236" s="62" t="s">
        <v>402</v>
      </c>
      <c r="Y236" s="93">
        <v>1</v>
      </c>
      <c r="Z236" s="94">
        <v>1</v>
      </c>
      <c r="AA236" s="74">
        <v>189</v>
      </c>
      <c r="AB236" s="75">
        <v>399</v>
      </c>
      <c r="AC236" s="75">
        <v>10370.951788243503</v>
      </c>
      <c r="AD236" s="76">
        <v>12445.142145473574</v>
      </c>
      <c r="AE236" s="77">
        <v>87.034280303000003</v>
      </c>
      <c r="AF236" s="75">
        <v>133.31950757999999</v>
      </c>
      <c r="AG236" s="78">
        <v>4756.9396121867558</v>
      </c>
      <c r="AH236" s="79">
        <v>5708.3275346241062</v>
      </c>
      <c r="AI236" s="74">
        <v>2854.1637673120531</v>
      </c>
      <c r="AJ236" s="75">
        <v>0</v>
      </c>
      <c r="AK236" s="75">
        <v>0</v>
      </c>
      <c r="AL236" s="80">
        <v>2854.1637673120531</v>
      </c>
      <c r="AM236" s="74">
        <v>3</v>
      </c>
      <c r="AN236" s="74">
        <v>1</v>
      </c>
      <c r="AO236" s="81">
        <v>0.33333333333333331</v>
      </c>
      <c r="AP236" s="82">
        <v>5</v>
      </c>
      <c r="AQ236" s="75">
        <v>1814.9893003081575</v>
      </c>
      <c r="AR236" s="75">
        <v>11694.63346589918</v>
      </c>
      <c r="AS236" s="80">
        <v>13509.622766207338</v>
      </c>
      <c r="AT236" s="74">
        <v>97.041568087679522</v>
      </c>
      <c r="AU236" s="75">
        <v>143.18388233036805</v>
      </c>
      <c r="AV236" s="75">
        <v>188.3748086400372</v>
      </c>
      <c r="AW236" s="75">
        <v>88.859631955346245</v>
      </c>
      <c r="AX236" s="80">
        <v>517.45989101343105</v>
      </c>
      <c r="AY236" s="81">
        <v>3.7503888896376916E-2</v>
      </c>
      <c r="AZ236" s="83">
        <v>2701.9245532414675</v>
      </c>
      <c r="BA236" s="80">
        <v>101.33267825116083</v>
      </c>
      <c r="BB236" s="84">
        <v>-11935.932003706033</v>
      </c>
      <c r="BC236" s="85">
        <v>-63.362676197931748</v>
      </c>
      <c r="BD236" s="86">
        <v>-2.5091619774040201</v>
      </c>
      <c r="BE236" s="84">
        <v>-11847.072371750686</v>
      </c>
      <c r="BF236" s="87">
        <v>-42.733046970311982</v>
      </c>
      <c r="BG236" s="88">
        <v>-2.4904819774040838</v>
      </c>
      <c r="BH236" s="89">
        <v>2.8399819774035331</v>
      </c>
      <c r="BI236" s="90">
        <v>0.6</v>
      </c>
      <c r="BJ236" s="90">
        <v>0.10877999999994865</v>
      </c>
      <c r="BK236" s="91">
        <v>3.548761977403482</v>
      </c>
      <c r="BL236" s="92">
        <v>-12124.306812346067</v>
      </c>
      <c r="BM236" s="95">
        <v>0</v>
      </c>
      <c r="BN236" t="s">
        <v>402</v>
      </c>
      <c r="BO236">
        <v>0.85994999999999999</v>
      </c>
    </row>
    <row r="237" spans="1:67">
      <c r="A237" s="61" t="str">
        <f t="shared" si="4"/>
        <v>UK</v>
      </c>
      <c r="B237" s="62" t="s">
        <v>64</v>
      </c>
      <c r="C237" s="62" t="s">
        <v>176</v>
      </c>
      <c r="D237" s="63" t="s">
        <v>97</v>
      </c>
      <c r="E237" s="64">
        <v>43831</v>
      </c>
      <c r="F237" s="64">
        <v>43921</v>
      </c>
      <c r="G237" s="65">
        <v>43995</v>
      </c>
      <c r="H237" s="66" t="s">
        <v>132</v>
      </c>
      <c r="I237" s="67">
        <v>3</v>
      </c>
      <c r="J237" s="68">
        <v>2020</v>
      </c>
      <c r="K237" s="69">
        <v>1</v>
      </c>
      <c r="L237" s="70">
        <v>3</v>
      </c>
      <c r="M237" s="71" t="s">
        <v>140</v>
      </c>
      <c r="N237" s="71" t="s">
        <v>18</v>
      </c>
      <c r="O237" s="71" t="s">
        <v>114</v>
      </c>
      <c r="P237" s="71" t="s">
        <v>102</v>
      </c>
      <c r="Q237" s="61" t="s">
        <v>171</v>
      </c>
      <c r="R237" s="63" t="s">
        <v>106</v>
      </c>
      <c r="S237" s="72" t="s">
        <v>741</v>
      </c>
      <c r="T237" s="61" t="s">
        <v>742</v>
      </c>
      <c r="U237" s="73" t="s">
        <v>743</v>
      </c>
      <c r="V237" s="62">
        <v>107040</v>
      </c>
      <c r="W237" s="62" t="s">
        <v>603</v>
      </c>
      <c r="X237" s="62" t="s">
        <v>402</v>
      </c>
      <c r="Y237" s="93">
        <v>1</v>
      </c>
      <c r="Z237" s="94">
        <v>1</v>
      </c>
      <c r="AA237" s="74">
        <v>0</v>
      </c>
      <c r="AB237" s="75">
        <v>0</v>
      </c>
      <c r="AC237" s="75">
        <v>0</v>
      </c>
      <c r="AD237" s="76">
        <v>0</v>
      </c>
      <c r="AE237" s="77">
        <v>9.4812903225999996</v>
      </c>
      <c r="AF237" s="75">
        <v>9.4812903225999996</v>
      </c>
      <c r="AG237" s="78">
        <v>38.642062835048556</v>
      </c>
      <c r="AH237" s="79">
        <v>46.370475403221114</v>
      </c>
      <c r="AI237" s="74">
        <v>23.185237701029131</v>
      </c>
      <c r="AJ237" s="75">
        <v>0</v>
      </c>
      <c r="AK237" s="75">
        <v>0</v>
      </c>
      <c r="AL237" s="80">
        <v>23.185237701029131</v>
      </c>
      <c r="AM237" s="74">
        <v>0</v>
      </c>
      <c r="AN237" s="74">
        <v>0</v>
      </c>
      <c r="AO237" s="81" t="s">
        <v>403</v>
      </c>
      <c r="AP237" s="82">
        <v>0</v>
      </c>
      <c r="AQ237" s="75">
        <v>0</v>
      </c>
      <c r="AR237" s="75">
        <v>0</v>
      </c>
      <c r="AS237" s="80">
        <v>0</v>
      </c>
      <c r="AT237" s="74">
        <v>0.78829808186522465</v>
      </c>
      <c r="AU237" s="75">
        <v>1.1631260914006629</v>
      </c>
      <c r="AV237" s="75">
        <v>1.5302256882376883</v>
      </c>
      <c r="AW237" s="75">
        <v>0.72183373382173377</v>
      </c>
      <c r="AX237" s="80">
        <v>4.2034835953253094</v>
      </c>
      <c r="AY237" s="81">
        <v>0</v>
      </c>
      <c r="AZ237" s="83" t="s">
        <v>403</v>
      </c>
      <c r="BA237" s="80" t="s">
        <v>403</v>
      </c>
      <c r="BB237" s="84">
        <v>12.783567226931805</v>
      </c>
      <c r="BC237" s="85">
        <v>8.3540404041015854</v>
      </c>
      <c r="BD237" s="86">
        <v>0.3308199999958864</v>
      </c>
      <c r="BE237" s="84">
        <v>13.505400960753537</v>
      </c>
      <c r="BF237" s="87">
        <v>5.9969114617781107</v>
      </c>
      <c r="BG237" s="88">
        <v>0.34949999999751741</v>
      </c>
      <c r="BH237" s="89">
        <v>0</v>
      </c>
      <c r="BI237" s="90">
        <v>0.6</v>
      </c>
      <c r="BJ237" s="90">
        <v>0.10878000000333128</v>
      </c>
      <c r="BK237" s="91">
        <v>0.7087800000033313</v>
      </c>
      <c r="BL237" s="92">
        <v>11.253341538694116</v>
      </c>
      <c r="BM237" s="95">
        <v>0</v>
      </c>
      <c r="BN237" t="s">
        <v>402</v>
      </c>
      <c r="BO237">
        <v>0.85994999999999999</v>
      </c>
    </row>
    <row r="238" spans="1:67">
      <c r="A238" s="61" t="str">
        <f t="shared" si="4"/>
        <v>UK</v>
      </c>
      <c r="B238" s="62" t="s">
        <v>64</v>
      </c>
      <c r="C238" s="62" t="s">
        <v>176</v>
      </c>
      <c r="D238" s="63" t="s">
        <v>97</v>
      </c>
      <c r="E238" s="64">
        <v>43831</v>
      </c>
      <c r="F238" s="64">
        <v>43921</v>
      </c>
      <c r="G238" s="65">
        <v>43995</v>
      </c>
      <c r="H238" s="66" t="s">
        <v>132</v>
      </c>
      <c r="I238" s="67">
        <v>3</v>
      </c>
      <c r="J238" s="68">
        <v>2020</v>
      </c>
      <c r="K238" s="69">
        <v>1</v>
      </c>
      <c r="L238" s="70">
        <v>3</v>
      </c>
      <c r="M238" s="71" t="s">
        <v>140</v>
      </c>
      <c r="N238" s="71" t="s">
        <v>18</v>
      </c>
      <c r="O238" s="71" t="s">
        <v>114</v>
      </c>
      <c r="P238" s="71" t="s">
        <v>102</v>
      </c>
      <c r="Q238" s="61" t="s">
        <v>171</v>
      </c>
      <c r="R238" s="63" t="s">
        <v>106</v>
      </c>
      <c r="S238" s="72" t="s">
        <v>741</v>
      </c>
      <c r="T238" s="61" t="s">
        <v>742</v>
      </c>
      <c r="U238" s="73" t="s">
        <v>744</v>
      </c>
      <c r="V238" s="62">
        <v>107622</v>
      </c>
      <c r="W238" s="62" t="s">
        <v>603</v>
      </c>
      <c r="X238" s="62" t="s">
        <v>402</v>
      </c>
      <c r="Y238" s="93">
        <v>1</v>
      </c>
      <c r="Z238" s="94">
        <v>1</v>
      </c>
      <c r="AA238" s="74">
        <v>0</v>
      </c>
      <c r="AB238" s="75">
        <v>0</v>
      </c>
      <c r="AC238" s="75">
        <v>0</v>
      </c>
      <c r="AD238" s="76">
        <v>0</v>
      </c>
      <c r="AE238" s="77">
        <v>44.746290322999997</v>
      </c>
      <c r="AF238" s="75">
        <v>44.746290322999997</v>
      </c>
      <c r="AG238" s="78">
        <v>150.73238191755334</v>
      </c>
      <c r="AH238" s="79">
        <v>180.87885829408688</v>
      </c>
      <c r="AI238" s="74">
        <v>90.439429149369147</v>
      </c>
      <c r="AJ238" s="75">
        <v>0</v>
      </c>
      <c r="AK238" s="75">
        <v>0</v>
      </c>
      <c r="AL238" s="80">
        <v>90.439429149369147</v>
      </c>
      <c r="AM238" s="74">
        <v>0</v>
      </c>
      <c r="AN238" s="74">
        <v>0</v>
      </c>
      <c r="AO238" s="81" t="s">
        <v>403</v>
      </c>
      <c r="AP238" s="82">
        <v>0</v>
      </c>
      <c r="AQ238" s="75">
        <v>0</v>
      </c>
      <c r="AR238" s="75">
        <v>0</v>
      </c>
      <c r="AS238" s="80">
        <v>0</v>
      </c>
      <c r="AT238" s="74">
        <v>3.0749405910808769</v>
      </c>
      <c r="AU238" s="75">
        <v>4.5370446956218391</v>
      </c>
      <c r="AV238" s="75">
        <v>5.9690023238560377</v>
      </c>
      <c r="AW238" s="75">
        <v>2.8156808941217513</v>
      </c>
      <c r="AX238" s="80">
        <v>16.396668504680505</v>
      </c>
      <c r="AY238" s="81">
        <v>0</v>
      </c>
      <c r="AZ238" s="83" t="s">
        <v>403</v>
      </c>
      <c r="BA238" s="80" t="s">
        <v>403</v>
      </c>
      <c r="BB238" s="84">
        <v>49.865286587359719</v>
      </c>
      <c r="BC238" s="85">
        <v>8.3540404043847349</v>
      </c>
      <c r="BD238" s="86">
        <v>0.33082000000925299</v>
      </c>
      <c r="BE238" s="84">
        <v>52.680967481481474</v>
      </c>
      <c r="BF238" s="87">
        <v>5.9969114621766053</v>
      </c>
      <c r="BG238" s="88">
        <v>0.34950000000860187</v>
      </c>
      <c r="BH238" s="89">
        <v>0</v>
      </c>
      <c r="BI238" s="90">
        <v>0.59999999999228526</v>
      </c>
      <c r="BJ238" s="90">
        <v>0.1087799999979371</v>
      </c>
      <c r="BK238" s="91">
        <v>0.70877999999022234</v>
      </c>
      <c r="BL238" s="92">
        <v>43.896284263503688</v>
      </c>
      <c r="BM238" s="95">
        <v>0</v>
      </c>
      <c r="BN238" t="s">
        <v>402</v>
      </c>
      <c r="BO238">
        <v>0.85994999999999999</v>
      </c>
    </row>
    <row r="239" spans="1:67">
      <c r="A239" s="61" t="str">
        <f t="shared" si="4"/>
        <v>UK</v>
      </c>
      <c r="B239" s="62" t="s">
        <v>64</v>
      </c>
      <c r="C239" s="62" t="s">
        <v>176</v>
      </c>
      <c r="D239" s="63" t="s">
        <v>97</v>
      </c>
      <c r="E239" s="64">
        <v>43831</v>
      </c>
      <c r="F239" s="64">
        <v>43921</v>
      </c>
      <c r="G239" s="65">
        <v>43995</v>
      </c>
      <c r="H239" s="66" t="s">
        <v>132</v>
      </c>
      <c r="I239" s="67">
        <v>3</v>
      </c>
      <c r="J239" s="68">
        <v>2020</v>
      </c>
      <c r="K239" s="69">
        <v>1</v>
      </c>
      <c r="L239" s="70">
        <v>3</v>
      </c>
      <c r="M239" s="71" t="s">
        <v>140</v>
      </c>
      <c r="N239" s="71" t="s">
        <v>18</v>
      </c>
      <c r="O239" s="71" t="s">
        <v>114</v>
      </c>
      <c r="P239" s="71" t="s">
        <v>102</v>
      </c>
      <c r="Q239" s="61" t="s">
        <v>170</v>
      </c>
      <c r="R239" s="63" t="s">
        <v>165</v>
      </c>
      <c r="S239" s="72" t="s">
        <v>745</v>
      </c>
      <c r="T239" s="61" t="s">
        <v>405</v>
      </c>
      <c r="U239" s="73" t="s">
        <v>746</v>
      </c>
      <c r="V239" s="62">
        <v>106876</v>
      </c>
      <c r="W239" s="62" t="s">
        <v>747</v>
      </c>
      <c r="X239" s="62" t="s">
        <v>402</v>
      </c>
      <c r="Y239" s="93">
        <v>1</v>
      </c>
      <c r="Z239" s="94">
        <v>1</v>
      </c>
      <c r="AA239" s="74">
        <v>0</v>
      </c>
      <c r="AB239" s="75">
        <v>0</v>
      </c>
      <c r="AC239" s="75">
        <v>0</v>
      </c>
      <c r="AD239" s="76">
        <v>0</v>
      </c>
      <c r="AE239" s="77">
        <v>0.84679991020000001</v>
      </c>
      <c r="AF239" s="75">
        <v>1.9339602515000001</v>
      </c>
      <c r="AG239" s="78">
        <v>83.417478202221062</v>
      </c>
      <c r="AH239" s="79">
        <v>100.10097384266527</v>
      </c>
      <c r="AI239" s="74">
        <v>50.050486921332634</v>
      </c>
      <c r="AJ239" s="75">
        <v>0</v>
      </c>
      <c r="AK239" s="75">
        <v>0</v>
      </c>
      <c r="AL239" s="80">
        <v>50.050486921332634</v>
      </c>
      <c r="AM239" s="74">
        <v>0</v>
      </c>
      <c r="AN239" s="74">
        <v>0</v>
      </c>
      <c r="AO239" s="81" t="s">
        <v>403</v>
      </c>
      <c r="AP239" s="82">
        <v>0</v>
      </c>
      <c r="AQ239" s="75">
        <v>0</v>
      </c>
      <c r="AR239" s="75">
        <v>0</v>
      </c>
      <c r="AS239" s="80">
        <v>0</v>
      </c>
      <c r="AT239" s="74">
        <v>1.7017165553811269</v>
      </c>
      <c r="AU239" s="75">
        <v>2.5108660938426652</v>
      </c>
      <c r="AV239" s="75">
        <v>3.3033321368684225</v>
      </c>
      <c r="AW239" s="75">
        <v>1.55823849281935</v>
      </c>
      <c r="AX239" s="80">
        <v>9.0741532789115649</v>
      </c>
      <c r="AY239" s="81">
        <v>0</v>
      </c>
      <c r="AZ239" s="83" t="s">
        <v>403</v>
      </c>
      <c r="BA239" s="80" t="s">
        <v>403</v>
      </c>
      <c r="BB239" s="84">
        <v>27.596170138845288</v>
      </c>
      <c r="BC239" s="85">
        <v>8.3540404038833991</v>
      </c>
      <c r="BD239" s="86">
        <v>0.33081999999983835</v>
      </c>
      <c r="BE239" s="84">
        <v>29.154408631664637</v>
      </c>
      <c r="BF239" s="87">
        <v>5.9969114618287538</v>
      </c>
      <c r="BG239" s="88">
        <v>0.34949999999986064</v>
      </c>
      <c r="BH239" s="89">
        <v>0</v>
      </c>
      <c r="BI239" s="90">
        <v>0.6</v>
      </c>
      <c r="BJ239" s="90">
        <v>0.1087800000008866</v>
      </c>
      <c r="BK239" s="91">
        <v>0.70878000000088659</v>
      </c>
      <c r="BL239" s="92">
        <v>24.292838001976861</v>
      </c>
      <c r="BM239" s="95">
        <v>0</v>
      </c>
      <c r="BN239" t="s">
        <v>402</v>
      </c>
      <c r="BO239">
        <v>0.85994999999999999</v>
      </c>
    </row>
    <row r="240" spans="1:67">
      <c r="A240" s="61" t="str">
        <f t="shared" si="4"/>
        <v>UK</v>
      </c>
      <c r="B240" s="62" t="s">
        <v>64</v>
      </c>
      <c r="C240" s="62" t="s">
        <v>176</v>
      </c>
      <c r="D240" s="63" t="s">
        <v>97</v>
      </c>
      <c r="E240" s="64">
        <v>43831</v>
      </c>
      <c r="F240" s="64">
        <v>43921</v>
      </c>
      <c r="G240" s="65">
        <v>43995</v>
      </c>
      <c r="H240" s="66" t="s">
        <v>132</v>
      </c>
      <c r="I240" s="67">
        <v>3</v>
      </c>
      <c r="J240" s="68">
        <v>2020</v>
      </c>
      <c r="K240" s="69">
        <v>1</v>
      </c>
      <c r="L240" s="70">
        <v>3</v>
      </c>
      <c r="M240" s="71" t="s">
        <v>140</v>
      </c>
      <c r="N240" s="71" t="s">
        <v>18</v>
      </c>
      <c r="O240" s="71" t="s">
        <v>114</v>
      </c>
      <c r="P240" s="71" t="s">
        <v>102</v>
      </c>
      <c r="Q240" s="61" t="s">
        <v>170</v>
      </c>
      <c r="R240" s="63" t="s">
        <v>112</v>
      </c>
      <c r="S240" s="72" t="s">
        <v>745</v>
      </c>
      <c r="T240" s="61" t="s">
        <v>405</v>
      </c>
      <c r="U240" s="73" t="s">
        <v>748</v>
      </c>
      <c r="V240" s="62">
        <v>107601</v>
      </c>
      <c r="W240" s="62" t="s">
        <v>464</v>
      </c>
      <c r="X240" s="62" t="s">
        <v>402</v>
      </c>
      <c r="Y240" s="93">
        <v>1</v>
      </c>
      <c r="Z240" s="94">
        <v>1</v>
      </c>
      <c r="AA240" s="74">
        <v>0</v>
      </c>
      <c r="AB240" s="75">
        <v>0</v>
      </c>
      <c r="AC240" s="75">
        <v>0</v>
      </c>
      <c r="AD240" s="76">
        <v>0</v>
      </c>
      <c r="AE240" s="77">
        <v>4.7950819671999998</v>
      </c>
      <c r="AF240" s="75">
        <v>8.6680327868999996</v>
      </c>
      <c r="AG240" s="78">
        <v>685.97142394325249</v>
      </c>
      <c r="AH240" s="79">
        <v>823.16570872725163</v>
      </c>
      <c r="AI240" s="74">
        <v>411.58285436362581</v>
      </c>
      <c r="AJ240" s="75">
        <v>0</v>
      </c>
      <c r="AK240" s="75">
        <v>0</v>
      </c>
      <c r="AL240" s="80">
        <v>411.58285436362581</v>
      </c>
      <c r="AM240" s="74">
        <v>0</v>
      </c>
      <c r="AN240" s="74">
        <v>0</v>
      </c>
      <c r="AO240" s="81" t="s">
        <v>403</v>
      </c>
      <c r="AP240" s="82">
        <v>0</v>
      </c>
      <c r="AQ240" s="75">
        <v>0</v>
      </c>
      <c r="AR240" s="75">
        <v>0</v>
      </c>
      <c r="AS240" s="80">
        <v>0</v>
      </c>
      <c r="AT240" s="74">
        <v>13.993817048665621</v>
      </c>
      <c r="AU240" s="75">
        <v>20.647739860457001</v>
      </c>
      <c r="AV240" s="75">
        <v>27.16446838769696</v>
      </c>
      <c r="AW240" s="75">
        <v>12.813946199197627</v>
      </c>
      <c r="AX240" s="80">
        <v>74.619971496017214</v>
      </c>
      <c r="AY240" s="81">
        <v>0</v>
      </c>
      <c r="AZ240" s="83" t="s">
        <v>403</v>
      </c>
      <c r="BA240" s="80" t="s">
        <v>403</v>
      </c>
      <c r="BB240" s="84">
        <v>226.9330664713064</v>
      </c>
      <c r="BC240" s="85">
        <v>8.3540404042689271</v>
      </c>
      <c r="BD240" s="86">
        <v>0.33082000000349815</v>
      </c>
      <c r="BE240" s="84">
        <v>239.74701267050403</v>
      </c>
      <c r="BF240" s="87">
        <v>5.9969114620442214</v>
      </c>
      <c r="BG240" s="88">
        <v>0.34950000000340725</v>
      </c>
      <c r="BH240" s="89">
        <v>0</v>
      </c>
      <c r="BI240" s="90">
        <v>0.59999999999660969</v>
      </c>
      <c r="BJ240" s="90">
        <v>0.10877999999922768</v>
      </c>
      <c r="BK240" s="91">
        <v>0.70877999999583741</v>
      </c>
      <c r="BL240" s="92">
        <v>199.76859808360945</v>
      </c>
      <c r="BM240" s="95">
        <v>0</v>
      </c>
      <c r="BN240" t="s">
        <v>402</v>
      </c>
      <c r="BO240">
        <v>0.85994999999999999</v>
      </c>
    </row>
    <row r="241" spans="1:67">
      <c r="A241" s="61" t="str">
        <f t="shared" si="4"/>
        <v>UK</v>
      </c>
      <c r="B241" s="62" t="s">
        <v>64</v>
      </c>
      <c r="C241" s="62" t="s">
        <v>176</v>
      </c>
      <c r="D241" s="63" t="s">
        <v>97</v>
      </c>
      <c r="E241" s="64">
        <v>43831</v>
      </c>
      <c r="F241" s="64">
        <v>43921</v>
      </c>
      <c r="G241" s="65">
        <v>43995</v>
      </c>
      <c r="H241" s="66" t="s">
        <v>132</v>
      </c>
      <c r="I241" s="67">
        <v>3</v>
      </c>
      <c r="J241" s="68">
        <v>2020</v>
      </c>
      <c r="K241" s="69">
        <v>1</v>
      </c>
      <c r="L241" s="70">
        <v>3</v>
      </c>
      <c r="M241" s="71" t="s">
        <v>140</v>
      </c>
      <c r="N241" s="71" t="s">
        <v>18</v>
      </c>
      <c r="O241" s="71" t="s">
        <v>114</v>
      </c>
      <c r="P241" s="71" t="s">
        <v>102</v>
      </c>
      <c r="Q241" s="61" t="s">
        <v>170</v>
      </c>
      <c r="R241" s="63" t="s">
        <v>106</v>
      </c>
      <c r="S241" s="72" t="s">
        <v>745</v>
      </c>
      <c r="T241" s="61" t="s">
        <v>405</v>
      </c>
      <c r="U241" s="73" t="s">
        <v>749</v>
      </c>
      <c r="V241" s="62">
        <v>107604</v>
      </c>
      <c r="W241" s="62" t="s">
        <v>464</v>
      </c>
      <c r="X241" s="62" t="s">
        <v>402</v>
      </c>
      <c r="Y241" s="93">
        <v>1</v>
      </c>
      <c r="Z241" s="94">
        <v>1</v>
      </c>
      <c r="AA241" s="74">
        <v>0</v>
      </c>
      <c r="AB241" s="75">
        <v>0</v>
      </c>
      <c r="AC241" s="75">
        <v>0</v>
      </c>
      <c r="AD241" s="76">
        <v>0</v>
      </c>
      <c r="AE241" s="77">
        <v>2</v>
      </c>
      <c r="AF241" s="75">
        <v>3</v>
      </c>
      <c r="AG241" s="78">
        <v>428.5520381417524</v>
      </c>
      <c r="AH241" s="79">
        <v>514.26244575847431</v>
      </c>
      <c r="AI241" s="74">
        <v>257.13122288505144</v>
      </c>
      <c r="AJ241" s="75">
        <v>0</v>
      </c>
      <c r="AK241" s="75">
        <v>0</v>
      </c>
      <c r="AL241" s="80">
        <v>257.13122288505144</v>
      </c>
      <c r="AM241" s="74">
        <v>0</v>
      </c>
      <c r="AN241" s="74">
        <v>0</v>
      </c>
      <c r="AO241" s="81" t="s">
        <v>403</v>
      </c>
      <c r="AP241" s="82">
        <v>0</v>
      </c>
      <c r="AQ241" s="75">
        <v>0</v>
      </c>
      <c r="AR241" s="75">
        <v>0</v>
      </c>
      <c r="AS241" s="80">
        <v>0</v>
      </c>
      <c r="AT241" s="74">
        <v>8.7424615779987214</v>
      </c>
      <c r="AU241" s="75">
        <v>12.899416347462061</v>
      </c>
      <c r="AV241" s="75">
        <v>16.970660710506426</v>
      </c>
      <c r="AW241" s="75">
        <v>8.0053520723297868</v>
      </c>
      <c r="AX241" s="80">
        <v>46.617890708296997</v>
      </c>
      <c r="AY241" s="81">
        <v>0</v>
      </c>
      <c r="AZ241" s="83" t="s">
        <v>403</v>
      </c>
      <c r="BA241" s="80" t="s">
        <v>403</v>
      </c>
      <c r="BB241" s="84">
        <v>141.77358525891037</v>
      </c>
      <c r="BC241" s="85">
        <v>8.3540404040450387</v>
      </c>
      <c r="BD241" s="86">
        <v>0.33082000000199707</v>
      </c>
      <c r="BE241" s="84">
        <v>149.77893733124017</v>
      </c>
      <c r="BF241" s="87">
        <v>5.9969114619516004</v>
      </c>
      <c r="BG241" s="88">
        <v>0.34950000000162806</v>
      </c>
      <c r="BH241" s="89">
        <v>0</v>
      </c>
      <c r="BI241" s="90">
        <v>0.6</v>
      </c>
      <c r="BJ241" s="90">
        <v>0.10877999999821998</v>
      </c>
      <c r="BK241" s="91">
        <v>0.70877999999821995</v>
      </c>
      <c r="BL241" s="92">
        <v>124.80292454840395</v>
      </c>
      <c r="BM241" s="95">
        <v>0</v>
      </c>
      <c r="BN241" t="s">
        <v>402</v>
      </c>
      <c r="BO241">
        <v>0.85994999999999999</v>
      </c>
    </row>
    <row r="242" spans="1:67">
      <c r="A242" s="61" t="str">
        <f t="shared" si="4"/>
        <v>UK</v>
      </c>
      <c r="B242" s="62" t="s">
        <v>64</v>
      </c>
      <c r="C242" s="62" t="s">
        <v>176</v>
      </c>
      <c r="D242" s="63" t="s">
        <v>97</v>
      </c>
      <c r="E242" s="64">
        <v>43831</v>
      </c>
      <c r="F242" s="64">
        <v>43921</v>
      </c>
      <c r="G242" s="65">
        <v>43995</v>
      </c>
      <c r="H242" s="66" t="s">
        <v>132</v>
      </c>
      <c r="I242" s="67">
        <v>3</v>
      </c>
      <c r="J242" s="68">
        <v>2020</v>
      </c>
      <c r="K242" s="69">
        <v>1</v>
      </c>
      <c r="L242" s="70">
        <v>3</v>
      </c>
      <c r="M242" s="71" t="s">
        <v>140</v>
      </c>
      <c r="N242" s="71" t="s">
        <v>18</v>
      </c>
      <c r="O242" s="71" t="s">
        <v>114</v>
      </c>
      <c r="P242" s="71" t="s">
        <v>102</v>
      </c>
      <c r="Q242" s="61" t="s">
        <v>170</v>
      </c>
      <c r="R242" s="63" t="s">
        <v>165</v>
      </c>
      <c r="S242" s="72" t="s">
        <v>745</v>
      </c>
      <c r="T242" s="61" t="s">
        <v>405</v>
      </c>
      <c r="U242" s="73" t="s">
        <v>750</v>
      </c>
      <c r="V242" s="62">
        <v>106878</v>
      </c>
      <c r="W242" s="62" t="s">
        <v>747</v>
      </c>
      <c r="X242" s="62" t="s">
        <v>402</v>
      </c>
      <c r="Y242" s="93">
        <v>1</v>
      </c>
      <c r="Z242" s="94">
        <v>1</v>
      </c>
      <c r="AA242" s="74">
        <v>0</v>
      </c>
      <c r="AB242" s="75">
        <v>0</v>
      </c>
      <c r="AC242" s="75">
        <v>0</v>
      </c>
      <c r="AD242" s="76">
        <v>0</v>
      </c>
      <c r="AE242" s="77">
        <v>0.27077812709999999</v>
      </c>
      <c r="AF242" s="75">
        <v>0.27077812709999999</v>
      </c>
      <c r="AG242" s="78">
        <v>39.684586551543688</v>
      </c>
      <c r="AH242" s="79">
        <v>47.621503861852432</v>
      </c>
      <c r="AI242" s="74">
        <v>23.810751930926216</v>
      </c>
      <c r="AJ242" s="75">
        <v>0</v>
      </c>
      <c r="AK242" s="75">
        <v>0</v>
      </c>
      <c r="AL242" s="80">
        <v>23.810751930926216</v>
      </c>
      <c r="AM242" s="74">
        <v>0</v>
      </c>
      <c r="AN242" s="74">
        <v>0</v>
      </c>
      <c r="AO242" s="81" t="s">
        <v>403</v>
      </c>
      <c r="AP242" s="82">
        <v>0</v>
      </c>
      <c r="AQ242" s="75">
        <v>0</v>
      </c>
      <c r="AR242" s="75">
        <v>0</v>
      </c>
      <c r="AS242" s="80">
        <v>0</v>
      </c>
      <c r="AT242" s="74">
        <v>0.80956556567242288</v>
      </c>
      <c r="AU242" s="75">
        <v>1.1945060552357694</v>
      </c>
      <c r="AV242" s="75">
        <v>1.571509627420199</v>
      </c>
      <c r="AW242" s="75">
        <v>0.74130807674864807</v>
      </c>
      <c r="AX242" s="80">
        <v>4.3168893250770397</v>
      </c>
      <c r="AY242" s="81">
        <v>0</v>
      </c>
      <c r="AZ242" s="83" t="s">
        <v>403</v>
      </c>
      <c r="BA242" s="80" t="s">
        <v>403</v>
      </c>
      <c r="BB242" s="84">
        <v>13.128454922960632</v>
      </c>
      <c r="BC242" s="85">
        <v>8.3540404041382779</v>
      </c>
      <c r="BD242" s="86">
        <v>0.33081999999946954</v>
      </c>
      <c r="BE242" s="84">
        <v>13.86976299970928</v>
      </c>
      <c r="BF242" s="87">
        <v>5.9969114620270645</v>
      </c>
      <c r="BG242" s="88">
        <v>0.34949999999860804</v>
      </c>
      <c r="BH242" s="89">
        <v>0</v>
      </c>
      <c r="BI242" s="90">
        <v>0.60000000000000009</v>
      </c>
      <c r="BJ242" s="90">
        <v>0.10878000000000296</v>
      </c>
      <c r="BK242" s="91">
        <v>0.70878000000000307</v>
      </c>
      <c r="BL242" s="92">
        <v>11.556945295540434</v>
      </c>
      <c r="BM242" s="95">
        <v>0</v>
      </c>
      <c r="BN242" t="s">
        <v>402</v>
      </c>
      <c r="BO242">
        <v>0.85994999999999999</v>
      </c>
    </row>
    <row r="243" spans="1:67">
      <c r="A243" s="61" t="str">
        <f t="shared" si="4"/>
        <v>UK</v>
      </c>
      <c r="B243" s="62" t="s">
        <v>64</v>
      </c>
      <c r="C243" s="62" t="s">
        <v>176</v>
      </c>
      <c r="D243" s="63" t="s">
        <v>97</v>
      </c>
      <c r="E243" s="64">
        <v>43831</v>
      </c>
      <c r="F243" s="64">
        <v>43921</v>
      </c>
      <c r="G243" s="65">
        <v>43995</v>
      </c>
      <c r="H243" s="66" t="s">
        <v>132</v>
      </c>
      <c r="I243" s="67">
        <v>3</v>
      </c>
      <c r="J243" s="68">
        <v>2020</v>
      </c>
      <c r="K243" s="69">
        <v>1</v>
      </c>
      <c r="L243" s="70">
        <v>3</v>
      </c>
      <c r="M243" s="71" t="s">
        <v>140</v>
      </c>
      <c r="N243" s="71" t="s">
        <v>18</v>
      </c>
      <c r="O243" s="71" t="s">
        <v>114</v>
      </c>
      <c r="P243" s="71" t="s">
        <v>102</v>
      </c>
      <c r="Q243" s="61" t="s">
        <v>170</v>
      </c>
      <c r="R243" s="63" t="s">
        <v>112</v>
      </c>
      <c r="S243" s="72" t="s">
        <v>745</v>
      </c>
      <c r="T243" s="61" t="s">
        <v>405</v>
      </c>
      <c r="U243" s="73" t="s">
        <v>751</v>
      </c>
      <c r="V243" s="62">
        <v>107602</v>
      </c>
      <c r="W243" s="62" t="s">
        <v>464</v>
      </c>
      <c r="X243" s="62" t="s">
        <v>402</v>
      </c>
      <c r="Y243" s="93">
        <v>1</v>
      </c>
      <c r="Z243" s="94">
        <v>1</v>
      </c>
      <c r="AA243" s="74">
        <v>0</v>
      </c>
      <c r="AB243" s="75">
        <v>0</v>
      </c>
      <c r="AC243" s="75">
        <v>0</v>
      </c>
      <c r="AD243" s="76">
        <v>0</v>
      </c>
      <c r="AE243" s="77">
        <v>0.92213114750000003</v>
      </c>
      <c r="AF243" s="75">
        <v>2.2131147540999998</v>
      </c>
      <c r="AG243" s="78">
        <v>165.82168469097039</v>
      </c>
      <c r="AH243" s="79">
        <v>198.98602162916447</v>
      </c>
      <c r="AI243" s="74">
        <v>99.493010813419389</v>
      </c>
      <c r="AJ243" s="75">
        <v>0</v>
      </c>
      <c r="AK243" s="75">
        <v>0</v>
      </c>
      <c r="AL243" s="80">
        <v>99.493010813419389</v>
      </c>
      <c r="AM243" s="74">
        <v>0</v>
      </c>
      <c r="AN243" s="74">
        <v>0</v>
      </c>
      <c r="AO243" s="81" t="s">
        <v>403</v>
      </c>
      <c r="AP243" s="82">
        <v>0</v>
      </c>
      <c r="AQ243" s="75">
        <v>0</v>
      </c>
      <c r="AR243" s="75">
        <v>0</v>
      </c>
      <c r="AS243" s="80">
        <v>0</v>
      </c>
      <c r="AT243" s="74">
        <v>3.3827623676957965</v>
      </c>
      <c r="AU243" s="75">
        <v>4.9912327091109949</v>
      </c>
      <c r="AV243" s="75">
        <v>6.5665387136461417</v>
      </c>
      <c r="AW243" s="75">
        <v>3.0975490699459272</v>
      </c>
      <c r="AX243" s="80">
        <v>18.038082860398859</v>
      </c>
      <c r="AY243" s="81">
        <v>0</v>
      </c>
      <c r="AZ243" s="83" t="s">
        <v>403</v>
      </c>
      <c r="BA243" s="80" t="s">
        <v>403</v>
      </c>
      <c r="BB243" s="84">
        <v>54.857129730798292</v>
      </c>
      <c r="BC243" s="85">
        <v>8.3540404043911103</v>
      </c>
      <c r="BD243" s="86">
        <v>0.33082000000802952</v>
      </c>
      <c r="BE243" s="84">
        <v>57.954678800744219</v>
      </c>
      <c r="BF243" s="87">
        <v>5.9969114621600523</v>
      </c>
      <c r="BG243" s="88">
        <v>0.34950000000753861</v>
      </c>
      <c r="BH243" s="89">
        <v>0</v>
      </c>
      <c r="BI243" s="90">
        <v>0.59999999999298737</v>
      </c>
      <c r="BJ243" s="90">
        <v>0.10877999999828189</v>
      </c>
      <c r="BK243" s="91">
        <v>0.70877999999126928</v>
      </c>
      <c r="BL243" s="92">
        <v>48.290591017152138</v>
      </c>
      <c r="BM243" s="95">
        <v>0</v>
      </c>
      <c r="BN243" t="s">
        <v>402</v>
      </c>
      <c r="BO243">
        <v>0.85994999999999999</v>
      </c>
    </row>
    <row r="244" spans="1:67">
      <c r="A244" s="61" t="str">
        <f t="shared" si="4"/>
        <v>UK</v>
      </c>
      <c r="B244" s="62" t="s">
        <v>64</v>
      </c>
      <c r="C244" s="62" t="s">
        <v>176</v>
      </c>
      <c r="D244" s="63" t="s">
        <v>97</v>
      </c>
      <c r="E244" s="64">
        <v>43831</v>
      </c>
      <c r="F244" s="64">
        <v>43921</v>
      </c>
      <c r="G244" s="65">
        <v>43995</v>
      </c>
      <c r="H244" s="66" t="s">
        <v>132</v>
      </c>
      <c r="I244" s="67">
        <v>3</v>
      </c>
      <c r="J244" s="68">
        <v>2020</v>
      </c>
      <c r="K244" s="69">
        <v>1</v>
      </c>
      <c r="L244" s="70">
        <v>3</v>
      </c>
      <c r="M244" s="71" t="s">
        <v>140</v>
      </c>
      <c r="N244" s="71" t="s">
        <v>18</v>
      </c>
      <c r="O244" s="71" t="s">
        <v>114</v>
      </c>
      <c r="P244" s="71" t="s">
        <v>102</v>
      </c>
      <c r="Q244" s="61" t="s">
        <v>170</v>
      </c>
      <c r="R244" s="63" t="s">
        <v>106</v>
      </c>
      <c r="S244" s="72" t="s">
        <v>745</v>
      </c>
      <c r="T244" s="61" t="s">
        <v>405</v>
      </c>
      <c r="U244" s="73" t="s">
        <v>752</v>
      </c>
      <c r="V244" s="62">
        <v>107605</v>
      </c>
      <c r="W244" s="62" t="s">
        <v>464</v>
      </c>
      <c r="X244" s="62" t="s">
        <v>402</v>
      </c>
      <c r="Y244" s="93">
        <v>1</v>
      </c>
      <c r="Z244" s="94">
        <v>1</v>
      </c>
      <c r="AA244" s="74">
        <v>0</v>
      </c>
      <c r="AB244" s="75">
        <v>0</v>
      </c>
      <c r="AC244" s="75">
        <v>0</v>
      </c>
      <c r="AD244" s="76">
        <v>0</v>
      </c>
      <c r="AE244" s="77">
        <v>0.28125</v>
      </c>
      <c r="AF244" s="75">
        <v>0.8125</v>
      </c>
      <c r="AG244" s="78">
        <v>45.89898569102855</v>
      </c>
      <c r="AH244" s="79">
        <v>55.078782829234257</v>
      </c>
      <c r="AI244" s="74">
        <v>27.539391414617128</v>
      </c>
      <c r="AJ244" s="75">
        <v>0</v>
      </c>
      <c r="AK244" s="75">
        <v>0</v>
      </c>
      <c r="AL244" s="80">
        <v>27.539391414617128</v>
      </c>
      <c r="AM244" s="74">
        <v>0</v>
      </c>
      <c r="AN244" s="74">
        <v>0</v>
      </c>
      <c r="AO244" s="81" t="s">
        <v>403</v>
      </c>
      <c r="AP244" s="82">
        <v>0</v>
      </c>
      <c r="AQ244" s="75">
        <v>0</v>
      </c>
      <c r="AR244" s="75">
        <v>0</v>
      </c>
      <c r="AS244" s="80">
        <v>0</v>
      </c>
      <c r="AT244" s="74">
        <v>0.9363393080993081</v>
      </c>
      <c r="AU244" s="75">
        <v>1.3815594692714692</v>
      </c>
      <c r="AV244" s="75">
        <v>1.8175998333624048</v>
      </c>
      <c r="AW244" s="75">
        <v>0.85739305273562416</v>
      </c>
      <c r="AX244" s="80">
        <v>4.9928916634688054</v>
      </c>
      <c r="AY244" s="81">
        <v>0</v>
      </c>
      <c r="AZ244" s="83" t="s">
        <v>403</v>
      </c>
      <c r="BA244" s="80" t="s">
        <v>403</v>
      </c>
      <c r="BB244" s="84">
        <v>15.184302446305022</v>
      </c>
      <c r="BC244" s="85">
        <v>8.3540404040505205</v>
      </c>
      <c r="BD244" s="86">
        <v>0.3308199999999773</v>
      </c>
      <c r="BE244" s="84">
        <v>16.041695499040646</v>
      </c>
      <c r="BF244" s="87">
        <v>5.9969114618620232</v>
      </c>
      <c r="BG244" s="88">
        <v>0.34950000000057013</v>
      </c>
      <c r="BH244" s="89">
        <v>0</v>
      </c>
      <c r="BI244" s="90">
        <v>0.6</v>
      </c>
      <c r="BJ244" s="90">
        <v>0.10877999999997211</v>
      </c>
      <c r="BK244" s="91">
        <v>0.7087799999999721</v>
      </c>
      <c r="BL244" s="92">
        <v>13.366702612942618</v>
      </c>
      <c r="BM244" s="95">
        <v>0</v>
      </c>
      <c r="BN244" t="s">
        <v>402</v>
      </c>
      <c r="BO244">
        <v>0.85994999999999999</v>
      </c>
    </row>
    <row r="245" spans="1:67">
      <c r="A245" s="61" t="str">
        <f t="shared" si="4"/>
        <v>UK</v>
      </c>
      <c r="B245" s="62" t="s">
        <v>64</v>
      </c>
      <c r="C245" s="62" t="s">
        <v>176</v>
      </c>
      <c r="D245" s="63" t="s">
        <v>97</v>
      </c>
      <c r="E245" s="64">
        <v>43831</v>
      </c>
      <c r="F245" s="64">
        <v>43921</v>
      </c>
      <c r="G245" s="65">
        <v>43995</v>
      </c>
      <c r="H245" s="66" t="s">
        <v>132</v>
      </c>
      <c r="I245" s="67">
        <v>3</v>
      </c>
      <c r="J245" s="68">
        <v>2020</v>
      </c>
      <c r="K245" s="69">
        <v>1</v>
      </c>
      <c r="L245" s="70">
        <v>3</v>
      </c>
      <c r="M245" s="71" t="s">
        <v>140</v>
      </c>
      <c r="N245" s="71" t="s">
        <v>18</v>
      </c>
      <c r="O245" s="71" t="s">
        <v>114</v>
      </c>
      <c r="P245" s="71" t="s">
        <v>102</v>
      </c>
      <c r="Q245" s="61" t="s">
        <v>170</v>
      </c>
      <c r="R245" s="63" t="s">
        <v>165</v>
      </c>
      <c r="S245" s="72" t="s">
        <v>745</v>
      </c>
      <c r="T245" s="61" t="s">
        <v>405</v>
      </c>
      <c r="U245" s="73" t="s">
        <v>753</v>
      </c>
      <c r="V245" s="62">
        <v>106877</v>
      </c>
      <c r="W245" s="62" t="s">
        <v>747</v>
      </c>
      <c r="X245" s="62" t="s">
        <v>402</v>
      </c>
      <c r="Y245" s="93">
        <v>1</v>
      </c>
      <c r="Z245" s="94">
        <v>1</v>
      </c>
      <c r="AA245" s="74">
        <v>0</v>
      </c>
      <c r="AB245" s="75">
        <v>0</v>
      </c>
      <c r="AC245" s="75">
        <v>0</v>
      </c>
      <c r="AD245" s="76">
        <v>0</v>
      </c>
      <c r="AE245" s="77">
        <v>0.11917808219999999</v>
      </c>
      <c r="AF245" s="75">
        <v>0.22602739729999999</v>
      </c>
      <c r="AG245" s="78">
        <v>50.314607422524567</v>
      </c>
      <c r="AH245" s="79">
        <v>60.377528907494622</v>
      </c>
      <c r="AI245" s="74">
        <v>30.188764453747311</v>
      </c>
      <c r="AJ245" s="75">
        <v>0</v>
      </c>
      <c r="AK245" s="75">
        <v>0</v>
      </c>
      <c r="AL245" s="80">
        <v>30.188764453747311</v>
      </c>
      <c r="AM245" s="74">
        <v>0</v>
      </c>
      <c r="AN245" s="74">
        <v>0</v>
      </c>
      <c r="AO245" s="81" t="s">
        <v>403</v>
      </c>
      <c r="AP245" s="82">
        <v>0</v>
      </c>
      <c r="AQ245" s="75">
        <v>0</v>
      </c>
      <c r="AR245" s="75">
        <v>0</v>
      </c>
      <c r="AS245" s="80">
        <v>0</v>
      </c>
      <c r="AT245" s="74">
        <v>1.0264179913948486</v>
      </c>
      <c r="AU245" s="75">
        <v>1.5144696834699691</v>
      </c>
      <c r="AV245" s="75">
        <v>1.9924584539798826</v>
      </c>
      <c r="AW245" s="75">
        <v>0.93987686667829518</v>
      </c>
      <c r="AX245" s="80">
        <v>5.4732229955229954</v>
      </c>
      <c r="AY245" s="81">
        <v>0</v>
      </c>
      <c r="AZ245" s="83" t="s">
        <v>403</v>
      </c>
      <c r="BA245" s="80" t="s">
        <v>403</v>
      </c>
      <c r="BB245" s="84">
        <v>16.645078427234139</v>
      </c>
      <c r="BC245" s="85">
        <v>8.354040403696267</v>
      </c>
      <c r="BD245" s="86">
        <v>0.33081999999432693</v>
      </c>
      <c r="BE245" s="84">
        <v>17.584955293912437</v>
      </c>
      <c r="BF245" s="87">
        <v>5.9969114616691934</v>
      </c>
      <c r="BG245" s="88">
        <v>0.3494999999948345</v>
      </c>
      <c r="BH245" s="89">
        <v>0</v>
      </c>
      <c r="BI245" s="90">
        <v>0.60000000000462228</v>
      </c>
      <c r="BJ245" s="90">
        <v>0.10878000000200286</v>
      </c>
      <c r="BK245" s="91">
        <v>0.70878000000662511</v>
      </c>
      <c r="BL245" s="92">
        <v>14.652619973254261</v>
      </c>
      <c r="BM245" s="95">
        <v>0</v>
      </c>
      <c r="BN245" t="s">
        <v>402</v>
      </c>
      <c r="BO245">
        <v>0.85994999999999999</v>
      </c>
    </row>
    <row r="246" spans="1:67">
      <c r="A246" s="61" t="str">
        <f t="shared" si="4"/>
        <v>UK</v>
      </c>
      <c r="B246" s="62" t="s">
        <v>64</v>
      </c>
      <c r="C246" s="62" t="s">
        <v>176</v>
      </c>
      <c r="D246" s="63" t="s">
        <v>97</v>
      </c>
      <c r="E246" s="64">
        <v>43831</v>
      </c>
      <c r="F246" s="64">
        <v>43921</v>
      </c>
      <c r="G246" s="65">
        <v>43995</v>
      </c>
      <c r="H246" s="66" t="s">
        <v>132</v>
      </c>
      <c r="I246" s="67">
        <v>3</v>
      </c>
      <c r="J246" s="68">
        <v>2020</v>
      </c>
      <c r="K246" s="69">
        <v>1</v>
      </c>
      <c r="L246" s="70">
        <v>3</v>
      </c>
      <c r="M246" s="71" t="s">
        <v>140</v>
      </c>
      <c r="N246" s="71" t="s">
        <v>18</v>
      </c>
      <c r="O246" s="71" t="s">
        <v>114</v>
      </c>
      <c r="P246" s="71" t="s">
        <v>102</v>
      </c>
      <c r="Q246" s="61" t="s">
        <v>170</v>
      </c>
      <c r="R246" s="63" t="s">
        <v>112</v>
      </c>
      <c r="S246" s="72" t="s">
        <v>745</v>
      </c>
      <c r="T246" s="61" t="s">
        <v>405</v>
      </c>
      <c r="U246" s="73" t="s">
        <v>754</v>
      </c>
      <c r="V246" s="62">
        <v>107603</v>
      </c>
      <c r="W246" s="62" t="s">
        <v>464</v>
      </c>
      <c r="X246" s="62" t="s">
        <v>402</v>
      </c>
      <c r="Y246" s="93">
        <v>1</v>
      </c>
      <c r="Z246" s="94">
        <v>1</v>
      </c>
      <c r="AA246" s="74">
        <v>0</v>
      </c>
      <c r="AB246" s="75">
        <v>0</v>
      </c>
      <c r="AC246" s="75">
        <v>0</v>
      </c>
      <c r="AD246" s="76">
        <v>0</v>
      </c>
      <c r="AE246" s="77">
        <v>3.3206826858</v>
      </c>
      <c r="AF246" s="75">
        <v>9.4067482596000005</v>
      </c>
      <c r="AG246" s="78">
        <v>496.53528966800394</v>
      </c>
      <c r="AH246" s="79">
        <v>595.8423476132333</v>
      </c>
      <c r="AI246" s="74">
        <v>297.92117380080236</v>
      </c>
      <c r="AJ246" s="75">
        <v>0</v>
      </c>
      <c r="AK246" s="75">
        <v>0</v>
      </c>
      <c r="AL246" s="80">
        <v>297.92117380080236</v>
      </c>
      <c r="AM246" s="74">
        <v>0</v>
      </c>
      <c r="AN246" s="74">
        <v>0</v>
      </c>
      <c r="AO246" s="81" t="s">
        <v>403</v>
      </c>
      <c r="AP246" s="82">
        <v>0</v>
      </c>
      <c r="AQ246" s="75">
        <v>0</v>
      </c>
      <c r="AR246" s="75">
        <v>0</v>
      </c>
      <c r="AS246" s="80">
        <v>0</v>
      </c>
      <c r="AT246" s="74">
        <v>10.129319909297053</v>
      </c>
      <c r="AU246" s="75">
        <v>14.945712219315075</v>
      </c>
      <c r="AV246" s="75">
        <v>19.662797470783186</v>
      </c>
      <c r="AW246" s="75">
        <v>9.275279211116926</v>
      </c>
      <c r="AX246" s="80">
        <v>54.013108810512236</v>
      </c>
      <c r="AY246" s="81">
        <v>0</v>
      </c>
      <c r="AZ246" s="83" t="s">
        <v>403</v>
      </c>
      <c r="BA246" s="80" t="s">
        <v>403</v>
      </c>
      <c r="BB246" s="84">
        <v>164.26380452747253</v>
      </c>
      <c r="BC246" s="85">
        <v>8.3540404040447953</v>
      </c>
      <c r="BD246" s="86">
        <v>0.33081999999900003</v>
      </c>
      <c r="BE246" s="84">
        <v>173.53908373858945</v>
      </c>
      <c r="BF246" s="87">
        <v>5.9969114618848485</v>
      </c>
      <c r="BG246" s="88">
        <v>0.34949999999923886</v>
      </c>
      <c r="BH246" s="89">
        <v>0</v>
      </c>
      <c r="BI246" s="90">
        <v>0.6</v>
      </c>
      <c r="BJ246" s="90">
        <v>0.10878000000085949</v>
      </c>
      <c r="BK246" s="91">
        <v>0.7087800000008595</v>
      </c>
      <c r="BL246" s="92">
        <v>144.60100705668935</v>
      </c>
      <c r="BM246" s="95">
        <v>0</v>
      </c>
      <c r="BN246" t="s">
        <v>402</v>
      </c>
      <c r="BO246">
        <v>0.85994999999999999</v>
      </c>
    </row>
    <row r="247" spans="1:67">
      <c r="A247" s="61" t="str">
        <f t="shared" si="4"/>
        <v>UK</v>
      </c>
      <c r="B247" s="62" t="s">
        <v>64</v>
      </c>
      <c r="C247" s="62" t="s">
        <v>176</v>
      </c>
      <c r="D247" s="63" t="s">
        <v>97</v>
      </c>
      <c r="E247" s="64">
        <v>43831</v>
      </c>
      <c r="F247" s="64">
        <v>43921</v>
      </c>
      <c r="G247" s="65">
        <v>43995</v>
      </c>
      <c r="H247" s="66" t="s">
        <v>132</v>
      </c>
      <c r="I247" s="67">
        <v>3</v>
      </c>
      <c r="J247" s="68">
        <v>2020</v>
      </c>
      <c r="K247" s="69">
        <v>1</v>
      </c>
      <c r="L247" s="70">
        <v>3</v>
      </c>
      <c r="M247" s="71" t="s">
        <v>140</v>
      </c>
      <c r="N247" s="71" t="s">
        <v>18</v>
      </c>
      <c r="O247" s="71" t="s">
        <v>114</v>
      </c>
      <c r="P247" s="71" t="s">
        <v>102</v>
      </c>
      <c r="Q247" s="61" t="s">
        <v>170</v>
      </c>
      <c r="R247" s="63" t="s">
        <v>165</v>
      </c>
      <c r="S247" s="72" t="s">
        <v>745</v>
      </c>
      <c r="T247" s="61" t="s">
        <v>405</v>
      </c>
      <c r="U247" s="73" t="s">
        <v>755</v>
      </c>
      <c r="V247" s="62">
        <v>107166</v>
      </c>
      <c r="W247" s="62" t="s">
        <v>556</v>
      </c>
      <c r="X247" s="62" t="s">
        <v>402</v>
      </c>
      <c r="Y247" s="93">
        <v>1</v>
      </c>
      <c r="Z247" s="94">
        <v>1</v>
      </c>
      <c r="AA247" s="74">
        <v>0</v>
      </c>
      <c r="AB247" s="75">
        <v>0</v>
      </c>
      <c r="AC247" s="75">
        <v>0</v>
      </c>
      <c r="AD247" s="76">
        <v>0</v>
      </c>
      <c r="AE247" s="77">
        <v>0.18442622950000001</v>
      </c>
      <c r="AF247" s="75">
        <v>0.18442622950000001</v>
      </c>
      <c r="AG247" s="78">
        <v>53.240084350252921</v>
      </c>
      <c r="AH247" s="79">
        <v>63.888101221001229</v>
      </c>
      <c r="AI247" s="74">
        <v>31.944050609919181</v>
      </c>
      <c r="AJ247" s="75">
        <v>0</v>
      </c>
      <c r="AK247" s="75">
        <v>0</v>
      </c>
      <c r="AL247" s="80">
        <v>31.944050609919181</v>
      </c>
      <c r="AM247" s="74">
        <v>0</v>
      </c>
      <c r="AN247" s="74">
        <v>0</v>
      </c>
      <c r="AO247" s="81" t="s">
        <v>403</v>
      </c>
      <c r="AP247" s="82">
        <v>0</v>
      </c>
      <c r="AQ247" s="75">
        <v>0</v>
      </c>
      <c r="AR247" s="75">
        <v>0</v>
      </c>
      <c r="AS247" s="80">
        <v>0</v>
      </c>
      <c r="AT247" s="74">
        <v>1.0860977207977209</v>
      </c>
      <c r="AU247" s="75">
        <v>1.6025265389848247</v>
      </c>
      <c r="AV247" s="75">
        <v>2.1083073403104833</v>
      </c>
      <c r="AW247" s="75">
        <v>0.99452477562648989</v>
      </c>
      <c r="AX247" s="80">
        <v>5.7914563757195179</v>
      </c>
      <c r="AY247" s="81">
        <v>0</v>
      </c>
      <c r="AZ247" s="83" t="s">
        <v>403</v>
      </c>
      <c r="BA247" s="80" t="s">
        <v>403</v>
      </c>
      <c r="BB247" s="84">
        <v>17.612884704924703</v>
      </c>
      <c r="BC247" s="85">
        <v>8.3540404039625997</v>
      </c>
      <c r="BD247" s="86">
        <v>0.33082000000326878</v>
      </c>
      <c r="BE247" s="84">
        <v>18.60740948055119</v>
      </c>
      <c r="BF247" s="87">
        <v>5.9969114619442587</v>
      </c>
      <c r="BG247" s="88">
        <v>0.34950000000258818</v>
      </c>
      <c r="BH247" s="89">
        <v>0</v>
      </c>
      <c r="BI247" s="90">
        <v>0.59999999999563158</v>
      </c>
      <c r="BJ247" s="90">
        <v>0.1087800000018596</v>
      </c>
      <c r="BK247" s="91">
        <v>0.70877999999749119</v>
      </c>
      <c r="BL247" s="92">
        <v>15.504577364614221</v>
      </c>
      <c r="BM247" s="95">
        <v>0</v>
      </c>
      <c r="BN247" t="s">
        <v>402</v>
      </c>
      <c r="BO247">
        <v>0.85994999999999999</v>
      </c>
    </row>
    <row r="248" spans="1:67">
      <c r="A248" s="61" t="str">
        <f t="shared" si="4"/>
        <v>UK</v>
      </c>
      <c r="B248" s="62" t="s">
        <v>64</v>
      </c>
      <c r="C248" s="62" t="s">
        <v>176</v>
      </c>
      <c r="D248" s="63" t="s">
        <v>97</v>
      </c>
      <c r="E248" s="64">
        <v>43831</v>
      </c>
      <c r="F248" s="64">
        <v>43921</v>
      </c>
      <c r="G248" s="65">
        <v>43995</v>
      </c>
      <c r="H248" s="66" t="s">
        <v>132</v>
      </c>
      <c r="I248" s="67">
        <v>3</v>
      </c>
      <c r="J248" s="68">
        <v>2020</v>
      </c>
      <c r="K248" s="69">
        <v>1</v>
      </c>
      <c r="L248" s="70">
        <v>3</v>
      </c>
      <c r="M248" s="71" t="s">
        <v>140</v>
      </c>
      <c r="N248" s="71" t="s">
        <v>18</v>
      </c>
      <c r="O248" s="71" t="s">
        <v>114</v>
      </c>
      <c r="P248" s="71" t="s">
        <v>102</v>
      </c>
      <c r="Q248" s="61" t="s">
        <v>170</v>
      </c>
      <c r="R248" s="63" t="s">
        <v>165</v>
      </c>
      <c r="S248" s="72" t="s">
        <v>745</v>
      </c>
      <c r="T248" s="61" t="s">
        <v>405</v>
      </c>
      <c r="U248" s="73" t="s">
        <v>756</v>
      </c>
      <c r="V248" s="62">
        <v>107163</v>
      </c>
      <c r="W248" s="62" t="s">
        <v>556</v>
      </c>
      <c r="X248" s="62" t="s">
        <v>402</v>
      </c>
      <c r="Y248" s="93">
        <v>1</v>
      </c>
      <c r="Z248" s="94">
        <v>1</v>
      </c>
      <c r="AA248" s="74">
        <v>0</v>
      </c>
      <c r="AB248" s="75">
        <v>0</v>
      </c>
      <c r="AC248" s="75">
        <v>0</v>
      </c>
      <c r="AD248" s="76">
        <v>0</v>
      </c>
      <c r="AE248" s="77">
        <v>7.7098039215999998</v>
      </c>
      <c r="AF248" s="75">
        <v>13.751470588</v>
      </c>
      <c r="AG248" s="78">
        <v>197.95260938426654</v>
      </c>
      <c r="AH248" s="79">
        <v>237.54313126344556</v>
      </c>
      <c r="AI248" s="74">
        <v>118.77156562590849</v>
      </c>
      <c r="AJ248" s="75">
        <v>0</v>
      </c>
      <c r="AK248" s="75">
        <v>0</v>
      </c>
      <c r="AL248" s="80">
        <v>118.77156562590849</v>
      </c>
      <c r="AM248" s="74">
        <v>0</v>
      </c>
      <c r="AN248" s="74">
        <v>0</v>
      </c>
      <c r="AO248" s="81" t="s">
        <v>403</v>
      </c>
      <c r="AP248" s="82">
        <v>0</v>
      </c>
      <c r="AQ248" s="75">
        <v>0</v>
      </c>
      <c r="AR248" s="75">
        <v>0</v>
      </c>
      <c r="AS248" s="80">
        <v>0</v>
      </c>
      <c r="AT248" s="74">
        <v>4.0382332313506595</v>
      </c>
      <c r="AU248" s="75">
        <v>5.9583735424152566</v>
      </c>
      <c r="AV248" s="75">
        <v>7.8389233314727598</v>
      </c>
      <c r="AW248" s="75">
        <v>3.6977547432990288</v>
      </c>
      <c r="AX248" s="80">
        <v>21.533284848537704</v>
      </c>
      <c r="AY248" s="81">
        <v>0</v>
      </c>
      <c r="AZ248" s="83" t="s">
        <v>403</v>
      </c>
      <c r="BA248" s="80" t="s">
        <v>403</v>
      </c>
      <c r="BB248" s="84">
        <v>65.486682241293124</v>
      </c>
      <c r="BC248" s="85">
        <v>8.3540404048051364</v>
      </c>
      <c r="BD248" s="86">
        <v>0.33082000002419804</v>
      </c>
      <c r="BE248" s="84">
        <v>69.184436984592139</v>
      </c>
      <c r="BF248" s="87">
        <v>5.9969114623977839</v>
      </c>
      <c r="BG248" s="88">
        <v>0.34950000002420267</v>
      </c>
      <c r="BH248" s="89">
        <v>0</v>
      </c>
      <c r="BI248" s="90">
        <v>0.59999999997650233</v>
      </c>
      <c r="BJ248" s="90">
        <v>0.10877999999857133</v>
      </c>
      <c r="BK248" s="91">
        <v>0.70877999997507368</v>
      </c>
      <c r="BL248" s="92">
        <v>57.64775890982034</v>
      </c>
      <c r="BM248" s="95">
        <v>0</v>
      </c>
      <c r="BN248" t="s">
        <v>402</v>
      </c>
      <c r="BO248">
        <v>0.85994999999999999</v>
      </c>
    </row>
    <row r="249" spans="1:67">
      <c r="A249" s="61" t="str">
        <f t="shared" si="4"/>
        <v>UK</v>
      </c>
      <c r="B249" s="62" t="s">
        <v>64</v>
      </c>
      <c r="C249" s="62" t="s">
        <v>176</v>
      </c>
      <c r="D249" s="63" t="s">
        <v>97</v>
      </c>
      <c r="E249" s="64">
        <v>43831</v>
      </c>
      <c r="F249" s="64">
        <v>43921</v>
      </c>
      <c r="G249" s="65">
        <v>43995</v>
      </c>
      <c r="H249" s="66" t="s">
        <v>132</v>
      </c>
      <c r="I249" s="67">
        <v>3</v>
      </c>
      <c r="J249" s="68">
        <v>2020</v>
      </c>
      <c r="K249" s="69">
        <v>1</v>
      </c>
      <c r="L249" s="70">
        <v>3</v>
      </c>
      <c r="M249" s="71" t="s">
        <v>140</v>
      </c>
      <c r="N249" s="71" t="s">
        <v>18</v>
      </c>
      <c r="O249" s="71" t="s">
        <v>114</v>
      </c>
      <c r="P249" s="71" t="s">
        <v>102</v>
      </c>
      <c r="Q249" s="61" t="s">
        <v>170</v>
      </c>
      <c r="R249" s="63" t="s">
        <v>165</v>
      </c>
      <c r="S249" s="72" t="s">
        <v>745</v>
      </c>
      <c r="T249" s="61" t="s">
        <v>405</v>
      </c>
      <c r="U249" s="73" t="s">
        <v>757</v>
      </c>
      <c r="V249" s="62">
        <v>107160</v>
      </c>
      <c r="W249" s="62" t="s">
        <v>556</v>
      </c>
      <c r="X249" s="62" t="s">
        <v>402</v>
      </c>
      <c r="Y249" s="93">
        <v>1</v>
      </c>
      <c r="Z249" s="94">
        <v>1</v>
      </c>
      <c r="AA249" s="74">
        <v>0</v>
      </c>
      <c r="AB249" s="75">
        <v>0</v>
      </c>
      <c r="AC249" s="75">
        <v>0</v>
      </c>
      <c r="AD249" s="76">
        <v>0</v>
      </c>
      <c r="AE249" s="77">
        <v>0.18442622950000001</v>
      </c>
      <c r="AF249" s="75">
        <v>1.1065573769999999</v>
      </c>
      <c r="AG249" s="78">
        <v>26.058867835339267</v>
      </c>
      <c r="AH249" s="79">
        <v>31.270641402407115</v>
      </c>
      <c r="AI249" s="74">
        <v>15.635320701203558</v>
      </c>
      <c r="AJ249" s="75">
        <v>0</v>
      </c>
      <c r="AK249" s="75">
        <v>0</v>
      </c>
      <c r="AL249" s="80">
        <v>15.635320701203558</v>
      </c>
      <c r="AM249" s="74">
        <v>0</v>
      </c>
      <c r="AN249" s="74">
        <v>0</v>
      </c>
      <c r="AO249" s="81" t="s">
        <v>403</v>
      </c>
      <c r="AP249" s="82">
        <v>0</v>
      </c>
      <c r="AQ249" s="75">
        <v>0</v>
      </c>
      <c r="AR249" s="75">
        <v>0</v>
      </c>
      <c r="AS249" s="80">
        <v>0</v>
      </c>
      <c r="AT249" s="74">
        <v>0.531600903889761</v>
      </c>
      <c r="AU249" s="75">
        <v>0.78437192185592186</v>
      </c>
      <c r="AV249" s="75">
        <v>1.0319311663468806</v>
      </c>
      <c r="AW249" s="75">
        <v>0.48677965114250826</v>
      </c>
      <c r="AX249" s="80">
        <v>2.8346836432350715</v>
      </c>
      <c r="AY249" s="81">
        <v>0</v>
      </c>
      <c r="AZ249" s="83" t="s">
        <v>403</v>
      </c>
      <c r="BA249" s="80" t="s">
        <v>403</v>
      </c>
      <c r="BB249" s="84">
        <v>8.6207946572475187</v>
      </c>
      <c r="BC249" s="85">
        <v>8.3540404034561977</v>
      </c>
      <c r="BD249" s="86">
        <v>0.33081999999848738</v>
      </c>
      <c r="BE249" s="84">
        <v>9.1075743083900278</v>
      </c>
      <c r="BF249" s="87">
        <v>5.9969114616869197</v>
      </c>
      <c r="BG249" s="88">
        <v>0.34949999999765735</v>
      </c>
      <c r="BH249" s="89">
        <v>0</v>
      </c>
      <c r="BI249" s="90">
        <v>0.59999999999999987</v>
      </c>
      <c r="BJ249" s="90">
        <v>0.10878000000410094</v>
      </c>
      <c r="BK249" s="91">
        <v>0.7087800000041008</v>
      </c>
      <c r="BL249" s="92">
        <v>7.5888634909006392</v>
      </c>
      <c r="BM249" s="95">
        <v>0</v>
      </c>
      <c r="BN249" t="s">
        <v>402</v>
      </c>
      <c r="BO249">
        <v>0.85994999999999999</v>
      </c>
    </row>
    <row r="250" spans="1:67">
      <c r="A250" s="61" t="str">
        <f t="shared" si="4"/>
        <v>UK</v>
      </c>
      <c r="B250" s="62" t="s">
        <v>64</v>
      </c>
      <c r="C250" s="62" t="s">
        <v>176</v>
      </c>
      <c r="D250" s="63" t="s">
        <v>97</v>
      </c>
      <c r="E250" s="64">
        <v>43831</v>
      </c>
      <c r="F250" s="64">
        <v>43921</v>
      </c>
      <c r="G250" s="65">
        <v>43995</v>
      </c>
      <c r="H250" s="66" t="s">
        <v>132</v>
      </c>
      <c r="I250" s="67">
        <v>3</v>
      </c>
      <c r="J250" s="68">
        <v>2020</v>
      </c>
      <c r="K250" s="69">
        <v>1</v>
      </c>
      <c r="L250" s="70">
        <v>3</v>
      </c>
      <c r="M250" s="71" t="s">
        <v>140</v>
      </c>
      <c r="N250" s="71" t="s">
        <v>18</v>
      </c>
      <c r="O250" s="71" t="s">
        <v>114</v>
      </c>
      <c r="P250" s="71" t="s">
        <v>102</v>
      </c>
      <c r="Q250" s="61" t="s">
        <v>170</v>
      </c>
      <c r="R250" s="63" t="s">
        <v>165</v>
      </c>
      <c r="S250" s="72" t="s">
        <v>745</v>
      </c>
      <c r="T250" s="61" t="s">
        <v>405</v>
      </c>
      <c r="U250" s="73" t="s">
        <v>758</v>
      </c>
      <c r="V250" s="62">
        <v>107157</v>
      </c>
      <c r="W250" s="62" t="s">
        <v>556</v>
      </c>
      <c r="X250" s="62" t="s">
        <v>402</v>
      </c>
      <c r="Y250" s="93">
        <v>1</v>
      </c>
      <c r="Z250" s="94">
        <v>1</v>
      </c>
      <c r="AA250" s="74">
        <v>0</v>
      </c>
      <c r="AB250" s="75">
        <v>0</v>
      </c>
      <c r="AC250" s="75">
        <v>0</v>
      </c>
      <c r="AD250" s="76">
        <v>0</v>
      </c>
      <c r="AE250" s="77">
        <v>2.8666666667</v>
      </c>
      <c r="AF250" s="75">
        <v>5.0833333332999997</v>
      </c>
      <c r="AG250" s="78">
        <v>42.166857395197397</v>
      </c>
      <c r="AH250" s="79">
        <v>50.600228874934594</v>
      </c>
      <c r="AI250" s="74">
        <v>25.300114436885863</v>
      </c>
      <c r="AJ250" s="75">
        <v>0</v>
      </c>
      <c r="AK250" s="75">
        <v>0</v>
      </c>
      <c r="AL250" s="80">
        <v>25.300114436885863</v>
      </c>
      <c r="AM250" s="74">
        <v>0</v>
      </c>
      <c r="AN250" s="74">
        <v>0</v>
      </c>
      <c r="AO250" s="81" t="s">
        <v>403</v>
      </c>
      <c r="AP250" s="82">
        <v>0</v>
      </c>
      <c r="AQ250" s="75">
        <v>0</v>
      </c>
      <c r="AR250" s="75">
        <v>0</v>
      </c>
      <c r="AS250" s="80">
        <v>0</v>
      </c>
      <c r="AT250" s="74">
        <v>0.86020389080760506</v>
      </c>
      <c r="AU250" s="75">
        <v>1.2692224075818364</v>
      </c>
      <c r="AV250" s="75">
        <v>1.6698075528809815</v>
      </c>
      <c r="AW250" s="75">
        <v>0.78767689609861036</v>
      </c>
      <c r="AX250" s="80">
        <v>4.5869107473690338</v>
      </c>
      <c r="AY250" s="81">
        <v>0</v>
      </c>
      <c r="AZ250" s="83" t="s">
        <v>403</v>
      </c>
      <c r="BA250" s="80" t="s">
        <v>403</v>
      </c>
      <c r="BB250" s="84">
        <v>13.949639763823484</v>
      </c>
      <c r="BC250" s="85">
        <v>8.3540404040906679</v>
      </c>
      <c r="BD250" s="86">
        <v>0.33082000000816475</v>
      </c>
      <c r="BE250" s="84">
        <v>14.737316659922094</v>
      </c>
      <c r="BF250" s="87">
        <v>5.9969114620608854</v>
      </c>
      <c r="BG250" s="88">
        <v>0.34950000000712889</v>
      </c>
      <c r="BH250" s="89">
        <v>0</v>
      </c>
      <c r="BI250" s="90">
        <v>0.59999999999448439</v>
      </c>
      <c r="BJ250" s="90">
        <v>0.10877999999808999</v>
      </c>
      <c r="BK250" s="91">
        <v>0.70877999999257435</v>
      </c>
      <c r="BL250" s="92">
        <v>12.279832210942502</v>
      </c>
      <c r="BM250" s="95">
        <v>0</v>
      </c>
      <c r="BN250" t="s">
        <v>402</v>
      </c>
      <c r="BO250">
        <v>0.85994999999999999</v>
      </c>
    </row>
    <row r="251" spans="1:67">
      <c r="A251" s="61" t="str">
        <f t="shared" si="4"/>
        <v>UK</v>
      </c>
      <c r="B251" s="62" t="s">
        <v>64</v>
      </c>
      <c r="C251" s="62" t="s">
        <v>176</v>
      </c>
      <c r="D251" s="63" t="s">
        <v>97</v>
      </c>
      <c r="E251" s="64">
        <v>43831</v>
      </c>
      <c r="F251" s="64">
        <v>43921</v>
      </c>
      <c r="G251" s="65">
        <v>43995</v>
      </c>
      <c r="H251" s="66" t="s">
        <v>132</v>
      </c>
      <c r="I251" s="67">
        <v>3</v>
      </c>
      <c r="J251" s="68">
        <v>2020</v>
      </c>
      <c r="K251" s="69">
        <v>1</v>
      </c>
      <c r="L251" s="70">
        <v>3</v>
      </c>
      <c r="M251" s="71" t="s">
        <v>140</v>
      </c>
      <c r="N251" s="71" t="s">
        <v>18</v>
      </c>
      <c r="O251" s="71" t="s">
        <v>114</v>
      </c>
      <c r="P251" s="71" t="s">
        <v>102</v>
      </c>
      <c r="Q251" s="61" t="s">
        <v>170</v>
      </c>
      <c r="R251" s="63" t="s">
        <v>165</v>
      </c>
      <c r="S251" s="72" t="s">
        <v>745</v>
      </c>
      <c r="T251" s="61" t="s">
        <v>405</v>
      </c>
      <c r="U251" s="73" t="s">
        <v>759</v>
      </c>
      <c r="V251" s="62">
        <v>107167</v>
      </c>
      <c r="W251" s="62" t="s">
        <v>556</v>
      </c>
      <c r="X251" s="62" t="s">
        <v>402</v>
      </c>
      <c r="Y251" s="93">
        <v>1</v>
      </c>
      <c r="Z251" s="94">
        <v>1</v>
      </c>
      <c r="AA251" s="74">
        <v>0</v>
      </c>
      <c r="AB251" s="75">
        <v>0</v>
      </c>
      <c r="AC251" s="75">
        <v>0</v>
      </c>
      <c r="AD251" s="76">
        <v>0</v>
      </c>
      <c r="AE251" s="77">
        <v>1.1065573769999999</v>
      </c>
      <c r="AF251" s="75">
        <v>1.8442622951000001</v>
      </c>
      <c r="AG251" s="78">
        <v>189.33382680388394</v>
      </c>
      <c r="AH251" s="79">
        <v>227.20059216233503</v>
      </c>
      <c r="AI251" s="74">
        <v>113.60029608116751</v>
      </c>
      <c r="AJ251" s="75">
        <v>0</v>
      </c>
      <c r="AK251" s="75">
        <v>0</v>
      </c>
      <c r="AL251" s="80">
        <v>113.60029608116751</v>
      </c>
      <c r="AM251" s="74">
        <v>0</v>
      </c>
      <c r="AN251" s="74">
        <v>0</v>
      </c>
      <c r="AO251" s="81" t="s">
        <v>403</v>
      </c>
      <c r="AP251" s="82">
        <v>0</v>
      </c>
      <c r="AQ251" s="75">
        <v>0</v>
      </c>
      <c r="AR251" s="75">
        <v>0</v>
      </c>
      <c r="AS251" s="80">
        <v>0</v>
      </c>
      <c r="AT251" s="74">
        <v>3.8624100667480668</v>
      </c>
      <c r="AU251" s="75">
        <v>5.698948186755044</v>
      </c>
      <c r="AV251" s="75">
        <v>7.4976195413686844</v>
      </c>
      <c r="AW251" s="75">
        <v>3.5367558846444558</v>
      </c>
      <c r="AX251" s="80">
        <v>20.59573367951625</v>
      </c>
      <c r="AY251" s="81">
        <v>0</v>
      </c>
      <c r="AZ251" s="83" t="s">
        <v>403</v>
      </c>
      <c r="BA251" s="80" t="s">
        <v>403</v>
      </c>
      <c r="BB251" s="84">
        <v>62.635416584568858</v>
      </c>
      <c r="BC251" s="85">
        <v>8.3540404042874137</v>
      </c>
      <c r="BD251" s="86">
        <v>0.33082000000690831</v>
      </c>
      <c r="BE251" s="84">
        <v>66.172172469213308</v>
      </c>
      <c r="BF251" s="87">
        <v>5.9969114620855484</v>
      </c>
      <c r="BG251" s="88">
        <v>0.34950000000663312</v>
      </c>
      <c r="BH251" s="89">
        <v>0</v>
      </c>
      <c r="BI251" s="90">
        <v>0.59999999999385822</v>
      </c>
      <c r="BJ251" s="90">
        <v>0.10877999999888956</v>
      </c>
      <c r="BK251" s="91">
        <v>0.70877999999274777</v>
      </c>
      <c r="BL251" s="92">
        <v>55.13779704320018</v>
      </c>
      <c r="BM251" s="95">
        <v>0</v>
      </c>
      <c r="BN251" t="s">
        <v>402</v>
      </c>
      <c r="BO251">
        <v>0.85994999999999999</v>
      </c>
    </row>
    <row r="252" spans="1:67">
      <c r="A252" s="61" t="str">
        <f t="shared" si="4"/>
        <v>UK</v>
      </c>
      <c r="B252" s="62" t="s">
        <v>64</v>
      </c>
      <c r="C252" s="62" t="s">
        <v>176</v>
      </c>
      <c r="D252" s="63" t="s">
        <v>97</v>
      </c>
      <c r="E252" s="64">
        <v>43831</v>
      </c>
      <c r="F252" s="64">
        <v>43921</v>
      </c>
      <c r="G252" s="65">
        <v>43995</v>
      </c>
      <c r="H252" s="66" t="s">
        <v>132</v>
      </c>
      <c r="I252" s="67">
        <v>3</v>
      </c>
      <c r="J252" s="68">
        <v>2020</v>
      </c>
      <c r="K252" s="69">
        <v>1</v>
      </c>
      <c r="L252" s="70">
        <v>3</v>
      </c>
      <c r="M252" s="71" t="s">
        <v>140</v>
      </c>
      <c r="N252" s="71" t="s">
        <v>18</v>
      </c>
      <c r="O252" s="71" t="s">
        <v>114</v>
      </c>
      <c r="P252" s="71" t="s">
        <v>102</v>
      </c>
      <c r="Q252" s="61" t="s">
        <v>170</v>
      </c>
      <c r="R252" s="63" t="s">
        <v>165</v>
      </c>
      <c r="S252" s="72" t="s">
        <v>745</v>
      </c>
      <c r="T252" s="61" t="s">
        <v>405</v>
      </c>
      <c r="U252" s="73" t="s">
        <v>760</v>
      </c>
      <c r="V252" s="62">
        <v>107164</v>
      </c>
      <c r="W252" s="62" t="s">
        <v>556</v>
      </c>
      <c r="X252" s="62" t="s">
        <v>402</v>
      </c>
      <c r="Y252" s="93">
        <v>1</v>
      </c>
      <c r="Z252" s="94">
        <v>1</v>
      </c>
      <c r="AA252" s="74">
        <v>0</v>
      </c>
      <c r="AB252" s="75">
        <v>0</v>
      </c>
      <c r="AC252" s="75">
        <v>0</v>
      </c>
      <c r="AD252" s="76">
        <v>0</v>
      </c>
      <c r="AE252" s="77">
        <v>14.543749999999999</v>
      </c>
      <c r="AF252" s="75">
        <v>33.345833333000002</v>
      </c>
      <c r="AG252" s="78">
        <v>1422.9301233792662</v>
      </c>
      <c r="AH252" s="79">
        <v>1707.5161480318625</v>
      </c>
      <c r="AI252" s="74">
        <v>853.75807402755981</v>
      </c>
      <c r="AJ252" s="75">
        <v>0</v>
      </c>
      <c r="AK252" s="75">
        <v>0</v>
      </c>
      <c r="AL252" s="80">
        <v>853.75807402755981</v>
      </c>
      <c r="AM252" s="74">
        <v>0</v>
      </c>
      <c r="AN252" s="74">
        <v>0</v>
      </c>
      <c r="AO252" s="81" t="s">
        <v>403</v>
      </c>
      <c r="AP252" s="82">
        <v>0</v>
      </c>
      <c r="AQ252" s="75">
        <v>0</v>
      </c>
      <c r="AR252" s="75">
        <v>0</v>
      </c>
      <c r="AS252" s="80">
        <v>0</v>
      </c>
      <c r="AT252" s="74">
        <v>29.027774517123088</v>
      </c>
      <c r="AU252" s="75">
        <v>42.830196713762433</v>
      </c>
      <c r="AV252" s="75">
        <v>56.348032885632882</v>
      </c>
      <c r="AW252" s="75">
        <v>26.580334704343279</v>
      </c>
      <c r="AX252" s="80">
        <v>154.78633882086169</v>
      </c>
      <c r="AY252" s="81">
        <v>0</v>
      </c>
      <c r="AZ252" s="83" t="s">
        <v>403</v>
      </c>
      <c r="BA252" s="80" t="s">
        <v>403</v>
      </c>
      <c r="BB252" s="84">
        <v>470.73374341647752</v>
      </c>
      <c r="BC252" s="85">
        <v>8.3540404040706271</v>
      </c>
      <c r="BD252" s="86">
        <v>0.33082000000010447</v>
      </c>
      <c r="BE252" s="84">
        <v>497.3140781208208</v>
      </c>
      <c r="BF252" s="87">
        <v>5.9969114619462598</v>
      </c>
      <c r="BG252" s="88">
        <v>0.34949999999983644</v>
      </c>
      <c r="BH252" s="89">
        <v>0</v>
      </c>
      <c r="BI252" s="90">
        <v>0.60000000000000009</v>
      </c>
      <c r="BJ252" s="90">
        <v>0.10877999999976465</v>
      </c>
      <c r="BK252" s="91">
        <v>0.70877999999976471</v>
      </c>
      <c r="BL252" s="92">
        <v>414.38571053084468</v>
      </c>
      <c r="BM252" s="95">
        <v>0</v>
      </c>
      <c r="BN252" t="s">
        <v>402</v>
      </c>
      <c r="BO252">
        <v>0.85994999999999999</v>
      </c>
    </row>
    <row r="253" spans="1:67">
      <c r="A253" s="61" t="str">
        <f t="shared" si="4"/>
        <v>UK</v>
      </c>
      <c r="B253" s="62" t="s">
        <v>64</v>
      </c>
      <c r="C253" s="62" t="s">
        <v>176</v>
      </c>
      <c r="D253" s="63" t="s">
        <v>97</v>
      </c>
      <c r="E253" s="64">
        <v>43831</v>
      </c>
      <c r="F253" s="64">
        <v>43921</v>
      </c>
      <c r="G253" s="65">
        <v>43995</v>
      </c>
      <c r="H253" s="66" t="s">
        <v>132</v>
      </c>
      <c r="I253" s="67">
        <v>3</v>
      </c>
      <c r="J253" s="68">
        <v>2020</v>
      </c>
      <c r="K253" s="69">
        <v>1</v>
      </c>
      <c r="L253" s="70">
        <v>3</v>
      </c>
      <c r="M253" s="71" t="s">
        <v>140</v>
      </c>
      <c r="N253" s="71" t="s">
        <v>18</v>
      </c>
      <c r="O253" s="71" t="s">
        <v>114</v>
      </c>
      <c r="P253" s="71" t="s">
        <v>102</v>
      </c>
      <c r="Q253" s="61" t="s">
        <v>170</v>
      </c>
      <c r="R253" s="63" t="s">
        <v>165</v>
      </c>
      <c r="S253" s="72" t="s">
        <v>745</v>
      </c>
      <c r="T253" s="61" t="s">
        <v>405</v>
      </c>
      <c r="U253" s="73" t="s">
        <v>761</v>
      </c>
      <c r="V253" s="62">
        <v>107161</v>
      </c>
      <c r="W253" s="62" t="s">
        <v>556</v>
      </c>
      <c r="X253" s="62" t="s">
        <v>402</v>
      </c>
      <c r="Y253" s="93">
        <v>1</v>
      </c>
      <c r="Z253" s="94">
        <v>1</v>
      </c>
      <c r="AA253" s="74">
        <v>0</v>
      </c>
      <c r="AB253" s="75">
        <v>0</v>
      </c>
      <c r="AC253" s="75">
        <v>0</v>
      </c>
      <c r="AD253" s="76">
        <v>0</v>
      </c>
      <c r="AE253" s="77">
        <v>0.18442622950000001</v>
      </c>
      <c r="AF253" s="75">
        <v>0.36885245900000002</v>
      </c>
      <c r="AG253" s="78">
        <v>17.317772273969418</v>
      </c>
      <c r="AH253" s="79">
        <v>20.781326729461018</v>
      </c>
      <c r="AI253" s="74">
        <v>10.390663364614223</v>
      </c>
      <c r="AJ253" s="75">
        <v>0</v>
      </c>
      <c r="AK253" s="75">
        <v>0</v>
      </c>
      <c r="AL253" s="80">
        <v>10.390663364614223</v>
      </c>
      <c r="AM253" s="74">
        <v>0</v>
      </c>
      <c r="AN253" s="74">
        <v>0</v>
      </c>
      <c r="AO253" s="81" t="s">
        <v>403</v>
      </c>
      <c r="AP253" s="82">
        <v>0</v>
      </c>
      <c r="AQ253" s="75">
        <v>0</v>
      </c>
      <c r="AR253" s="75">
        <v>0</v>
      </c>
      <c r="AS253" s="80">
        <v>0</v>
      </c>
      <c r="AT253" s="74">
        <v>0.35328255445084017</v>
      </c>
      <c r="AU253" s="75">
        <v>0.52126494540380253</v>
      </c>
      <c r="AV253" s="75">
        <v>0.68578378208035351</v>
      </c>
      <c r="AW253" s="75">
        <v>0.32349598604570035</v>
      </c>
      <c r="AX253" s="80">
        <v>1.8838272679806967</v>
      </c>
      <c r="AY253" s="81">
        <v>0</v>
      </c>
      <c r="AZ253" s="83" t="s">
        <v>403</v>
      </c>
      <c r="BA253" s="80" t="s">
        <v>403</v>
      </c>
      <c r="BB253" s="84">
        <v>5.7290654234548519</v>
      </c>
      <c r="BC253" s="85">
        <v>8.3540404033403863</v>
      </c>
      <c r="BD253" s="86">
        <v>0.33081999998731298</v>
      </c>
      <c r="BE253" s="84">
        <v>6.0525614095005515</v>
      </c>
      <c r="BF253" s="87">
        <v>5.9969114616638359</v>
      </c>
      <c r="BG253" s="88">
        <v>0.34949999998546233</v>
      </c>
      <c r="BH253" s="89">
        <v>0</v>
      </c>
      <c r="BI253" s="90">
        <v>0.60000000001342968</v>
      </c>
      <c r="BJ253" s="90">
        <v>0.10878000000105692</v>
      </c>
      <c r="BK253" s="91">
        <v>0.7087800000144866</v>
      </c>
      <c r="BL253" s="92">
        <v>5.043281641374497</v>
      </c>
      <c r="BM253" s="95">
        <v>0</v>
      </c>
      <c r="BN253" t="s">
        <v>402</v>
      </c>
      <c r="BO253">
        <v>0.85994999999999999</v>
      </c>
    </row>
    <row r="254" spans="1:67">
      <c r="A254" s="61" t="str">
        <f t="shared" si="4"/>
        <v>UK</v>
      </c>
      <c r="B254" s="62" t="s">
        <v>64</v>
      </c>
      <c r="C254" s="62" t="s">
        <v>176</v>
      </c>
      <c r="D254" s="63" t="s">
        <v>97</v>
      </c>
      <c r="E254" s="64">
        <v>43831</v>
      </c>
      <c r="F254" s="64">
        <v>43921</v>
      </c>
      <c r="G254" s="65">
        <v>43995</v>
      </c>
      <c r="H254" s="66" t="s">
        <v>132</v>
      </c>
      <c r="I254" s="67">
        <v>3</v>
      </c>
      <c r="J254" s="68">
        <v>2020</v>
      </c>
      <c r="K254" s="69">
        <v>1</v>
      </c>
      <c r="L254" s="70">
        <v>3</v>
      </c>
      <c r="M254" s="71" t="s">
        <v>140</v>
      </c>
      <c r="N254" s="71" t="s">
        <v>18</v>
      </c>
      <c r="O254" s="71" t="s">
        <v>114</v>
      </c>
      <c r="P254" s="71" t="s">
        <v>102</v>
      </c>
      <c r="Q254" s="61" t="s">
        <v>170</v>
      </c>
      <c r="R254" s="63" t="s">
        <v>165</v>
      </c>
      <c r="S254" s="72" t="s">
        <v>745</v>
      </c>
      <c r="T254" s="61" t="s">
        <v>405</v>
      </c>
      <c r="U254" s="73" t="s">
        <v>762</v>
      </c>
      <c r="V254" s="62">
        <v>107158</v>
      </c>
      <c r="W254" s="62" t="s">
        <v>556</v>
      </c>
      <c r="X254" s="62" t="s">
        <v>402</v>
      </c>
      <c r="Y254" s="93">
        <v>1</v>
      </c>
      <c r="Z254" s="94">
        <v>1</v>
      </c>
      <c r="AA254" s="74">
        <v>0</v>
      </c>
      <c r="AB254" s="75">
        <v>0</v>
      </c>
      <c r="AC254" s="75">
        <v>0</v>
      </c>
      <c r="AD254" s="76">
        <v>0</v>
      </c>
      <c r="AE254" s="77">
        <v>4.4397849461999996</v>
      </c>
      <c r="AF254" s="75">
        <v>11.681451613</v>
      </c>
      <c r="AG254" s="78">
        <v>222.56945420082565</v>
      </c>
      <c r="AH254" s="79">
        <v>267.08334504331646</v>
      </c>
      <c r="AI254" s="74">
        <v>133.54167251584394</v>
      </c>
      <c r="AJ254" s="75">
        <v>0</v>
      </c>
      <c r="AK254" s="75">
        <v>0</v>
      </c>
      <c r="AL254" s="80">
        <v>133.54167251584394</v>
      </c>
      <c r="AM254" s="74">
        <v>0</v>
      </c>
      <c r="AN254" s="74">
        <v>0</v>
      </c>
      <c r="AO254" s="81" t="s">
        <v>403</v>
      </c>
      <c r="AP254" s="82">
        <v>0</v>
      </c>
      <c r="AQ254" s="75">
        <v>0</v>
      </c>
      <c r="AR254" s="75">
        <v>0</v>
      </c>
      <c r="AS254" s="80">
        <v>0</v>
      </c>
      <c r="AT254" s="74">
        <v>4.5404168657480088</v>
      </c>
      <c r="AU254" s="75">
        <v>6.6993405715448571</v>
      </c>
      <c r="AV254" s="75">
        <v>8.8137503864178157</v>
      </c>
      <c r="AW254" s="75">
        <v>4.1575974045002617</v>
      </c>
      <c r="AX254" s="80">
        <v>24.211105228210943</v>
      </c>
      <c r="AY254" s="81">
        <v>0</v>
      </c>
      <c r="AZ254" s="83" t="s">
        <v>403</v>
      </c>
      <c r="BA254" s="80" t="s">
        <v>403</v>
      </c>
      <c r="BB254" s="84">
        <v>73.630426843188587</v>
      </c>
      <c r="BC254" s="85">
        <v>8.3540404044860068</v>
      </c>
      <c r="BD254" s="86">
        <v>0.3308200000200901</v>
      </c>
      <c r="BE254" s="84">
        <v>77.788024247688838</v>
      </c>
      <c r="BF254" s="87">
        <v>5.9969114622115312</v>
      </c>
      <c r="BG254" s="88">
        <v>0.34950000002021964</v>
      </c>
      <c r="BH254" s="89">
        <v>0</v>
      </c>
      <c r="BI254" s="90">
        <v>0.59999999997910114</v>
      </c>
      <c r="BJ254" s="90">
        <v>0.10878000000110136</v>
      </c>
      <c r="BK254" s="91">
        <v>0.70877999998020247</v>
      </c>
      <c r="BL254" s="92">
        <v>64.81667645677075</v>
      </c>
      <c r="BM254" s="95">
        <v>0</v>
      </c>
      <c r="BN254" t="s">
        <v>402</v>
      </c>
      <c r="BO254">
        <v>0.85994999999999999</v>
      </c>
    </row>
    <row r="255" spans="1:67">
      <c r="A255" s="61" t="str">
        <f t="shared" si="4"/>
        <v>UK</v>
      </c>
      <c r="B255" s="62" t="s">
        <v>64</v>
      </c>
      <c r="C255" s="62" t="s">
        <v>176</v>
      </c>
      <c r="D255" s="63" t="s">
        <v>97</v>
      </c>
      <c r="E255" s="64">
        <v>43831</v>
      </c>
      <c r="F255" s="64">
        <v>43921</v>
      </c>
      <c r="G255" s="65">
        <v>43995</v>
      </c>
      <c r="H255" s="66" t="s">
        <v>132</v>
      </c>
      <c r="I255" s="67">
        <v>3</v>
      </c>
      <c r="J255" s="68">
        <v>2020</v>
      </c>
      <c r="K255" s="69">
        <v>1</v>
      </c>
      <c r="L255" s="70">
        <v>3</v>
      </c>
      <c r="M255" s="71" t="s">
        <v>140</v>
      </c>
      <c r="N255" s="71" t="s">
        <v>18</v>
      </c>
      <c r="O255" s="71" t="s">
        <v>114</v>
      </c>
      <c r="P255" s="71" t="s">
        <v>102</v>
      </c>
      <c r="Q255" s="61" t="s">
        <v>170</v>
      </c>
      <c r="R255" s="63" t="s">
        <v>165</v>
      </c>
      <c r="S255" s="72" t="s">
        <v>745</v>
      </c>
      <c r="T255" s="61" t="s">
        <v>405</v>
      </c>
      <c r="U255" s="73" t="s">
        <v>763</v>
      </c>
      <c r="V255" s="62">
        <v>107165</v>
      </c>
      <c r="W255" s="62" t="s">
        <v>556</v>
      </c>
      <c r="X255" s="62" t="s">
        <v>402</v>
      </c>
      <c r="Y255" s="93">
        <v>1</v>
      </c>
      <c r="Z255" s="94">
        <v>1</v>
      </c>
      <c r="AA255" s="74">
        <v>0</v>
      </c>
      <c r="AB255" s="75">
        <v>0</v>
      </c>
      <c r="AC255" s="75">
        <v>0</v>
      </c>
      <c r="AD255" s="76">
        <v>0</v>
      </c>
      <c r="AE255" s="77">
        <v>5.0487689491000003</v>
      </c>
      <c r="AF255" s="75">
        <v>10.048768948999999</v>
      </c>
      <c r="AG255" s="78">
        <v>1206.9556331182046</v>
      </c>
      <c r="AH255" s="79">
        <v>1448.3467598116169</v>
      </c>
      <c r="AI255" s="74">
        <v>724.17337990580847</v>
      </c>
      <c r="AJ255" s="75">
        <v>0</v>
      </c>
      <c r="AK255" s="75">
        <v>0</v>
      </c>
      <c r="AL255" s="80">
        <v>724.17337990580847</v>
      </c>
      <c r="AM255" s="74">
        <v>0</v>
      </c>
      <c r="AN255" s="74">
        <v>0</v>
      </c>
      <c r="AO255" s="81" t="s">
        <v>403</v>
      </c>
      <c r="AP255" s="82">
        <v>0</v>
      </c>
      <c r="AQ255" s="75">
        <v>0</v>
      </c>
      <c r="AR255" s="75">
        <v>0</v>
      </c>
      <c r="AS255" s="80">
        <v>0</v>
      </c>
      <c r="AT255" s="74">
        <v>24.621894917146346</v>
      </c>
      <c r="AU255" s="75">
        <v>36.329364558404556</v>
      </c>
      <c r="AV255" s="75">
        <v>47.795443073434505</v>
      </c>
      <c r="AW255" s="75">
        <v>22.545931227396945</v>
      </c>
      <c r="AX255" s="80">
        <v>131.29263377638236</v>
      </c>
      <c r="AY255" s="81">
        <v>0</v>
      </c>
      <c r="AZ255" s="83" t="s">
        <v>403</v>
      </c>
      <c r="BA255" s="80" t="s">
        <v>403</v>
      </c>
      <c r="BB255" s="84">
        <v>399.28506250944815</v>
      </c>
      <c r="BC255" s="85">
        <v>8.3540404028888968</v>
      </c>
      <c r="BD255" s="86">
        <v>0.33081999996792238</v>
      </c>
      <c r="BE255" s="84">
        <v>421.83099373684513</v>
      </c>
      <c r="BF255" s="87">
        <v>5.9969114611378727</v>
      </c>
      <c r="BG255" s="88">
        <v>0.34949999996854286</v>
      </c>
      <c r="BH255" s="89">
        <v>0</v>
      </c>
      <c r="BI255" s="90">
        <v>0.60000000002890386</v>
      </c>
      <c r="BJ255" s="90">
        <v>0.10878000000479228</v>
      </c>
      <c r="BK255" s="91">
        <v>0.70878000003369612</v>
      </c>
      <c r="BL255" s="92">
        <v>351.48961943601375</v>
      </c>
      <c r="BM255" s="95">
        <v>0</v>
      </c>
      <c r="BN255" t="s">
        <v>402</v>
      </c>
      <c r="BO255">
        <v>0.85994999999999999</v>
      </c>
    </row>
    <row r="256" spans="1:67">
      <c r="A256" s="61" t="str">
        <f t="shared" si="4"/>
        <v>UK</v>
      </c>
      <c r="B256" s="62" t="s">
        <v>64</v>
      </c>
      <c r="C256" s="62" t="s">
        <v>176</v>
      </c>
      <c r="D256" s="63" t="s">
        <v>97</v>
      </c>
      <c r="E256" s="64">
        <v>43831</v>
      </c>
      <c r="F256" s="64">
        <v>43921</v>
      </c>
      <c r="G256" s="65">
        <v>43995</v>
      </c>
      <c r="H256" s="66" t="s">
        <v>132</v>
      </c>
      <c r="I256" s="67">
        <v>3</v>
      </c>
      <c r="J256" s="68">
        <v>2020</v>
      </c>
      <c r="K256" s="69">
        <v>1</v>
      </c>
      <c r="L256" s="70">
        <v>3</v>
      </c>
      <c r="M256" s="71" t="s">
        <v>140</v>
      </c>
      <c r="N256" s="71" t="s">
        <v>18</v>
      </c>
      <c r="O256" s="71" t="s">
        <v>114</v>
      </c>
      <c r="P256" s="71" t="s">
        <v>102</v>
      </c>
      <c r="Q256" s="61" t="s">
        <v>170</v>
      </c>
      <c r="R256" s="63" t="s">
        <v>165</v>
      </c>
      <c r="S256" s="72" t="s">
        <v>745</v>
      </c>
      <c r="T256" s="61" t="s">
        <v>405</v>
      </c>
      <c r="U256" s="73" t="s">
        <v>764</v>
      </c>
      <c r="V256" s="62">
        <v>107162</v>
      </c>
      <c r="W256" s="62" t="s">
        <v>556</v>
      </c>
      <c r="X256" s="62" t="s">
        <v>402</v>
      </c>
      <c r="Y256" s="93">
        <v>1</v>
      </c>
      <c r="Z256" s="94">
        <v>1</v>
      </c>
      <c r="AA256" s="74">
        <v>0</v>
      </c>
      <c r="AB256" s="75">
        <v>0</v>
      </c>
      <c r="AC256" s="75">
        <v>0</v>
      </c>
      <c r="AD256" s="76">
        <v>0</v>
      </c>
      <c r="AE256" s="77">
        <v>0.36885245900000002</v>
      </c>
      <c r="AF256" s="75">
        <v>0.92213114750000003</v>
      </c>
      <c r="AG256" s="78">
        <v>83.266492100703516</v>
      </c>
      <c r="AH256" s="79">
        <v>99.919790520379081</v>
      </c>
      <c r="AI256" s="74">
        <v>49.959895260189541</v>
      </c>
      <c r="AJ256" s="75">
        <v>0</v>
      </c>
      <c r="AK256" s="75">
        <v>0</v>
      </c>
      <c r="AL256" s="80">
        <v>49.959895260189541</v>
      </c>
      <c r="AM256" s="74">
        <v>0</v>
      </c>
      <c r="AN256" s="74">
        <v>0</v>
      </c>
      <c r="AO256" s="81" t="s">
        <v>403</v>
      </c>
      <c r="AP256" s="82">
        <v>0</v>
      </c>
      <c r="AQ256" s="75">
        <v>0</v>
      </c>
      <c r="AR256" s="75">
        <v>0</v>
      </c>
      <c r="AS256" s="80">
        <v>0</v>
      </c>
      <c r="AT256" s="74">
        <v>1.6986364388627246</v>
      </c>
      <c r="AU256" s="75">
        <v>2.5063214122914124</v>
      </c>
      <c r="AV256" s="75">
        <v>3.29735308715623</v>
      </c>
      <c r="AW256" s="75">
        <v>1.5554180724460724</v>
      </c>
      <c r="AX256" s="80">
        <v>9.0577290107564394</v>
      </c>
      <c r="AY256" s="81">
        <v>0</v>
      </c>
      <c r="AZ256" s="83" t="s">
        <v>403</v>
      </c>
      <c r="BA256" s="80" t="s">
        <v>403</v>
      </c>
      <c r="BB256" s="84">
        <v>27.546220916913761</v>
      </c>
      <c r="BC256" s="85">
        <v>8.3540404041687655</v>
      </c>
      <c r="BD256" s="86">
        <v>0.33082000000190981</v>
      </c>
      <c r="BE256" s="84">
        <v>29.101638989359834</v>
      </c>
      <c r="BF256" s="87">
        <v>5.9969114619748094</v>
      </c>
      <c r="BG256" s="88">
        <v>0.34950000000196907</v>
      </c>
      <c r="BH256" s="89">
        <v>0</v>
      </c>
      <c r="BI256" s="90">
        <v>0.59999999999720688</v>
      </c>
      <c r="BJ256" s="90">
        <v>0.10878000000050334</v>
      </c>
      <c r="BK256" s="91">
        <v>0.70877999999771024</v>
      </c>
      <c r="BL256" s="92">
        <v>24.248867829757536</v>
      </c>
      <c r="BM256" s="95">
        <v>0</v>
      </c>
      <c r="BN256" t="s">
        <v>402</v>
      </c>
      <c r="BO256">
        <v>0.85994999999999999</v>
      </c>
    </row>
    <row r="257" spans="1:67">
      <c r="A257" s="61" t="str">
        <f t="shared" si="4"/>
        <v>UK</v>
      </c>
      <c r="B257" s="62" t="s">
        <v>64</v>
      </c>
      <c r="C257" s="62" t="s">
        <v>176</v>
      </c>
      <c r="D257" s="63" t="s">
        <v>97</v>
      </c>
      <c r="E257" s="64">
        <v>43831</v>
      </c>
      <c r="F257" s="64">
        <v>43921</v>
      </c>
      <c r="G257" s="65">
        <v>43995</v>
      </c>
      <c r="H257" s="66" t="s">
        <v>132</v>
      </c>
      <c r="I257" s="67">
        <v>3</v>
      </c>
      <c r="J257" s="68">
        <v>2020</v>
      </c>
      <c r="K257" s="69">
        <v>1</v>
      </c>
      <c r="L257" s="70">
        <v>3</v>
      </c>
      <c r="M257" s="71" t="s">
        <v>140</v>
      </c>
      <c r="N257" s="71" t="s">
        <v>18</v>
      </c>
      <c r="O257" s="71" t="s">
        <v>114</v>
      </c>
      <c r="P257" s="71" t="s">
        <v>102</v>
      </c>
      <c r="Q257" s="61" t="s">
        <v>170</v>
      </c>
      <c r="R257" s="63" t="s">
        <v>165</v>
      </c>
      <c r="S257" s="72" t="s">
        <v>745</v>
      </c>
      <c r="T257" s="61" t="s">
        <v>405</v>
      </c>
      <c r="U257" s="73" t="s">
        <v>765</v>
      </c>
      <c r="V257" s="62">
        <v>107159</v>
      </c>
      <c r="W257" s="62" t="s">
        <v>556</v>
      </c>
      <c r="X257" s="62" t="s">
        <v>402</v>
      </c>
      <c r="Y257" s="93">
        <v>1</v>
      </c>
      <c r="Z257" s="94">
        <v>1</v>
      </c>
      <c r="AA257" s="74">
        <v>0</v>
      </c>
      <c r="AB257" s="75">
        <v>0</v>
      </c>
      <c r="AC257" s="75">
        <v>0</v>
      </c>
      <c r="AD257" s="76">
        <v>0</v>
      </c>
      <c r="AE257" s="77">
        <v>1.6958845628000001</v>
      </c>
      <c r="AF257" s="75">
        <v>2.1646345627999999</v>
      </c>
      <c r="AG257" s="78">
        <v>179.50331413454271</v>
      </c>
      <c r="AH257" s="79">
        <v>215.40397696377696</v>
      </c>
      <c r="AI257" s="74">
        <v>107.70198848188848</v>
      </c>
      <c r="AJ257" s="75">
        <v>0</v>
      </c>
      <c r="AK257" s="75">
        <v>0</v>
      </c>
      <c r="AL257" s="80">
        <v>107.70198848188848</v>
      </c>
      <c r="AM257" s="74">
        <v>0</v>
      </c>
      <c r="AN257" s="74">
        <v>0</v>
      </c>
      <c r="AO257" s="81" t="s">
        <v>403</v>
      </c>
      <c r="AP257" s="82">
        <v>0</v>
      </c>
      <c r="AQ257" s="75">
        <v>0</v>
      </c>
      <c r="AR257" s="75">
        <v>0</v>
      </c>
      <c r="AS257" s="80">
        <v>0</v>
      </c>
      <c r="AT257" s="74">
        <v>3.6618676083493225</v>
      </c>
      <c r="AU257" s="75">
        <v>5.4030497554508976</v>
      </c>
      <c r="AV257" s="75">
        <v>7.1083312397232401</v>
      </c>
      <c r="AW257" s="75">
        <v>3.3531219080179082</v>
      </c>
      <c r="AX257" s="80">
        <v>19.526370511541369</v>
      </c>
      <c r="AY257" s="81">
        <v>0</v>
      </c>
      <c r="AZ257" s="83" t="s">
        <v>403</v>
      </c>
      <c r="BA257" s="80" t="s">
        <v>403</v>
      </c>
      <c r="BB257" s="84">
        <v>59.383286380836097</v>
      </c>
      <c r="BC257" s="85">
        <v>8.3540404038836211</v>
      </c>
      <c r="BD257" s="86">
        <v>0.33081999999357492</v>
      </c>
      <c r="BE257" s="84">
        <v>62.736408288854008</v>
      </c>
      <c r="BF257" s="87">
        <v>5.9969114618077839</v>
      </c>
      <c r="BG257" s="88">
        <v>0.34949999999348946</v>
      </c>
      <c r="BH257" s="89">
        <v>0</v>
      </c>
      <c r="BI257" s="90">
        <v>0.60000000000647813</v>
      </c>
      <c r="BJ257" s="90">
        <v>0.10877999999992097</v>
      </c>
      <c r="BK257" s="91">
        <v>0.70878000000639907</v>
      </c>
      <c r="BL257" s="92">
        <v>52.274955141112855</v>
      </c>
      <c r="BM257" s="95">
        <v>0</v>
      </c>
      <c r="BN257" t="s">
        <v>402</v>
      </c>
      <c r="BO257">
        <v>0.85994999999999999</v>
      </c>
    </row>
    <row r="258" spans="1:67">
      <c r="A258" s="61" t="str">
        <f t="shared" si="4"/>
        <v>UK</v>
      </c>
      <c r="B258" s="62" t="s">
        <v>64</v>
      </c>
      <c r="C258" s="62" t="s">
        <v>176</v>
      </c>
      <c r="D258" s="63" t="s">
        <v>97</v>
      </c>
      <c r="E258" s="64">
        <v>43831</v>
      </c>
      <c r="F258" s="64">
        <v>43921</v>
      </c>
      <c r="G258" s="65">
        <v>43995</v>
      </c>
      <c r="H258" s="66" t="s">
        <v>132</v>
      </c>
      <c r="I258" s="67">
        <v>3</v>
      </c>
      <c r="J258" s="68">
        <v>2020</v>
      </c>
      <c r="K258" s="69">
        <v>1</v>
      </c>
      <c r="L258" s="70">
        <v>3</v>
      </c>
      <c r="M258" s="71" t="s">
        <v>140</v>
      </c>
      <c r="N258" s="71" t="s">
        <v>18</v>
      </c>
      <c r="O258" s="71" t="s">
        <v>114</v>
      </c>
      <c r="P258" s="71" t="s">
        <v>102</v>
      </c>
      <c r="Q258" s="61" t="s">
        <v>766</v>
      </c>
      <c r="R258" s="63" t="s">
        <v>106</v>
      </c>
      <c r="S258" s="72" t="s">
        <v>767</v>
      </c>
      <c r="T258" s="61" t="s">
        <v>768</v>
      </c>
      <c r="U258" s="73" t="s">
        <v>769</v>
      </c>
      <c r="V258" s="62">
        <v>107774</v>
      </c>
      <c r="W258" s="62" t="s">
        <v>770</v>
      </c>
      <c r="X258" s="62" t="s">
        <v>402</v>
      </c>
      <c r="Y258" s="93">
        <v>1</v>
      </c>
      <c r="Z258" s="94">
        <v>1</v>
      </c>
      <c r="AA258" s="74">
        <v>0</v>
      </c>
      <c r="AB258" s="75">
        <v>0</v>
      </c>
      <c r="AC258" s="75">
        <v>0</v>
      </c>
      <c r="AD258" s="76">
        <v>0</v>
      </c>
      <c r="AE258" s="77">
        <v>0.56653465349999999</v>
      </c>
      <c r="AF258" s="75">
        <v>1.1330693069</v>
      </c>
      <c r="AG258" s="78">
        <v>27.449980302343157</v>
      </c>
      <c r="AH258" s="79">
        <v>32.939976362579216</v>
      </c>
      <c r="AI258" s="74">
        <v>0</v>
      </c>
      <c r="AJ258" s="75">
        <v>0</v>
      </c>
      <c r="AK258" s="75">
        <v>0</v>
      </c>
      <c r="AL258" s="80">
        <v>0</v>
      </c>
      <c r="AM258" s="74">
        <v>0</v>
      </c>
      <c r="AN258" s="74">
        <v>0</v>
      </c>
      <c r="AO258" s="81" t="s">
        <v>403</v>
      </c>
      <c r="AP258" s="82">
        <v>0</v>
      </c>
      <c r="AQ258" s="75">
        <v>0</v>
      </c>
      <c r="AR258" s="75">
        <v>0</v>
      </c>
      <c r="AS258" s="80">
        <v>0</v>
      </c>
      <c r="AT258" s="74">
        <v>1.3999489954067097</v>
      </c>
      <c r="AU258" s="75">
        <v>0.82624440711669278</v>
      </c>
      <c r="AV258" s="75">
        <v>2.7175480498866214</v>
      </c>
      <c r="AW258" s="75">
        <v>1.2819140801209372</v>
      </c>
      <c r="AX258" s="80">
        <v>6.2256555325309604</v>
      </c>
      <c r="AY258" s="81">
        <v>0</v>
      </c>
      <c r="AZ258" s="83" t="s">
        <v>403</v>
      </c>
      <c r="BA258" s="80" t="s">
        <v>403</v>
      </c>
      <c r="BB258" s="84">
        <v>23.941872819698816</v>
      </c>
      <c r="BC258" s="85">
        <v>8.8101010102462372</v>
      </c>
      <c r="BD258" s="86">
        <v>0.87219999999982201</v>
      </c>
      <c r="BE258" s="84">
        <v>25.223786899819753</v>
      </c>
      <c r="BF258" s="87">
        <v>6.3067947838706209</v>
      </c>
      <c r="BG258" s="88">
        <v>0.91889999999987715</v>
      </c>
      <c r="BH258" s="89">
        <v>0</v>
      </c>
      <c r="BI258" s="90">
        <v>0</v>
      </c>
      <c r="BJ258" s="90">
        <v>0.22679999999852576</v>
      </c>
      <c r="BK258" s="91">
        <v>0.22679999999852576</v>
      </c>
      <c r="BL258" s="92">
        <v>21.224324769812196</v>
      </c>
      <c r="BM258" s="95">
        <v>0</v>
      </c>
      <c r="BN258" t="s">
        <v>402</v>
      </c>
      <c r="BO258">
        <v>0.85994999999999999</v>
      </c>
    </row>
    <row r="259" spans="1:67">
      <c r="A259" s="61" t="str">
        <f t="shared" si="4"/>
        <v>UK</v>
      </c>
      <c r="B259" s="62" t="s">
        <v>64</v>
      </c>
      <c r="C259" s="62" t="s">
        <v>176</v>
      </c>
      <c r="D259" s="63" t="s">
        <v>97</v>
      </c>
      <c r="E259" s="64">
        <v>43831</v>
      </c>
      <c r="F259" s="64">
        <v>43921</v>
      </c>
      <c r="G259" s="65">
        <v>43995</v>
      </c>
      <c r="H259" s="66" t="s">
        <v>132</v>
      </c>
      <c r="I259" s="67">
        <v>3</v>
      </c>
      <c r="J259" s="68">
        <v>2020</v>
      </c>
      <c r="K259" s="69">
        <v>1</v>
      </c>
      <c r="L259" s="70">
        <v>3</v>
      </c>
      <c r="M259" s="71" t="s">
        <v>140</v>
      </c>
      <c r="N259" s="71" t="s">
        <v>18</v>
      </c>
      <c r="O259" s="71" t="s">
        <v>114</v>
      </c>
      <c r="P259" s="71" t="s">
        <v>102</v>
      </c>
      <c r="Q259" s="61" t="s">
        <v>766</v>
      </c>
      <c r="R259" s="63" t="s">
        <v>112</v>
      </c>
      <c r="S259" s="72" t="s">
        <v>767</v>
      </c>
      <c r="T259" s="61" t="s">
        <v>768</v>
      </c>
      <c r="U259" s="73" t="s">
        <v>771</v>
      </c>
      <c r="V259" s="62">
        <v>107273</v>
      </c>
      <c r="W259" s="62" t="s">
        <v>770</v>
      </c>
      <c r="X259" s="62" t="s">
        <v>402</v>
      </c>
      <c r="Y259" s="93">
        <v>1</v>
      </c>
      <c r="Z259" s="94">
        <v>1</v>
      </c>
      <c r="AA259" s="74">
        <v>0</v>
      </c>
      <c r="AB259" s="75">
        <v>0</v>
      </c>
      <c r="AC259" s="75">
        <v>0</v>
      </c>
      <c r="AD259" s="76">
        <v>0</v>
      </c>
      <c r="AE259" s="77">
        <v>1.7957650273000001</v>
      </c>
      <c r="AF259" s="75">
        <v>1.7957650273000001</v>
      </c>
      <c r="AG259" s="78">
        <v>447.94911521600091</v>
      </c>
      <c r="AH259" s="79">
        <v>537.53893825222394</v>
      </c>
      <c r="AI259" s="74">
        <v>0</v>
      </c>
      <c r="AJ259" s="75">
        <v>0</v>
      </c>
      <c r="AK259" s="75">
        <v>0</v>
      </c>
      <c r="AL259" s="80">
        <v>0</v>
      </c>
      <c r="AM259" s="74">
        <v>0</v>
      </c>
      <c r="AN259" s="74">
        <v>0</v>
      </c>
      <c r="AO259" s="81" t="s">
        <v>403</v>
      </c>
      <c r="AP259" s="82">
        <v>0</v>
      </c>
      <c r="AQ259" s="75">
        <v>0</v>
      </c>
      <c r="AR259" s="75">
        <v>0</v>
      </c>
      <c r="AS259" s="80">
        <v>0</v>
      </c>
      <c r="AT259" s="74">
        <v>22.845404875864876</v>
      </c>
      <c r="AU259" s="75">
        <v>13.483268367928368</v>
      </c>
      <c r="AV259" s="75">
        <v>44.346962405953839</v>
      </c>
      <c r="AW259" s="75">
        <v>20.919223680446539</v>
      </c>
      <c r="AX259" s="80">
        <v>101.59485933019361</v>
      </c>
      <c r="AY259" s="81">
        <v>0</v>
      </c>
      <c r="AZ259" s="83" t="s">
        <v>403</v>
      </c>
      <c r="BA259" s="80" t="s">
        <v>403</v>
      </c>
      <c r="BB259" s="84">
        <v>390.70121829176111</v>
      </c>
      <c r="BC259" s="85">
        <v>8.8101010101947175</v>
      </c>
      <c r="BD259" s="86">
        <v>0.8722000000008151</v>
      </c>
      <c r="BE259" s="84">
        <v>411.62044197220769</v>
      </c>
      <c r="BF259" s="87">
        <v>6.3067947838609451</v>
      </c>
      <c r="BG259" s="88">
        <v>0.91890000000050109</v>
      </c>
      <c r="BH259" s="89">
        <v>0</v>
      </c>
      <c r="BI259" s="90">
        <v>0</v>
      </c>
      <c r="BJ259" s="90">
        <v>0.22679999999822437</v>
      </c>
      <c r="BK259" s="91">
        <v>0.22679999999822437</v>
      </c>
      <c r="BL259" s="92">
        <v>346.35425588580728</v>
      </c>
      <c r="BM259" s="95">
        <v>0</v>
      </c>
      <c r="BN259" t="s">
        <v>402</v>
      </c>
      <c r="BO259">
        <v>0.85994999999999999</v>
      </c>
    </row>
    <row r="260" spans="1:67">
      <c r="A260" s="61" t="str">
        <f t="shared" si="4"/>
        <v>UK</v>
      </c>
      <c r="B260" s="62" t="s">
        <v>64</v>
      </c>
      <c r="C260" s="62" t="s">
        <v>176</v>
      </c>
      <c r="D260" s="63" t="s">
        <v>97</v>
      </c>
      <c r="E260" s="64">
        <v>43831</v>
      </c>
      <c r="F260" s="64">
        <v>43921</v>
      </c>
      <c r="G260" s="65">
        <v>43995</v>
      </c>
      <c r="H260" s="66" t="s">
        <v>132</v>
      </c>
      <c r="I260" s="67">
        <v>3</v>
      </c>
      <c r="J260" s="68">
        <v>2020</v>
      </c>
      <c r="K260" s="69">
        <v>1</v>
      </c>
      <c r="L260" s="70">
        <v>3</v>
      </c>
      <c r="M260" s="71" t="s">
        <v>140</v>
      </c>
      <c r="N260" s="71" t="s">
        <v>18</v>
      </c>
      <c r="O260" s="71" t="s">
        <v>114</v>
      </c>
      <c r="P260" s="71" t="s">
        <v>102</v>
      </c>
      <c r="Q260" s="61" t="s">
        <v>766</v>
      </c>
      <c r="R260" s="63" t="s">
        <v>112</v>
      </c>
      <c r="S260" s="72" t="s">
        <v>767</v>
      </c>
      <c r="T260" s="61" t="s">
        <v>768</v>
      </c>
      <c r="U260" s="73" t="s">
        <v>772</v>
      </c>
      <c r="V260" s="62">
        <v>107761</v>
      </c>
      <c r="W260" s="62" t="s">
        <v>770</v>
      </c>
      <c r="X260" s="62" t="s">
        <v>402</v>
      </c>
      <c r="Y260" s="93">
        <v>1</v>
      </c>
      <c r="Z260" s="94">
        <v>1</v>
      </c>
      <c r="AA260" s="74">
        <v>9</v>
      </c>
      <c r="AB260" s="75">
        <v>9</v>
      </c>
      <c r="AC260" s="75">
        <v>1250.7122560613989</v>
      </c>
      <c r="AD260" s="76">
        <v>1500.8547073667073</v>
      </c>
      <c r="AE260" s="77">
        <v>3.5064207650000001</v>
      </c>
      <c r="AF260" s="75">
        <v>3.5064207650000001</v>
      </c>
      <c r="AG260" s="78">
        <v>674.45363822315255</v>
      </c>
      <c r="AH260" s="79">
        <v>809.34436585848016</v>
      </c>
      <c r="AI260" s="74">
        <v>0</v>
      </c>
      <c r="AJ260" s="75">
        <v>0</v>
      </c>
      <c r="AK260" s="75">
        <v>0</v>
      </c>
      <c r="AL260" s="80">
        <v>0</v>
      </c>
      <c r="AM260" s="74">
        <v>0</v>
      </c>
      <c r="AN260" s="74">
        <v>0</v>
      </c>
      <c r="AO260" s="81" t="s">
        <v>403</v>
      </c>
      <c r="AP260" s="82">
        <v>0</v>
      </c>
      <c r="AQ260" s="75">
        <v>0</v>
      </c>
      <c r="AR260" s="75">
        <v>0</v>
      </c>
      <c r="AS260" s="80">
        <v>0</v>
      </c>
      <c r="AT260" s="74">
        <v>34.397135548578404</v>
      </c>
      <c r="AU260" s="75">
        <v>20.301054510145939</v>
      </c>
      <c r="AV260" s="75">
        <v>66.770910183150193</v>
      </c>
      <c r="AW260" s="75">
        <v>31.496984904936333</v>
      </c>
      <c r="AX260" s="80">
        <v>152.96608514681088</v>
      </c>
      <c r="AY260" s="81">
        <v>0</v>
      </c>
      <c r="AZ260" s="83" t="s">
        <v>403</v>
      </c>
      <c r="BA260" s="80" t="s">
        <v>403</v>
      </c>
      <c r="BB260" s="84">
        <v>588.25846325949192</v>
      </c>
      <c r="BC260" s="85">
        <v>8.8101010102441357</v>
      </c>
      <c r="BD260" s="86">
        <v>0.87220000000186559</v>
      </c>
      <c r="BE260" s="84">
        <v>619.75544816442823</v>
      </c>
      <c r="BF260" s="87">
        <v>6.3067947838801732</v>
      </c>
      <c r="BG260" s="88">
        <v>0.91890000000173966</v>
      </c>
      <c r="BH260" s="89">
        <v>0</v>
      </c>
      <c r="BI260" s="90">
        <v>0</v>
      </c>
      <c r="BJ260" s="90">
        <v>0.22679999999673792</v>
      </c>
      <c r="BK260" s="91">
        <v>0.22679999999673792</v>
      </c>
      <c r="BL260" s="92">
        <v>521.48755307634167</v>
      </c>
      <c r="BM260" s="95">
        <v>0</v>
      </c>
      <c r="BN260" t="s">
        <v>402</v>
      </c>
      <c r="BO260">
        <v>0.85994999999999999</v>
      </c>
    </row>
    <row r="261" spans="1:67">
      <c r="A261" s="61" t="str">
        <f t="shared" si="4"/>
        <v>UK</v>
      </c>
      <c r="B261" s="62" t="s">
        <v>64</v>
      </c>
      <c r="C261" s="62" t="s">
        <v>176</v>
      </c>
      <c r="D261" s="63" t="s">
        <v>97</v>
      </c>
      <c r="E261" s="64">
        <v>43831</v>
      </c>
      <c r="F261" s="64">
        <v>43921</v>
      </c>
      <c r="G261" s="65">
        <v>43995</v>
      </c>
      <c r="H261" s="66" t="s">
        <v>132</v>
      </c>
      <c r="I261" s="67">
        <v>3</v>
      </c>
      <c r="J261" s="68">
        <v>2020</v>
      </c>
      <c r="K261" s="69">
        <v>1</v>
      </c>
      <c r="L261" s="70">
        <v>3</v>
      </c>
      <c r="M261" s="71" t="s">
        <v>140</v>
      </c>
      <c r="N261" s="71" t="s">
        <v>18</v>
      </c>
      <c r="O261" s="71" t="s">
        <v>114</v>
      </c>
      <c r="P261" s="71" t="s">
        <v>102</v>
      </c>
      <c r="Q261" s="61" t="s">
        <v>766</v>
      </c>
      <c r="R261" s="63" t="s">
        <v>106</v>
      </c>
      <c r="S261" s="72" t="s">
        <v>767</v>
      </c>
      <c r="T261" s="61" t="s">
        <v>768</v>
      </c>
      <c r="U261" s="73" t="s">
        <v>773</v>
      </c>
      <c r="V261" s="62">
        <v>107278</v>
      </c>
      <c r="W261" s="62" t="s">
        <v>770</v>
      </c>
      <c r="X261" s="62" t="s">
        <v>402</v>
      </c>
      <c r="Y261" s="93">
        <v>1</v>
      </c>
      <c r="Z261" s="94">
        <v>1</v>
      </c>
      <c r="AA261" s="74">
        <v>0</v>
      </c>
      <c r="AB261" s="75">
        <v>0</v>
      </c>
      <c r="AC261" s="75">
        <v>0</v>
      </c>
      <c r="AD261" s="76">
        <v>0</v>
      </c>
      <c r="AE261" s="77">
        <v>1</v>
      </c>
      <c r="AF261" s="75">
        <v>2</v>
      </c>
      <c r="AG261" s="78">
        <v>99.812004573521719</v>
      </c>
      <c r="AH261" s="79">
        <v>119.7744054886912</v>
      </c>
      <c r="AI261" s="74">
        <v>0</v>
      </c>
      <c r="AJ261" s="75">
        <v>0</v>
      </c>
      <c r="AK261" s="75">
        <v>0</v>
      </c>
      <c r="AL261" s="80">
        <v>0</v>
      </c>
      <c r="AM261" s="74">
        <v>0</v>
      </c>
      <c r="AN261" s="74">
        <v>0</v>
      </c>
      <c r="AO261" s="81" t="s">
        <v>403</v>
      </c>
      <c r="AP261" s="82">
        <v>0</v>
      </c>
      <c r="AQ261" s="75">
        <v>0</v>
      </c>
      <c r="AR261" s="75">
        <v>0</v>
      </c>
      <c r="AS261" s="80">
        <v>0</v>
      </c>
      <c r="AT261" s="74">
        <v>5.0904122332693769</v>
      </c>
      <c r="AU261" s="75">
        <v>3.0043413376359092</v>
      </c>
      <c r="AV261" s="75">
        <v>9.8813884528170242</v>
      </c>
      <c r="AW261" s="75">
        <v>4.6612206136403271</v>
      </c>
      <c r="AX261" s="80">
        <v>22.637362637362639</v>
      </c>
      <c r="AY261" s="81">
        <v>0</v>
      </c>
      <c r="AZ261" s="83" t="s">
        <v>403</v>
      </c>
      <c r="BA261" s="80" t="s">
        <v>403</v>
      </c>
      <c r="BB261" s="84">
        <v>87.056030388976097</v>
      </c>
      <c r="BC261" s="85">
        <v>8.810101010061782</v>
      </c>
      <c r="BD261" s="86">
        <v>0.87219999999950359</v>
      </c>
      <c r="BE261" s="84">
        <v>91.717251002616436</v>
      </c>
      <c r="BF261" s="87">
        <v>6.3067947837615348</v>
      </c>
      <c r="BG261" s="88">
        <v>0.91890000000007344</v>
      </c>
      <c r="BH261" s="89">
        <v>0</v>
      </c>
      <c r="BI261" s="90">
        <v>0</v>
      </c>
      <c r="BJ261" s="90">
        <v>0.2268000000008808</v>
      </c>
      <c r="BK261" s="91">
        <v>0.2268000000008808</v>
      </c>
      <c r="BL261" s="92">
        <v>77.174641936159077</v>
      </c>
      <c r="BM261" s="95">
        <v>0</v>
      </c>
      <c r="BN261" t="s">
        <v>402</v>
      </c>
      <c r="BO261">
        <v>0.85994999999999999</v>
      </c>
    </row>
    <row r="262" spans="1:67">
      <c r="A262" s="61" t="str">
        <f t="shared" si="4"/>
        <v>UK</v>
      </c>
      <c r="B262" s="62" t="s">
        <v>64</v>
      </c>
      <c r="C262" s="62" t="s">
        <v>176</v>
      </c>
      <c r="D262" s="63" t="s">
        <v>97</v>
      </c>
      <c r="E262" s="64">
        <v>43831</v>
      </c>
      <c r="F262" s="64">
        <v>43921</v>
      </c>
      <c r="G262" s="65">
        <v>43995</v>
      </c>
      <c r="H262" s="66" t="s">
        <v>132</v>
      </c>
      <c r="I262" s="67">
        <v>3</v>
      </c>
      <c r="J262" s="68">
        <v>2020</v>
      </c>
      <c r="K262" s="69">
        <v>1</v>
      </c>
      <c r="L262" s="70">
        <v>3</v>
      </c>
      <c r="M262" s="71" t="s">
        <v>140</v>
      </c>
      <c r="N262" s="71" t="s">
        <v>18</v>
      </c>
      <c r="O262" s="71" t="s">
        <v>114</v>
      </c>
      <c r="P262" s="71" t="s">
        <v>102</v>
      </c>
      <c r="Q262" s="61" t="s">
        <v>766</v>
      </c>
      <c r="R262" s="63" t="s">
        <v>106</v>
      </c>
      <c r="S262" s="72" t="s">
        <v>767</v>
      </c>
      <c r="T262" s="61" t="s">
        <v>768</v>
      </c>
      <c r="U262" s="73" t="s">
        <v>774</v>
      </c>
      <c r="V262" s="62">
        <v>107775</v>
      </c>
      <c r="W262" s="62" t="s">
        <v>770</v>
      </c>
      <c r="X262" s="62" t="s">
        <v>402</v>
      </c>
      <c r="Y262" s="93">
        <v>1</v>
      </c>
      <c r="Z262" s="94">
        <v>1</v>
      </c>
      <c r="AA262" s="74">
        <v>1</v>
      </c>
      <c r="AB262" s="75">
        <v>2</v>
      </c>
      <c r="AC262" s="75">
        <v>99.812004573521719</v>
      </c>
      <c r="AD262" s="76">
        <v>119.7744054886912</v>
      </c>
      <c r="AE262" s="77">
        <v>1.2946428570999999</v>
      </c>
      <c r="AF262" s="75">
        <v>2.2946428570999999</v>
      </c>
      <c r="AG262" s="78">
        <v>114.51645167626025</v>
      </c>
      <c r="AH262" s="79">
        <v>137.41974200825629</v>
      </c>
      <c r="AI262" s="74">
        <v>0</v>
      </c>
      <c r="AJ262" s="75">
        <v>0</v>
      </c>
      <c r="AK262" s="75">
        <v>0</v>
      </c>
      <c r="AL262" s="80">
        <v>0</v>
      </c>
      <c r="AM262" s="74">
        <v>0</v>
      </c>
      <c r="AN262" s="74">
        <v>0</v>
      </c>
      <c r="AO262" s="81" t="s">
        <v>403</v>
      </c>
      <c r="AP262" s="82">
        <v>0</v>
      </c>
      <c r="AQ262" s="75">
        <v>0</v>
      </c>
      <c r="AR262" s="75">
        <v>0</v>
      </c>
      <c r="AS262" s="80">
        <v>0</v>
      </c>
      <c r="AT262" s="74">
        <v>5.8403390355253206</v>
      </c>
      <c r="AU262" s="75">
        <v>3.4469451954183383</v>
      </c>
      <c r="AV262" s="75">
        <v>11.337128715971859</v>
      </c>
      <c r="AW262" s="75">
        <v>5.3479182932728655</v>
      </c>
      <c r="AX262" s="80">
        <v>25.972331240188385</v>
      </c>
      <c r="AY262" s="81">
        <v>0</v>
      </c>
      <c r="AZ262" s="83" t="s">
        <v>403</v>
      </c>
      <c r="BA262" s="80" t="s">
        <v>403</v>
      </c>
      <c r="BB262" s="84">
        <v>99.881249152043722</v>
      </c>
      <c r="BC262" s="85">
        <v>8.8101010100846811</v>
      </c>
      <c r="BD262" s="86">
        <v>0.87220000000008324</v>
      </c>
      <c r="BE262" s="84">
        <v>105.22916744531659</v>
      </c>
      <c r="BF262" s="87">
        <v>6.3067947837972529</v>
      </c>
      <c r="BG262" s="88">
        <v>0.91890000000000915</v>
      </c>
      <c r="BH262" s="89">
        <v>0</v>
      </c>
      <c r="BI262" s="90">
        <v>0</v>
      </c>
      <c r="BJ262" s="90">
        <v>0.22680000000010969</v>
      </c>
      <c r="BK262" s="91">
        <v>0.22680000000010969</v>
      </c>
      <c r="BL262" s="92">
        <v>88.544120436071864</v>
      </c>
      <c r="BM262" s="95">
        <v>0</v>
      </c>
      <c r="BN262" t="s">
        <v>402</v>
      </c>
      <c r="BO262">
        <v>0.85994999999999999</v>
      </c>
    </row>
    <row r="263" spans="1:67">
      <c r="A263" s="61" t="str">
        <f t="shared" si="4"/>
        <v>UK</v>
      </c>
      <c r="B263" s="62" t="s">
        <v>64</v>
      </c>
      <c r="C263" s="62" t="s">
        <v>176</v>
      </c>
      <c r="D263" s="63" t="s">
        <v>97</v>
      </c>
      <c r="E263" s="64">
        <v>43831</v>
      </c>
      <c r="F263" s="64">
        <v>43921</v>
      </c>
      <c r="G263" s="65">
        <v>43995</v>
      </c>
      <c r="H263" s="66" t="s">
        <v>132</v>
      </c>
      <c r="I263" s="67">
        <v>3</v>
      </c>
      <c r="J263" s="68">
        <v>2020</v>
      </c>
      <c r="K263" s="69">
        <v>1</v>
      </c>
      <c r="L263" s="70">
        <v>3</v>
      </c>
      <c r="M263" s="71" t="s">
        <v>140</v>
      </c>
      <c r="N263" s="71" t="s">
        <v>18</v>
      </c>
      <c r="O263" s="71" t="s">
        <v>114</v>
      </c>
      <c r="P263" s="71" t="s">
        <v>102</v>
      </c>
      <c r="Q263" s="61" t="s">
        <v>766</v>
      </c>
      <c r="R263" s="63" t="s">
        <v>106</v>
      </c>
      <c r="S263" s="72" t="s">
        <v>767</v>
      </c>
      <c r="T263" s="61" t="s">
        <v>768</v>
      </c>
      <c r="U263" s="73" t="s">
        <v>775</v>
      </c>
      <c r="V263" s="62">
        <v>107777</v>
      </c>
      <c r="W263" s="62" t="s">
        <v>770</v>
      </c>
      <c r="X263" s="62" t="s">
        <v>402</v>
      </c>
      <c r="Y263" s="93">
        <v>1</v>
      </c>
      <c r="Z263" s="94">
        <v>1</v>
      </c>
      <c r="AA263" s="74">
        <v>0</v>
      </c>
      <c r="AB263" s="75">
        <v>0</v>
      </c>
      <c r="AC263" s="75">
        <v>0</v>
      </c>
      <c r="AD263" s="76">
        <v>0</v>
      </c>
      <c r="AE263" s="77">
        <v>0.56653465349999999</v>
      </c>
      <c r="AF263" s="75">
        <v>0.56653465349999999</v>
      </c>
      <c r="AG263" s="78">
        <v>13.724990151753008</v>
      </c>
      <c r="AH263" s="79">
        <v>16.469988181871038</v>
      </c>
      <c r="AI263" s="74">
        <v>0</v>
      </c>
      <c r="AJ263" s="75">
        <v>0</v>
      </c>
      <c r="AK263" s="75">
        <v>0</v>
      </c>
      <c r="AL263" s="80">
        <v>0</v>
      </c>
      <c r="AM263" s="74">
        <v>0</v>
      </c>
      <c r="AN263" s="74">
        <v>0</v>
      </c>
      <c r="AO263" s="81" t="s">
        <v>403</v>
      </c>
      <c r="AP263" s="82">
        <v>0</v>
      </c>
      <c r="AQ263" s="75">
        <v>0</v>
      </c>
      <c r="AR263" s="75">
        <v>0</v>
      </c>
      <c r="AS263" s="80">
        <v>0</v>
      </c>
      <c r="AT263" s="74">
        <v>0.69997449770335485</v>
      </c>
      <c r="AU263" s="75">
        <v>0.41312220350020346</v>
      </c>
      <c r="AV263" s="75">
        <v>1.3587740250014537</v>
      </c>
      <c r="AW263" s="75">
        <v>0.64095704006046861</v>
      </c>
      <c r="AX263" s="80">
        <v>3.1128277662654806</v>
      </c>
      <c r="AY263" s="81">
        <v>0</v>
      </c>
      <c r="AZ263" s="83" t="s">
        <v>403</v>
      </c>
      <c r="BA263" s="80" t="s">
        <v>403</v>
      </c>
      <c r="BB263" s="84">
        <v>11.970936410488981</v>
      </c>
      <c r="BC263" s="85">
        <v>8.8101010103399453</v>
      </c>
      <c r="BD263" s="86">
        <v>0.87220000000947229</v>
      </c>
      <c r="BE263" s="84">
        <v>12.61189345054945</v>
      </c>
      <c r="BF263" s="87">
        <v>6.3067947840070779</v>
      </c>
      <c r="BG263" s="88">
        <v>0.91890000000754912</v>
      </c>
      <c r="BH263" s="89">
        <v>0</v>
      </c>
      <c r="BI263" s="90">
        <v>0</v>
      </c>
      <c r="BJ263" s="90">
        <v>0.22679999998891789</v>
      </c>
      <c r="BK263" s="91">
        <v>0.22679999998891789</v>
      </c>
      <c r="BL263" s="92">
        <v>10.612162385487528</v>
      </c>
      <c r="BM263" s="95">
        <v>0</v>
      </c>
      <c r="BN263" t="s">
        <v>402</v>
      </c>
      <c r="BO263">
        <v>0.85994999999999999</v>
      </c>
    </row>
    <row r="264" spans="1:67">
      <c r="A264" s="61" t="str">
        <f t="shared" si="4"/>
        <v>UK</v>
      </c>
      <c r="B264" s="62" t="s">
        <v>64</v>
      </c>
      <c r="C264" s="62" t="s">
        <v>176</v>
      </c>
      <c r="D264" s="63" t="s">
        <v>97</v>
      </c>
      <c r="E264" s="64">
        <v>43831</v>
      </c>
      <c r="F264" s="64">
        <v>43921</v>
      </c>
      <c r="G264" s="65">
        <v>43995</v>
      </c>
      <c r="H264" s="66" t="s">
        <v>132</v>
      </c>
      <c r="I264" s="67">
        <v>3</v>
      </c>
      <c r="J264" s="68">
        <v>2020</v>
      </c>
      <c r="K264" s="69">
        <v>1</v>
      </c>
      <c r="L264" s="70">
        <v>3</v>
      </c>
      <c r="M264" s="71" t="s">
        <v>140</v>
      </c>
      <c r="N264" s="71" t="s">
        <v>18</v>
      </c>
      <c r="O264" s="71" t="s">
        <v>114</v>
      </c>
      <c r="P264" s="71" t="s">
        <v>102</v>
      </c>
      <c r="Q264" s="61" t="s">
        <v>766</v>
      </c>
      <c r="R264" s="63" t="s">
        <v>165</v>
      </c>
      <c r="S264" s="72" t="s">
        <v>776</v>
      </c>
      <c r="T264" s="61" t="s">
        <v>777</v>
      </c>
      <c r="U264" s="73" t="s">
        <v>778</v>
      </c>
      <c r="V264" s="62">
        <v>107299</v>
      </c>
      <c r="W264" s="62" t="s">
        <v>770</v>
      </c>
      <c r="X264" s="62" t="s">
        <v>402</v>
      </c>
      <c r="Y264" s="93">
        <v>1</v>
      </c>
      <c r="Z264" s="94">
        <v>1</v>
      </c>
      <c r="AA264" s="74">
        <v>0</v>
      </c>
      <c r="AB264" s="75">
        <v>0</v>
      </c>
      <c r="AC264" s="75">
        <v>0</v>
      </c>
      <c r="AD264" s="76">
        <v>0</v>
      </c>
      <c r="AE264" s="77">
        <v>1.55</v>
      </c>
      <c r="AF264" s="75">
        <v>3.1</v>
      </c>
      <c r="AG264" s="78">
        <v>75.101265577068432</v>
      </c>
      <c r="AH264" s="79">
        <v>90.121518692947262</v>
      </c>
      <c r="AI264" s="74">
        <v>0</v>
      </c>
      <c r="AJ264" s="75">
        <v>0</v>
      </c>
      <c r="AK264" s="75">
        <v>0</v>
      </c>
      <c r="AL264" s="80">
        <v>0</v>
      </c>
      <c r="AM264" s="74">
        <v>0</v>
      </c>
      <c r="AN264" s="74">
        <v>0</v>
      </c>
      <c r="AO264" s="81" t="s">
        <v>403</v>
      </c>
      <c r="AP264" s="82">
        <v>0</v>
      </c>
      <c r="AQ264" s="75">
        <v>0</v>
      </c>
      <c r="AR264" s="75">
        <v>0</v>
      </c>
      <c r="AS264" s="80">
        <v>0</v>
      </c>
      <c r="AT264" s="74">
        <v>3.830164544450259</v>
      </c>
      <c r="AU264" s="75">
        <v>2.2605480938426652</v>
      </c>
      <c r="AV264" s="75">
        <v>7.4350252921681488</v>
      </c>
      <c r="AW264" s="75">
        <v>3.5072291025059599</v>
      </c>
      <c r="AX264" s="80">
        <v>17.032967032967033</v>
      </c>
      <c r="AY264" s="81">
        <v>0</v>
      </c>
      <c r="AZ264" s="83" t="s">
        <v>403</v>
      </c>
      <c r="BA264" s="80" t="s">
        <v>403</v>
      </c>
      <c r="BB264" s="84">
        <v>65.503323836269544</v>
      </c>
      <c r="BC264" s="85">
        <v>8.810101010048875</v>
      </c>
      <c r="BD264" s="86">
        <v>0.87219999999934028</v>
      </c>
      <c r="BE264" s="84">
        <v>69.010552938775504</v>
      </c>
      <c r="BF264" s="87">
        <v>6.30679478374811</v>
      </c>
      <c r="BG264" s="88">
        <v>0.91890000000009753</v>
      </c>
      <c r="BH264" s="89">
        <v>0</v>
      </c>
      <c r="BI264" s="90">
        <v>0</v>
      </c>
      <c r="BJ264" s="90">
        <v>0.22680000000117059</v>
      </c>
      <c r="BK264" s="91">
        <v>0.22680000000117059</v>
      </c>
      <c r="BL264" s="92">
        <v>58.068298544101395</v>
      </c>
      <c r="BM264" s="95">
        <v>0</v>
      </c>
      <c r="BN264" t="s">
        <v>402</v>
      </c>
      <c r="BO264">
        <v>0.85994999999999999</v>
      </c>
    </row>
    <row r="265" spans="1:67">
      <c r="A265" s="61" t="str">
        <f t="shared" si="4"/>
        <v>UK</v>
      </c>
      <c r="B265" s="62" t="s">
        <v>64</v>
      </c>
      <c r="C265" s="62" t="s">
        <v>176</v>
      </c>
      <c r="D265" s="63" t="s">
        <v>97</v>
      </c>
      <c r="E265" s="64">
        <v>43831</v>
      </c>
      <c r="F265" s="64">
        <v>43921</v>
      </c>
      <c r="G265" s="65">
        <v>43995</v>
      </c>
      <c r="H265" s="66" t="s">
        <v>132</v>
      </c>
      <c r="I265" s="67">
        <v>3</v>
      </c>
      <c r="J265" s="68">
        <v>2020</v>
      </c>
      <c r="K265" s="69">
        <v>1</v>
      </c>
      <c r="L265" s="70">
        <v>3</v>
      </c>
      <c r="M265" s="71" t="s">
        <v>140</v>
      </c>
      <c r="N265" s="71" t="s">
        <v>18</v>
      </c>
      <c r="O265" s="71" t="s">
        <v>114</v>
      </c>
      <c r="P265" s="71" t="s">
        <v>102</v>
      </c>
      <c r="Q265" s="61" t="s">
        <v>766</v>
      </c>
      <c r="R265" s="63" t="s">
        <v>106</v>
      </c>
      <c r="S265" s="72" t="s">
        <v>776</v>
      </c>
      <c r="T265" s="61" t="s">
        <v>777</v>
      </c>
      <c r="U265" s="73" t="s">
        <v>779</v>
      </c>
      <c r="V265" s="62">
        <v>107791</v>
      </c>
      <c r="W265" s="62" t="s">
        <v>770</v>
      </c>
      <c r="X265" s="62" t="s">
        <v>402</v>
      </c>
      <c r="Y265" s="93">
        <v>1</v>
      </c>
      <c r="Z265" s="94">
        <v>1</v>
      </c>
      <c r="AA265" s="74">
        <v>3</v>
      </c>
      <c r="AB265" s="75">
        <v>5</v>
      </c>
      <c r="AC265" s="75">
        <v>121.13107351590209</v>
      </c>
      <c r="AD265" s="76">
        <v>145.35728821443107</v>
      </c>
      <c r="AE265" s="77">
        <v>3.3424390244</v>
      </c>
      <c r="AF265" s="75">
        <v>6.6848780487999999</v>
      </c>
      <c r="AG265" s="78">
        <v>161.94929086574803</v>
      </c>
      <c r="AH265" s="79">
        <v>194.33914904354904</v>
      </c>
      <c r="AI265" s="74">
        <v>0</v>
      </c>
      <c r="AJ265" s="75">
        <v>0</v>
      </c>
      <c r="AK265" s="75">
        <v>0</v>
      </c>
      <c r="AL265" s="80">
        <v>0</v>
      </c>
      <c r="AM265" s="74">
        <v>1</v>
      </c>
      <c r="AN265" s="74">
        <v>0</v>
      </c>
      <c r="AO265" s="81">
        <v>0</v>
      </c>
      <c r="AP265" s="82">
        <v>1</v>
      </c>
      <c r="AQ265" s="75">
        <v>2479.1207883016455</v>
      </c>
      <c r="AR265" s="75">
        <v>2479.1207883016455</v>
      </c>
      <c r="AS265" s="80">
        <v>4958.2415766032909</v>
      </c>
      <c r="AT265" s="74">
        <v>8.2594138342926922</v>
      </c>
      <c r="AU265" s="75">
        <v>4.8746736552125123</v>
      </c>
      <c r="AV265" s="75">
        <v>16.032979796499795</v>
      </c>
      <c r="AW265" s="75">
        <v>7.5630318835978834</v>
      </c>
      <c r="AX265" s="80">
        <v>36.73009916960288</v>
      </c>
      <c r="AY265" s="81">
        <v>0.14959136018637015</v>
      </c>
      <c r="AZ265" s="83">
        <v>4958.2415766032909</v>
      </c>
      <c r="BA265" s="80">
        <v>741.71010157669866</v>
      </c>
      <c r="BB265" s="84">
        <v>-4816.9894051106457</v>
      </c>
      <c r="BC265" s="85">
        <v>-300.44255442536365</v>
      </c>
      <c r="BD265" s="86">
        <v>-29.743812889577956</v>
      </c>
      <c r="BE265" s="84">
        <v>-4809.4263732270483</v>
      </c>
      <c r="BF265" s="87">
        <v>-203.82369861613574</v>
      </c>
      <c r="BG265" s="88">
        <v>-29.697112889576925</v>
      </c>
      <c r="BH265" s="89">
        <v>30.616012889575114</v>
      </c>
      <c r="BI265" s="90">
        <v>0</v>
      </c>
      <c r="BJ265" s="90">
        <v>0.22680000000772604</v>
      </c>
      <c r="BK265" s="91">
        <v>30.842812889582838</v>
      </c>
      <c r="BL265" s="92">
        <v>-4833.0223849071463</v>
      </c>
      <c r="BM265" s="95">
        <v>0</v>
      </c>
      <c r="BN265" t="s">
        <v>402</v>
      </c>
      <c r="BO265">
        <v>0.85994999999999999</v>
      </c>
    </row>
    <row r="266" spans="1:67">
      <c r="A266" s="61" t="str">
        <f t="shared" si="4"/>
        <v>UK</v>
      </c>
      <c r="B266" s="62" t="s">
        <v>64</v>
      </c>
      <c r="C266" s="62" t="s">
        <v>176</v>
      </c>
      <c r="D266" s="63" t="s">
        <v>97</v>
      </c>
      <c r="E266" s="64">
        <v>43831</v>
      </c>
      <c r="F266" s="64">
        <v>43921</v>
      </c>
      <c r="G266" s="65">
        <v>43995</v>
      </c>
      <c r="H266" s="66" t="s">
        <v>132</v>
      </c>
      <c r="I266" s="67">
        <v>3</v>
      </c>
      <c r="J266" s="68">
        <v>2020</v>
      </c>
      <c r="K266" s="69">
        <v>1</v>
      </c>
      <c r="L266" s="70">
        <v>3</v>
      </c>
      <c r="M266" s="71" t="s">
        <v>140</v>
      </c>
      <c r="N266" s="71" t="s">
        <v>18</v>
      </c>
      <c r="O266" s="71" t="s">
        <v>114</v>
      </c>
      <c r="P266" s="71" t="s">
        <v>102</v>
      </c>
      <c r="Q266" s="61" t="s">
        <v>766</v>
      </c>
      <c r="R266" s="63" t="s">
        <v>165</v>
      </c>
      <c r="S266" s="72" t="s">
        <v>776</v>
      </c>
      <c r="T266" s="61" t="s">
        <v>777</v>
      </c>
      <c r="U266" s="73" t="s">
        <v>780</v>
      </c>
      <c r="V266" s="62">
        <v>107292</v>
      </c>
      <c r="W266" s="62" t="s">
        <v>770</v>
      </c>
      <c r="X266" s="62" t="s">
        <v>402</v>
      </c>
      <c r="Y266" s="93">
        <v>1</v>
      </c>
      <c r="Z266" s="94">
        <v>1</v>
      </c>
      <c r="AA266" s="74">
        <v>0</v>
      </c>
      <c r="AB266" s="75">
        <v>0</v>
      </c>
      <c r="AC266" s="75">
        <v>0</v>
      </c>
      <c r="AD266" s="76">
        <v>0</v>
      </c>
      <c r="AE266" s="77">
        <v>1.5042349727</v>
      </c>
      <c r="AF266" s="75">
        <v>2.0001366119999999</v>
      </c>
      <c r="AG266" s="78">
        <v>45.834541996627713</v>
      </c>
      <c r="AH266" s="79">
        <v>55.001450395953249</v>
      </c>
      <c r="AI266" s="74">
        <v>0</v>
      </c>
      <c r="AJ266" s="75">
        <v>0</v>
      </c>
      <c r="AK266" s="75">
        <v>0</v>
      </c>
      <c r="AL266" s="80">
        <v>0</v>
      </c>
      <c r="AM266" s="74">
        <v>0</v>
      </c>
      <c r="AN266" s="74">
        <v>0</v>
      </c>
      <c r="AO266" s="81" t="s">
        <v>403</v>
      </c>
      <c r="AP266" s="82">
        <v>0</v>
      </c>
      <c r="AQ266" s="75">
        <v>0</v>
      </c>
      <c r="AR266" s="75">
        <v>0</v>
      </c>
      <c r="AS266" s="80">
        <v>0</v>
      </c>
      <c r="AT266" s="74">
        <v>2.3375616418396419</v>
      </c>
      <c r="AU266" s="75">
        <v>1.3796197140531425</v>
      </c>
      <c r="AV266" s="75">
        <v>4.5376196576545142</v>
      </c>
      <c r="AW266" s="75">
        <v>2.1404731112273971</v>
      </c>
      <c r="AX266" s="80">
        <v>10.395274124774696</v>
      </c>
      <c r="AY266" s="81">
        <v>0</v>
      </c>
      <c r="AZ266" s="83" t="s">
        <v>403</v>
      </c>
      <c r="BA266" s="80" t="s">
        <v>403</v>
      </c>
      <c r="BB266" s="84">
        <v>39.976887529507529</v>
      </c>
      <c r="BC266" s="85">
        <v>8.8101010101343515</v>
      </c>
      <c r="BD266" s="86">
        <v>0.87220000000106557</v>
      </c>
      <c r="BE266" s="84">
        <v>42.11736064073493</v>
      </c>
      <c r="BF266" s="87">
        <v>6.3067947838326432</v>
      </c>
      <c r="BG266" s="88">
        <v>0.91890000000073579</v>
      </c>
      <c r="BH266" s="89">
        <v>0</v>
      </c>
      <c r="BI266" s="90">
        <v>0</v>
      </c>
      <c r="BJ266" s="90">
        <v>0.2267999999986807</v>
      </c>
      <c r="BK266" s="91">
        <v>0.2267999999986807</v>
      </c>
      <c r="BL266" s="92">
        <v>35.439267871853019</v>
      </c>
      <c r="BM266" s="95">
        <v>0</v>
      </c>
      <c r="BN266" t="s">
        <v>402</v>
      </c>
      <c r="BO266">
        <v>0.85994999999999999</v>
      </c>
    </row>
    <row r="267" spans="1:67">
      <c r="A267" s="61" t="str">
        <f t="shared" si="4"/>
        <v>UK</v>
      </c>
      <c r="B267" s="62" t="s">
        <v>64</v>
      </c>
      <c r="C267" s="62" t="s">
        <v>176</v>
      </c>
      <c r="D267" s="63" t="s">
        <v>97</v>
      </c>
      <c r="E267" s="64">
        <v>43831</v>
      </c>
      <c r="F267" s="64">
        <v>43921</v>
      </c>
      <c r="G267" s="65">
        <v>43995</v>
      </c>
      <c r="H267" s="66" t="s">
        <v>132</v>
      </c>
      <c r="I267" s="67">
        <v>3</v>
      </c>
      <c r="J267" s="68">
        <v>2020</v>
      </c>
      <c r="K267" s="69">
        <v>1</v>
      </c>
      <c r="L267" s="70">
        <v>3</v>
      </c>
      <c r="M267" s="71" t="s">
        <v>140</v>
      </c>
      <c r="N267" s="71" t="s">
        <v>18</v>
      </c>
      <c r="O267" s="71" t="s">
        <v>114</v>
      </c>
      <c r="P267" s="71" t="s">
        <v>102</v>
      </c>
      <c r="Q267" s="61" t="s">
        <v>766</v>
      </c>
      <c r="R267" s="63" t="s">
        <v>112</v>
      </c>
      <c r="S267" s="72" t="s">
        <v>776</v>
      </c>
      <c r="T267" s="61" t="s">
        <v>777</v>
      </c>
      <c r="U267" s="73" t="s">
        <v>781</v>
      </c>
      <c r="V267" s="62">
        <v>107805</v>
      </c>
      <c r="W267" s="62" t="s">
        <v>770</v>
      </c>
      <c r="X267" s="62" t="s">
        <v>402</v>
      </c>
      <c r="Y267" s="93">
        <v>1</v>
      </c>
      <c r="Z267" s="94">
        <v>1</v>
      </c>
      <c r="AA267" s="74">
        <v>7</v>
      </c>
      <c r="AB267" s="75">
        <v>9</v>
      </c>
      <c r="AC267" s="75">
        <v>208.34544644456074</v>
      </c>
      <c r="AD267" s="76">
        <v>250.01453572882144</v>
      </c>
      <c r="AE267" s="77">
        <v>5.0195901639000002</v>
      </c>
      <c r="AF267" s="75">
        <v>6.8894262294999997</v>
      </c>
      <c r="AG267" s="78">
        <v>161.71395464852608</v>
      </c>
      <c r="AH267" s="79">
        <v>194.0567455782313</v>
      </c>
      <c r="AI267" s="74">
        <v>0</v>
      </c>
      <c r="AJ267" s="75">
        <v>0</v>
      </c>
      <c r="AK267" s="75">
        <v>0</v>
      </c>
      <c r="AL267" s="80">
        <v>0</v>
      </c>
      <c r="AM267" s="74">
        <v>0</v>
      </c>
      <c r="AN267" s="74">
        <v>0</v>
      </c>
      <c r="AO267" s="81" t="s">
        <v>403</v>
      </c>
      <c r="AP267" s="82">
        <v>0</v>
      </c>
      <c r="AQ267" s="75">
        <v>0</v>
      </c>
      <c r="AR267" s="75">
        <v>0</v>
      </c>
      <c r="AS267" s="80">
        <v>0</v>
      </c>
      <c r="AT267" s="74">
        <v>8.2474116870748304</v>
      </c>
      <c r="AU267" s="75">
        <v>4.8675900348857493</v>
      </c>
      <c r="AV267" s="75">
        <v>16.009681510552941</v>
      </c>
      <c r="AW267" s="75">
        <v>7.5520416820745391</v>
      </c>
      <c r="AX267" s="80">
        <v>36.676724914588057</v>
      </c>
      <c r="AY267" s="81">
        <v>0</v>
      </c>
      <c r="AZ267" s="83" t="s">
        <v>403</v>
      </c>
      <c r="BA267" s="80" t="s">
        <v>403</v>
      </c>
      <c r="BB267" s="84">
        <v>141.04691124449096</v>
      </c>
      <c r="BC267" s="85">
        <v>8.8101010099119392</v>
      </c>
      <c r="BD267" s="86">
        <v>0.87220000000028763</v>
      </c>
      <c r="BE267" s="84">
        <v>148.59895292656552</v>
      </c>
      <c r="BF267" s="87">
        <v>6.3067947837135483</v>
      </c>
      <c r="BG267" s="88">
        <v>0.91890000000021577</v>
      </c>
      <c r="BH267" s="89">
        <v>0</v>
      </c>
      <c r="BI267" s="90">
        <v>0</v>
      </c>
      <c r="BJ267" s="90">
        <v>0.22680000000186962</v>
      </c>
      <c r="BK267" s="91">
        <v>0.22680000000186962</v>
      </c>
      <c r="BL267" s="92">
        <v>125.03722973393803</v>
      </c>
      <c r="BM267" s="95">
        <v>0</v>
      </c>
      <c r="BN267" t="s">
        <v>402</v>
      </c>
      <c r="BO267">
        <v>0.85994999999999999</v>
      </c>
    </row>
    <row r="268" spans="1:67">
      <c r="A268" s="61" t="str">
        <f t="shared" si="4"/>
        <v>UK</v>
      </c>
      <c r="B268" s="62" t="s">
        <v>64</v>
      </c>
      <c r="C268" s="62" t="s">
        <v>176</v>
      </c>
      <c r="D268" s="63" t="s">
        <v>97</v>
      </c>
      <c r="E268" s="64">
        <v>43831</v>
      </c>
      <c r="F268" s="64">
        <v>43921</v>
      </c>
      <c r="G268" s="65">
        <v>43995</v>
      </c>
      <c r="H268" s="66" t="s">
        <v>132</v>
      </c>
      <c r="I268" s="67">
        <v>3</v>
      </c>
      <c r="J268" s="68">
        <v>2020</v>
      </c>
      <c r="K268" s="69">
        <v>1</v>
      </c>
      <c r="L268" s="70">
        <v>3</v>
      </c>
      <c r="M268" s="71" t="s">
        <v>140</v>
      </c>
      <c r="N268" s="71" t="s">
        <v>18</v>
      </c>
      <c r="O268" s="71" t="s">
        <v>114</v>
      </c>
      <c r="P268" s="71" t="s">
        <v>102</v>
      </c>
      <c r="Q268" s="61" t="s">
        <v>766</v>
      </c>
      <c r="R268" s="63" t="s">
        <v>112</v>
      </c>
      <c r="S268" s="72" t="s">
        <v>776</v>
      </c>
      <c r="T268" s="61" t="s">
        <v>777</v>
      </c>
      <c r="U268" s="73" t="s">
        <v>782</v>
      </c>
      <c r="V268" s="62">
        <v>107764</v>
      </c>
      <c r="W268" s="62" t="s">
        <v>770</v>
      </c>
      <c r="X268" s="62" t="s">
        <v>402</v>
      </c>
      <c r="Y268" s="93">
        <v>1</v>
      </c>
      <c r="Z268" s="94">
        <v>1</v>
      </c>
      <c r="AA268" s="74">
        <v>0</v>
      </c>
      <c r="AB268" s="75">
        <v>0</v>
      </c>
      <c r="AC268" s="75">
        <v>0</v>
      </c>
      <c r="AD268" s="76">
        <v>0</v>
      </c>
      <c r="AE268" s="77">
        <v>0.1352459016</v>
      </c>
      <c r="AF268" s="75">
        <v>0.1352459016</v>
      </c>
      <c r="AG268" s="78">
        <v>1.9658977504506074</v>
      </c>
      <c r="AH268" s="79">
        <v>2.3590773005407293</v>
      </c>
      <c r="AI268" s="74">
        <v>0</v>
      </c>
      <c r="AJ268" s="75">
        <v>0</v>
      </c>
      <c r="AK268" s="75">
        <v>0</v>
      </c>
      <c r="AL268" s="80">
        <v>0</v>
      </c>
      <c r="AM268" s="74">
        <v>0</v>
      </c>
      <c r="AN268" s="74">
        <v>0</v>
      </c>
      <c r="AO268" s="81" t="s">
        <v>403</v>
      </c>
      <c r="AP268" s="82">
        <v>0</v>
      </c>
      <c r="AQ268" s="75">
        <v>0</v>
      </c>
      <c r="AR268" s="75">
        <v>0</v>
      </c>
      <c r="AS268" s="80">
        <v>0</v>
      </c>
      <c r="AT268" s="74">
        <v>0.10026078527821385</v>
      </c>
      <c r="AU268" s="75">
        <v>5.9173522297808007E-2</v>
      </c>
      <c r="AV268" s="75">
        <v>0.19462387731844877</v>
      </c>
      <c r="AW268" s="75">
        <v>9.1807424966567824E-2</v>
      </c>
      <c r="AX268" s="80">
        <v>0.4458656098610384</v>
      </c>
      <c r="AY268" s="81">
        <v>0</v>
      </c>
      <c r="AZ268" s="83" t="s">
        <v>403</v>
      </c>
      <c r="BA268" s="80" t="s">
        <v>403</v>
      </c>
      <c r="BB268" s="84">
        <v>1.7146560179080179</v>
      </c>
      <c r="BC268" s="85">
        <v>8.8101010088420555</v>
      </c>
      <c r="BD268" s="86">
        <v>0.87219999998219544</v>
      </c>
      <c r="BE268" s="84">
        <v>1.8064634428745856</v>
      </c>
      <c r="BF268" s="87">
        <v>6.30679478277498</v>
      </c>
      <c r="BG268" s="88">
        <v>0.91889999999263561</v>
      </c>
      <c r="BH268" s="89">
        <v>0</v>
      </c>
      <c r="BI268" s="90">
        <v>0</v>
      </c>
      <c r="BJ268" s="90">
        <v>0.22680000002993067</v>
      </c>
      <c r="BK268" s="91">
        <v>0.22680000002993067</v>
      </c>
      <c r="BL268" s="92">
        <v>1.5200321405895689</v>
      </c>
      <c r="BM268" s="95">
        <v>0</v>
      </c>
      <c r="BN268" t="s">
        <v>402</v>
      </c>
      <c r="BO268">
        <v>0.85994999999999999</v>
      </c>
    </row>
    <row r="269" spans="1:67">
      <c r="A269" s="61" t="str">
        <f t="shared" si="4"/>
        <v>UK</v>
      </c>
      <c r="B269" s="62" t="s">
        <v>64</v>
      </c>
      <c r="C269" s="62" t="s">
        <v>176</v>
      </c>
      <c r="D269" s="63" t="s">
        <v>97</v>
      </c>
      <c r="E269" s="64">
        <v>43831</v>
      </c>
      <c r="F269" s="64">
        <v>43921</v>
      </c>
      <c r="G269" s="65">
        <v>43995</v>
      </c>
      <c r="H269" s="66" t="s">
        <v>132</v>
      </c>
      <c r="I269" s="67">
        <v>3</v>
      </c>
      <c r="J269" s="68">
        <v>2020</v>
      </c>
      <c r="K269" s="69">
        <v>1</v>
      </c>
      <c r="L269" s="70">
        <v>3</v>
      </c>
      <c r="M269" s="71" t="s">
        <v>140</v>
      </c>
      <c r="N269" s="71" t="s">
        <v>18</v>
      </c>
      <c r="O269" s="71" t="s">
        <v>114</v>
      </c>
      <c r="P269" s="71" t="s">
        <v>102</v>
      </c>
      <c r="Q269" s="61" t="s">
        <v>766</v>
      </c>
      <c r="R269" s="63" t="s">
        <v>165</v>
      </c>
      <c r="S269" s="72" t="s">
        <v>776</v>
      </c>
      <c r="T269" s="61" t="s">
        <v>777</v>
      </c>
      <c r="U269" s="73" t="s">
        <v>783</v>
      </c>
      <c r="V269" s="62">
        <v>107294</v>
      </c>
      <c r="W269" s="62" t="s">
        <v>770</v>
      </c>
      <c r="X269" s="62" t="s">
        <v>402</v>
      </c>
      <c r="Y269" s="93">
        <v>1</v>
      </c>
      <c r="Z269" s="94">
        <v>1</v>
      </c>
      <c r="AA269" s="74">
        <v>0</v>
      </c>
      <c r="AB269" s="75">
        <v>0</v>
      </c>
      <c r="AC269" s="75">
        <v>0</v>
      </c>
      <c r="AD269" s="76">
        <v>0</v>
      </c>
      <c r="AE269" s="77">
        <v>67.250273223999997</v>
      </c>
      <c r="AF269" s="75">
        <v>67.873907103999997</v>
      </c>
      <c r="AG269" s="78">
        <v>16237.188234199662</v>
      </c>
      <c r="AH269" s="79">
        <v>19484.625881737309</v>
      </c>
      <c r="AI269" s="74">
        <v>0</v>
      </c>
      <c r="AJ269" s="75">
        <v>0</v>
      </c>
      <c r="AK269" s="75">
        <v>0</v>
      </c>
      <c r="AL269" s="80">
        <v>0</v>
      </c>
      <c r="AM269" s="74">
        <v>0</v>
      </c>
      <c r="AN269" s="74">
        <v>0</v>
      </c>
      <c r="AO269" s="81" t="s">
        <v>403</v>
      </c>
      <c r="AP269" s="82">
        <v>0</v>
      </c>
      <c r="AQ269" s="75">
        <v>0</v>
      </c>
      <c r="AR269" s="75">
        <v>0</v>
      </c>
      <c r="AS269" s="80">
        <v>0</v>
      </c>
      <c r="AT269" s="74">
        <v>828.09659995348568</v>
      </c>
      <c r="AU269" s="75">
        <v>488.73936585848014</v>
      </c>
      <c r="AV269" s="75">
        <v>1607.4816352113494</v>
      </c>
      <c r="AW269" s="75">
        <v>758.27669054014768</v>
      </c>
      <c r="AX269" s="80">
        <v>3682.5942915634628</v>
      </c>
      <c r="AY269" s="81">
        <v>0</v>
      </c>
      <c r="AZ269" s="83" t="s">
        <v>403</v>
      </c>
      <c r="BA269" s="80" t="s">
        <v>403</v>
      </c>
      <c r="BB269" s="84">
        <v>14162.075577847549</v>
      </c>
      <c r="BC269" s="85">
        <v>8.8101010099474877</v>
      </c>
      <c r="BD269" s="86">
        <v>0.87219999999868225</v>
      </c>
      <c r="BE269" s="84">
        <v>14920.352268387696</v>
      </c>
      <c r="BF269" s="87">
        <v>6.3067947837183063</v>
      </c>
      <c r="BG269" s="88">
        <v>0.9188999999988684</v>
      </c>
      <c r="BH269" s="89">
        <v>0</v>
      </c>
      <c r="BI269" s="90">
        <v>0</v>
      </c>
      <c r="BJ269" s="90">
        <v>0.22680000000289333</v>
      </c>
      <c r="BK269" s="91">
        <v>0.22680000000289333</v>
      </c>
      <c r="BL269" s="92">
        <v>12554.5939426362</v>
      </c>
      <c r="BM269" s="95">
        <v>0</v>
      </c>
      <c r="BN269" t="s">
        <v>402</v>
      </c>
      <c r="BO269">
        <v>0.85994999999999999</v>
      </c>
    </row>
    <row r="270" spans="1:67">
      <c r="A270" s="61" t="str">
        <f t="shared" si="4"/>
        <v>UK</v>
      </c>
      <c r="B270" s="62" t="s">
        <v>64</v>
      </c>
      <c r="C270" s="62" t="s">
        <v>176</v>
      </c>
      <c r="D270" s="63" t="s">
        <v>97</v>
      </c>
      <c r="E270" s="64">
        <v>43831</v>
      </c>
      <c r="F270" s="64">
        <v>43921</v>
      </c>
      <c r="G270" s="65">
        <v>43995</v>
      </c>
      <c r="H270" s="66" t="s">
        <v>132</v>
      </c>
      <c r="I270" s="67">
        <v>3</v>
      </c>
      <c r="J270" s="68">
        <v>2020</v>
      </c>
      <c r="K270" s="69">
        <v>1</v>
      </c>
      <c r="L270" s="70">
        <v>3</v>
      </c>
      <c r="M270" s="71" t="s">
        <v>140</v>
      </c>
      <c r="N270" s="71" t="s">
        <v>18</v>
      </c>
      <c r="O270" s="71" t="s">
        <v>114</v>
      </c>
      <c r="P270" s="71" t="s">
        <v>102</v>
      </c>
      <c r="Q270" s="61" t="s">
        <v>766</v>
      </c>
      <c r="R270" s="63" t="s">
        <v>112</v>
      </c>
      <c r="S270" s="72" t="s">
        <v>776</v>
      </c>
      <c r="T270" s="61" t="s">
        <v>777</v>
      </c>
      <c r="U270" s="73" t="s">
        <v>784</v>
      </c>
      <c r="V270" s="62">
        <v>107765</v>
      </c>
      <c r="W270" s="62" t="s">
        <v>770</v>
      </c>
      <c r="X270" s="62" t="s">
        <v>402</v>
      </c>
      <c r="Y270" s="93">
        <v>1</v>
      </c>
      <c r="Z270" s="94">
        <v>1</v>
      </c>
      <c r="AA270" s="74">
        <v>339</v>
      </c>
      <c r="AB270" s="75">
        <v>339</v>
      </c>
      <c r="AC270" s="75">
        <v>84295.61806267807</v>
      </c>
      <c r="AD270" s="76">
        <v>101154.74167451596</v>
      </c>
      <c r="AE270" s="77">
        <v>188.61659825000001</v>
      </c>
      <c r="AF270" s="75">
        <v>189.02233595000001</v>
      </c>
      <c r="AG270" s="78">
        <v>49753.139013896158</v>
      </c>
      <c r="AH270" s="79">
        <v>59703.766816675387</v>
      </c>
      <c r="AI270" s="74">
        <v>0</v>
      </c>
      <c r="AJ270" s="75">
        <v>0</v>
      </c>
      <c r="AK270" s="75">
        <v>0</v>
      </c>
      <c r="AL270" s="80">
        <v>0</v>
      </c>
      <c r="AM270" s="74">
        <v>4</v>
      </c>
      <c r="AN270" s="74">
        <v>1</v>
      </c>
      <c r="AO270" s="81">
        <v>0.25</v>
      </c>
      <c r="AP270" s="82">
        <v>8</v>
      </c>
      <c r="AQ270" s="75">
        <v>27739.170655270653</v>
      </c>
      <c r="AR270" s="75">
        <v>48054.305256119544</v>
      </c>
      <c r="AS270" s="80">
        <v>75793.475911390196</v>
      </c>
      <c r="AT270" s="74">
        <v>2537.4100896563755</v>
      </c>
      <c r="AU270" s="75">
        <v>1497.5694842723412</v>
      </c>
      <c r="AV270" s="75">
        <v>4925.5607623699052</v>
      </c>
      <c r="AW270" s="75">
        <v>2323.4715919530204</v>
      </c>
      <c r="AX270" s="80">
        <v>11284.011928251643</v>
      </c>
      <c r="AY270" s="81">
        <v>4.232304060677862E-2</v>
      </c>
      <c r="AZ270" s="83">
        <v>9474.1844889237746</v>
      </c>
      <c r="BA270" s="80">
        <v>400.97629484083308</v>
      </c>
      <c r="BB270" s="84">
        <v>-32398.788063375774</v>
      </c>
      <c r="BC270" s="85">
        <v>-6.5776851868105437</v>
      </c>
      <c r="BD270" s="86">
        <v>-0.65119083349347517</v>
      </c>
      <c r="BE270" s="84">
        <v>-30075.316471422761</v>
      </c>
      <c r="BF270" s="87">
        <v>-4.1488732566474873</v>
      </c>
      <c r="BG270" s="88">
        <v>-0.6044908334933935</v>
      </c>
      <c r="BH270" s="89">
        <v>1.5233908334953683</v>
      </c>
      <c r="BI270" s="90">
        <v>0</v>
      </c>
      <c r="BJ270" s="90">
        <v>0.22679999999798994</v>
      </c>
      <c r="BK270" s="91">
        <v>1.7501908334933582</v>
      </c>
      <c r="BL270" s="92">
        <v>-37324.348825745677</v>
      </c>
      <c r="BM270" s="95">
        <v>0</v>
      </c>
      <c r="BN270" t="s">
        <v>402</v>
      </c>
      <c r="BO270">
        <v>0.85994999999999999</v>
      </c>
    </row>
    <row r="271" spans="1:67">
      <c r="A271" s="61" t="str">
        <f t="shared" si="4"/>
        <v>UK</v>
      </c>
      <c r="B271" s="62" t="s">
        <v>64</v>
      </c>
      <c r="C271" s="62" t="s">
        <v>176</v>
      </c>
      <c r="D271" s="63" t="s">
        <v>97</v>
      </c>
      <c r="E271" s="64">
        <v>43831</v>
      </c>
      <c r="F271" s="64">
        <v>43921</v>
      </c>
      <c r="G271" s="65">
        <v>43995</v>
      </c>
      <c r="H271" s="66" t="s">
        <v>132</v>
      </c>
      <c r="I271" s="67">
        <v>3</v>
      </c>
      <c r="J271" s="68">
        <v>2020</v>
      </c>
      <c r="K271" s="69">
        <v>1</v>
      </c>
      <c r="L271" s="70">
        <v>3</v>
      </c>
      <c r="M271" s="71" t="s">
        <v>140</v>
      </c>
      <c r="N271" s="71" t="s">
        <v>18</v>
      </c>
      <c r="O271" s="71" t="s">
        <v>114</v>
      </c>
      <c r="P271" s="71" t="s">
        <v>102</v>
      </c>
      <c r="Q271" s="61" t="s">
        <v>766</v>
      </c>
      <c r="R271" s="63" t="s">
        <v>165</v>
      </c>
      <c r="S271" s="72" t="s">
        <v>776</v>
      </c>
      <c r="T271" s="61" t="s">
        <v>777</v>
      </c>
      <c r="U271" s="73" t="s">
        <v>785</v>
      </c>
      <c r="V271" s="62">
        <v>107297</v>
      </c>
      <c r="W271" s="62" t="s">
        <v>770</v>
      </c>
      <c r="X271" s="62" t="s">
        <v>402</v>
      </c>
      <c r="Y271" s="93">
        <v>1</v>
      </c>
      <c r="Z271" s="94">
        <v>1</v>
      </c>
      <c r="AA271" s="74">
        <v>0</v>
      </c>
      <c r="AB271" s="75">
        <v>0</v>
      </c>
      <c r="AC271" s="75">
        <v>0</v>
      </c>
      <c r="AD271" s="76">
        <v>0</v>
      </c>
      <c r="AE271" s="77">
        <v>1.8049999999999999</v>
      </c>
      <c r="AF271" s="75">
        <v>1.8049999999999999</v>
      </c>
      <c r="AG271" s="78">
        <v>139.29889177277749</v>
      </c>
      <c r="AH271" s="79">
        <v>167.15867012035585</v>
      </c>
      <c r="AI271" s="74">
        <v>0</v>
      </c>
      <c r="AJ271" s="75">
        <v>0</v>
      </c>
      <c r="AK271" s="75">
        <v>0</v>
      </c>
      <c r="AL271" s="80">
        <v>0</v>
      </c>
      <c r="AM271" s="74">
        <v>0</v>
      </c>
      <c r="AN271" s="74">
        <v>0</v>
      </c>
      <c r="AO271" s="81" t="s">
        <v>403</v>
      </c>
      <c r="AP271" s="82">
        <v>0</v>
      </c>
      <c r="AQ271" s="75">
        <v>0</v>
      </c>
      <c r="AR271" s="75">
        <v>0</v>
      </c>
      <c r="AS271" s="80">
        <v>0</v>
      </c>
      <c r="AT271" s="74">
        <v>7.1042434803186234</v>
      </c>
      <c r="AU271" s="75">
        <v>4.1928966422466427</v>
      </c>
      <c r="AV271" s="75">
        <v>13.790590285481713</v>
      </c>
      <c r="AW271" s="75">
        <v>6.5052582457119605</v>
      </c>
      <c r="AX271" s="80">
        <v>31.59298865375894</v>
      </c>
      <c r="AY271" s="81">
        <v>0</v>
      </c>
      <c r="AZ271" s="83" t="s">
        <v>403</v>
      </c>
      <c r="BA271" s="80" t="s">
        <v>403</v>
      </c>
      <c r="BB271" s="84">
        <v>121.49649340450027</v>
      </c>
      <c r="BC271" s="85">
        <v>8.8101010101364441</v>
      </c>
      <c r="BD271" s="86">
        <v>0.8722000000020369</v>
      </c>
      <c r="BE271" s="84">
        <v>128.00175165021221</v>
      </c>
      <c r="BF271" s="87">
        <v>6.3067947838436078</v>
      </c>
      <c r="BG271" s="88">
        <v>0.91890000000148586</v>
      </c>
      <c r="BH271" s="89">
        <v>0</v>
      </c>
      <c r="BI271" s="90">
        <v>0</v>
      </c>
      <c r="BJ271" s="90">
        <v>0.22679999999779613</v>
      </c>
      <c r="BK271" s="91">
        <v>0.22679999999779613</v>
      </c>
      <c r="BL271" s="92">
        <v>107.70590311901856</v>
      </c>
      <c r="BM271" s="95">
        <v>0</v>
      </c>
      <c r="BN271" t="s">
        <v>402</v>
      </c>
      <c r="BO271">
        <v>0.85994999999999999</v>
      </c>
    </row>
    <row r="272" spans="1:67">
      <c r="A272" s="61" t="str">
        <f t="shared" si="4"/>
        <v>UK</v>
      </c>
      <c r="B272" s="62" t="s">
        <v>64</v>
      </c>
      <c r="C272" s="62" t="s">
        <v>176</v>
      </c>
      <c r="D272" s="63" t="s">
        <v>97</v>
      </c>
      <c r="E272" s="64">
        <v>43831</v>
      </c>
      <c r="F272" s="64">
        <v>43921</v>
      </c>
      <c r="G272" s="65">
        <v>43995</v>
      </c>
      <c r="H272" s="66" t="s">
        <v>132</v>
      </c>
      <c r="I272" s="67">
        <v>3</v>
      </c>
      <c r="J272" s="68">
        <v>2020</v>
      </c>
      <c r="K272" s="69">
        <v>1</v>
      </c>
      <c r="L272" s="70">
        <v>3</v>
      </c>
      <c r="M272" s="71" t="s">
        <v>140</v>
      </c>
      <c r="N272" s="71" t="s">
        <v>18</v>
      </c>
      <c r="O272" s="71" t="s">
        <v>114</v>
      </c>
      <c r="P272" s="71" t="s">
        <v>102</v>
      </c>
      <c r="Q272" s="61" t="s">
        <v>766</v>
      </c>
      <c r="R272" s="63" t="s">
        <v>106</v>
      </c>
      <c r="S272" s="72" t="s">
        <v>776</v>
      </c>
      <c r="T272" s="61" t="s">
        <v>777</v>
      </c>
      <c r="U272" s="73" t="s">
        <v>786</v>
      </c>
      <c r="V272" s="62">
        <v>107767</v>
      </c>
      <c r="W272" s="62" t="s">
        <v>770</v>
      </c>
      <c r="X272" s="62" t="s">
        <v>402</v>
      </c>
      <c r="Y272" s="93">
        <v>1</v>
      </c>
      <c r="Z272" s="94">
        <v>1</v>
      </c>
      <c r="AA272" s="74">
        <v>29</v>
      </c>
      <c r="AB272" s="75">
        <v>29</v>
      </c>
      <c r="AC272" s="75">
        <v>4985.1736319553456</v>
      </c>
      <c r="AD272" s="76">
        <v>5982.2083583929298</v>
      </c>
      <c r="AE272" s="77">
        <v>28.123492063</v>
      </c>
      <c r="AF272" s="75">
        <v>28.123492063</v>
      </c>
      <c r="AG272" s="78">
        <v>5276.9974668294672</v>
      </c>
      <c r="AH272" s="79">
        <v>6332.3969601721028</v>
      </c>
      <c r="AI272" s="74">
        <v>0</v>
      </c>
      <c r="AJ272" s="75">
        <v>0</v>
      </c>
      <c r="AK272" s="75">
        <v>0</v>
      </c>
      <c r="AL272" s="80">
        <v>0</v>
      </c>
      <c r="AM272" s="74">
        <v>1</v>
      </c>
      <c r="AN272" s="74">
        <v>1</v>
      </c>
      <c r="AO272" s="81">
        <v>1</v>
      </c>
      <c r="AP272" s="82">
        <v>6</v>
      </c>
      <c r="AQ272" s="75">
        <v>0</v>
      </c>
      <c r="AR272" s="75">
        <v>16488.261036106753</v>
      </c>
      <c r="AS272" s="80">
        <v>16488.261036106753</v>
      </c>
      <c r="AT272" s="74">
        <v>269.12687080644224</v>
      </c>
      <c r="AU272" s="75">
        <v>158.83762374556659</v>
      </c>
      <c r="AV272" s="75">
        <v>522.42274921797775</v>
      </c>
      <c r="AW272" s="75">
        <v>246.43578169661026</v>
      </c>
      <c r="AX272" s="80">
        <v>1196.8230254665968</v>
      </c>
      <c r="AY272" s="81">
        <v>0.21334477192801232</v>
      </c>
      <c r="AZ272" s="83">
        <v>2748.043506017792</v>
      </c>
      <c r="BA272" s="80">
        <v>586.28071503962121</v>
      </c>
      <c r="BB272" s="84">
        <v>-11885.663845525905</v>
      </c>
      <c r="BC272" s="85">
        <v>-22.751045706408707</v>
      </c>
      <c r="BD272" s="86">
        <v>-2.2523535249424831</v>
      </c>
      <c r="BE272" s="84">
        <v>-11639.228063829294</v>
      </c>
      <c r="BF272" s="87">
        <v>-15.138322065548216</v>
      </c>
      <c r="BG272" s="88">
        <v>-2.2056535249433029</v>
      </c>
      <c r="BH272" s="89">
        <v>3.1245535249447927</v>
      </c>
      <c r="BI272" s="90">
        <v>0</v>
      </c>
      <c r="BJ272" s="90">
        <v>0.22679999999804315</v>
      </c>
      <c r="BK272" s="91">
        <v>3.3513535249428359</v>
      </c>
      <c r="BL272" s="92">
        <v>-12408.086594743883</v>
      </c>
      <c r="BM272" s="95">
        <v>0</v>
      </c>
      <c r="BN272" t="s">
        <v>402</v>
      </c>
      <c r="BO272">
        <v>0.85994999999999999</v>
      </c>
    </row>
    <row r="273" spans="1:67">
      <c r="A273" s="61" t="str">
        <f t="shared" si="4"/>
        <v>UK</v>
      </c>
      <c r="B273" s="62" t="s">
        <v>64</v>
      </c>
      <c r="C273" s="62" t="s">
        <v>176</v>
      </c>
      <c r="D273" s="63" t="s">
        <v>97</v>
      </c>
      <c r="E273" s="64">
        <v>43831</v>
      </c>
      <c r="F273" s="64">
        <v>43921</v>
      </c>
      <c r="G273" s="65">
        <v>43995</v>
      </c>
      <c r="H273" s="66" t="s">
        <v>132</v>
      </c>
      <c r="I273" s="67">
        <v>3</v>
      </c>
      <c r="J273" s="68">
        <v>2020</v>
      </c>
      <c r="K273" s="69">
        <v>1</v>
      </c>
      <c r="L273" s="70">
        <v>3</v>
      </c>
      <c r="M273" s="71" t="s">
        <v>140</v>
      </c>
      <c r="N273" s="71" t="s">
        <v>18</v>
      </c>
      <c r="O273" s="71" t="s">
        <v>114</v>
      </c>
      <c r="P273" s="71" t="s">
        <v>102</v>
      </c>
      <c r="Q273" s="61" t="s">
        <v>766</v>
      </c>
      <c r="R273" s="63" t="s">
        <v>106</v>
      </c>
      <c r="S273" s="72" t="s">
        <v>776</v>
      </c>
      <c r="T273" s="61" t="s">
        <v>777</v>
      </c>
      <c r="U273" s="73" t="s">
        <v>787</v>
      </c>
      <c r="V273" s="62">
        <v>107792</v>
      </c>
      <c r="W273" s="62" t="s">
        <v>770</v>
      </c>
      <c r="X273" s="62" t="s">
        <v>402</v>
      </c>
      <c r="Y273" s="93">
        <v>1</v>
      </c>
      <c r="Z273" s="94">
        <v>1</v>
      </c>
      <c r="AA273" s="74">
        <v>13</v>
      </c>
      <c r="AB273" s="75">
        <v>13</v>
      </c>
      <c r="AC273" s="75">
        <v>1013.0918434676435</v>
      </c>
      <c r="AD273" s="76">
        <v>1215.7102121053551</v>
      </c>
      <c r="AE273" s="77">
        <v>10.090899079</v>
      </c>
      <c r="AF273" s="75">
        <v>11.090899079</v>
      </c>
      <c r="AG273" s="78">
        <v>811.33634914820641</v>
      </c>
      <c r="AH273" s="79">
        <v>973.60361898947622</v>
      </c>
      <c r="AI273" s="74">
        <v>0</v>
      </c>
      <c r="AJ273" s="75">
        <v>0</v>
      </c>
      <c r="AK273" s="75">
        <v>0</v>
      </c>
      <c r="AL273" s="80">
        <v>0</v>
      </c>
      <c r="AM273" s="74">
        <v>0</v>
      </c>
      <c r="AN273" s="74">
        <v>0</v>
      </c>
      <c r="AO273" s="81" t="s">
        <v>403</v>
      </c>
      <c r="AP273" s="82">
        <v>0</v>
      </c>
      <c r="AQ273" s="75">
        <v>0</v>
      </c>
      <c r="AR273" s="75">
        <v>0</v>
      </c>
      <c r="AS273" s="80">
        <v>0</v>
      </c>
      <c r="AT273" s="74">
        <v>41.378153806616666</v>
      </c>
      <c r="AU273" s="75">
        <v>24.421224109541253</v>
      </c>
      <c r="AV273" s="75">
        <v>80.322298566195713</v>
      </c>
      <c r="AW273" s="75">
        <v>37.889407505087505</v>
      </c>
      <c r="AX273" s="80">
        <v>184.01108398744111</v>
      </c>
      <c r="AY273" s="81">
        <v>0</v>
      </c>
      <c r="AZ273" s="83" t="s">
        <v>403</v>
      </c>
      <c r="BA273" s="80" t="s">
        <v>403</v>
      </c>
      <c r="BB273" s="84">
        <v>707.64756372696093</v>
      </c>
      <c r="BC273" s="85">
        <v>8.8101010100423114</v>
      </c>
      <c r="BD273" s="86">
        <v>0.87219999999987097</v>
      </c>
      <c r="BE273" s="84">
        <v>745.53697123204847</v>
      </c>
      <c r="BF273" s="87">
        <v>6.3067947837795337</v>
      </c>
      <c r="BG273" s="88">
        <v>0.91889999999970617</v>
      </c>
      <c r="BH273" s="89">
        <v>0</v>
      </c>
      <c r="BI273" s="90">
        <v>0</v>
      </c>
      <c r="BJ273" s="90">
        <v>0.22680000000077391</v>
      </c>
      <c r="BK273" s="91">
        <v>0.22680000000077391</v>
      </c>
      <c r="BL273" s="92">
        <v>627.3252651607653</v>
      </c>
      <c r="BM273" s="95">
        <v>0</v>
      </c>
      <c r="BN273" t="s">
        <v>402</v>
      </c>
      <c r="BO273">
        <v>0.85994999999999999</v>
      </c>
    </row>
    <row r="274" spans="1:67">
      <c r="A274" s="61" t="str">
        <f t="shared" si="4"/>
        <v>UK</v>
      </c>
      <c r="B274" s="62" t="s">
        <v>64</v>
      </c>
      <c r="C274" s="62" t="s">
        <v>176</v>
      </c>
      <c r="D274" s="63" t="s">
        <v>97</v>
      </c>
      <c r="E274" s="64">
        <v>43831</v>
      </c>
      <c r="F274" s="64">
        <v>43921</v>
      </c>
      <c r="G274" s="65">
        <v>43995</v>
      </c>
      <c r="H274" s="66" t="s">
        <v>132</v>
      </c>
      <c r="I274" s="67">
        <v>3</v>
      </c>
      <c r="J274" s="68">
        <v>2020</v>
      </c>
      <c r="K274" s="69">
        <v>1</v>
      </c>
      <c r="L274" s="70">
        <v>3</v>
      </c>
      <c r="M274" s="71" t="s">
        <v>140</v>
      </c>
      <c r="N274" s="71" t="s">
        <v>18</v>
      </c>
      <c r="O274" s="71" t="s">
        <v>114</v>
      </c>
      <c r="P274" s="71" t="s">
        <v>102</v>
      </c>
      <c r="Q274" s="61" t="s">
        <v>766</v>
      </c>
      <c r="R274" s="63" t="s">
        <v>165</v>
      </c>
      <c r="S274" s="72" t="s">
        <v>776</v>
      </c>
      <c r="T274" s="61" t="s">
        <v>777</v>
      </c>
      <c r="U274" s="73" t="s">
        <v>788</v>
      </c>
      <c r="V274" s="62">
        <v>107301</v>
      </c>
      <c r="W274" s="62" t="s">
        <v>770</v>
      </c>
      <c r="X274" s="62" t="s">
        <v>402</v>
      </c>
      <c r="Y274" s="93">
        <v>1</v>
      </c>
      <c r="Z274" s="94">
        <v>1</v>
      </c>
      <c r="AA274" s="74">
        <v>0</v>
      </c>
      <c r="AB274" s="75">
        <v>0</v>
      </c>
      <c r="AC274" s="75">
        <v>0</v>
      </c>
      <c r="AD274" s="76">
        <v>0</v>
      </c>
      <c r="AE274" s="77">
        <v>0.52608003859999997</v>
      </c>
      <c r="AF274" s="75">
        <v>0.52608003859999997</v>
      </c>
      <c r="AG274" s="78">
        <v>91.890930628524913</v>
      </c>
      <c r="AH274" s="79">
        <v>110.26911675446247</v>
      </c>
      <c r="AI274" s="74">
        <v>0</v>
      </c>
      <c r="AJ274" s="75">
        <v>0</v>
      </c>
      <c r="AK274" s="75">
        <v>0</v>
      </c>
      <c r="AL274" s="80">
        <v>0</v>
      </c>
      <c r="AM274" s="74">
        <v>0</v>
      </c>
      <c r="AN274" s="74">
        <v>0</v>
      </c>
      <c r="AO274" s="81" t="s">
        <v>403</v>
      </c>
      <c r="AP274" s="82">
        <v>0</v>
      </c>
      <c r="AQ274" s="75">
        <v>0</v>
      </c>
      <c r="AR274" s="75">
        <v>0</v>
      </c>
      <c r="AS274" s="80">
        <v>0</v>
      </c>
      <c r="AT274" s="74">
        <v>4.6864374620617477</v>
      </c>
      <c r="AU274" s="75">
        <v>2.7659170119192975</v>
      </c>
      <c r="AV274" s="75">
        <v>9.0972021322169887</v>
      </c>
      <c r="AW274" s="75">
        <v>4.291306460375603</v>
      </c>
      <c r="AX274" s="80">
        <v>20.84086306657364</v>
      </c>
      <c r="AY274" s="81">
        <v>0</v>
      </c>
      <c r="AZ274" s="83" t="s">
        <v>403</v>
      </c>
      <c r="BA274" s="80" t="s">
        <v>403</v>
      </c>
      <c r="BB274" s="84">
        <v>80.147269694168273</v>
      </c>
      <c r="BC274" s="85">
        <v>8.8101010101043435</v>
      </c>
      <c r="BD274" s="86">
        <v>0.87219999999966091</v>
      </c>
      <c r="BE274" s="84">
        <v>84.438576154543867</v>
      </c>
      <c r="BF274" s="87">
        <v>6.3067947837939817</v>
      </c>
      <c r="BG274" s="88">
        <v>0.91889999999991645</v>
      </c>
      <c r="BH274" s="89">
        <v>0</v>
      </c>
      <c r="BI274" s="90">
        <v>0</v>
      </c>
      <c r="BJ274" s="90">
        <v>0.22680000000026324</v>
      </c>
      <c r="BK274" s="91">
        <v>0.22680000000026324</v>
      </c>
      <c r="BL274" s="92">
        <v>71.050067561951266</v>
      </c>
      <c r="BM274" s="95">
        <v>0</v>
      </c>
      <c r="BN274" t="s">
        <v>402</v>
      </c>
      <c r="BO274">
        <v>0.85994999999999999</v>
      </c>
    </row>
    <row r="275" spans="1:67">
      <c r="A275" s="61" t="str">
        <f t="shared" si="4"/>
        <v>UK</v>
      </c>
      <c r="B275" s="62" t="s">
        <v>64</v>
      </c>
      <c r="C275" s="62" t="s">
        <v>176</v>
      </c>
      <c r="D275" s="63" t="s">
        <v>97</v>
      </c>
      <c r="E275" s="64">
        <v>43831</v>
      </c>
      <c r="F275" s="64">
        <v>43921</v>
      </c>
      <c r="G275" s="65">
        <v>43995</v>
      </c>
      <c r="H275" s="66" t="s">
        <v>132</v>
      </c>
      <c r="I275" s="67">
        <v>3</v>
      </c>
      <c r="J275" s="68">
        <v>2020</v>
      </c>
      <c r="K275" s="69">
        <v>1</v>
      </c>
      <c r="L275" s="70">
        <v>3</v>
      </c>
      <c r="M275" s="71" t="s">
        <v>140</v>
      </c>
      <c r="N275" s="71" t="s">
        <v>18</v>
      </c>
      <c r="O275" s="71" t="s">
        <v>114</v>
      </c>
      <c r="P275" s="71" t="s">
        <v>102</v>
      </c>
      <c r="Q275" s="61" t="s">
        <v>766</v>
      </c>
      <c r="R275" s="63" t="s">
        <v>106</v>
      </c>
      <c r="S275" s="72" t="s">
        <v>776</v>
      </c>
      <c r="T275" s="61" t="s">
        <v>777</v>
      </c>
      <c r="U275" s="73" t="s">
        <v>789</v>
      </c>
      <c r="V275" s="62">
        <v>107793</v>
      </c>
      <c r="W275" s="62" t="s">
        <v>770</v>
      </c>
      <c r="X275" s="62" t="s">
        <v>402</v>
      </c>
      <c r="Y275" s="93">
        <v>1</v>
      </c>
      <c r="Z275" s="94">
        <v>1</v>
      </c>
      <c r="AA275" s="74">
        <v>6</v>
      </c>
      <c r="AB275" s="75">
        <v>7</v>
      </c>
      <c r="AC275" s="75">
        <v>1147.8380525960811</v>
      </c>
      <c r="AD275" s="76">
        <v>1377.4056631199489</v>
      </c>
      <c r="AE275" s="77">
        <v>8.5531913211999999</v>
      </c>
      <c r="AF275" s="75">
        <v>8.9367339690000005</v>
      </c>
      <c r="AG275" s="78">
        <v>1491.296016512588</v>
      </c>
      <c r="AH275" s="79">
        <v>1789.5552198383627</v>
      </c>
      <c r="AI275" s="74">
        <v>0</v>
      </c>
      <c r="AJ275" s="75">
        <v>0</v>
      </c>
      <c r="AK275" s="75">
        <v>0</v>
      </c>
      <c r="AL275" s="80">
        <v>0</v>
      </c>
      <c r="AM275" s="74">
        <v>1</v>
      </c>
      <c r="AN275" s="74">
        <v>0</v>
      </c>
      <c r="AO275" s="81">
        <v>0</v>
      </c>
      <c r="AP275" s="82">
        <v>3</v>
      </c>
      <c r="AQ275" s="75">
        <v>639.57206814349672</v>
      </c>
      <c r="AR275" s="75">
        <v>639.57206814349672</v>
      </c>
      <c r="AS275" s="80">
        <v>1279.1441362869934</v>
      </c>
      <c r="AT275" s="74">
        <v>76.056096844002553</v>
      </c>
      <c r="AU275" s="75">
        <v>44.888010098261532</v>
      </c>
      <c r="AV275" s="75">
        <v>147.63830563404849</v>
      </c>
      <c r="AW275" s="75">
        <v>69.643523972323976</v>
      </c>
      <c r="AX275" s="80">
        <v>338.22593654863653</v>
      </c>
      <c r="AY275" s="81">
        <v>0.33569310784079354</v>
      </c>
      <c r="AZ275" s="83">
        <v>426.38137876233117</v>
      </c>
      <c r="BA275" s="80">
        <v>143.13329016216946</v>
      </c>
      <c r="BB275" s="84">
        <v>21.564249311006733</v>
      </c>
      <c r="BC275" s="85">
        <v>0.14606134375761601</v>
      </c>
      <c r="BD275" s="86">
        <v>1.4460073031935649E-2</v>
      </c>
      <c r="BE275" s="84">
        <v>91.207773283330653</v>
      </c>
      <c r="BF275" s="87">
        <v>0.41976714504182222</v>
      </c>
      <c r="BG275" s="88">
        <v>6.1160073032730966E-2</v>
      </c>
      <c r="BH275" s="89">
        <v>0.85773992696519497</v>
      </c>
      <c r="BI275" s="90">
        <v>0</v>
      </c>
      <c r="BJ275" s="90">
        <v>0.22680000000240164</v>
      </c>
      <c r="BK275" s="91">
        <v>1.0845399269675966</v>
      </c>
      <c r="BL275" s="92">
        <v>-126.07405632304199</v>
      </c>
      <c r="BM275" s="95">
        <v>0</v>
      </c>
      <c r="BN275" t="s">
        <v>402</v>
      </c>
      <c r="BO275">
        <v>0.85994999999999999</v>
      </c>
    </row>
    <row r="276" spans="1:67">
      <c r="A276" s="61" t="str">
        <f t="shared" si="4"/>
        <v>UK</v>
      </c>
      <c r="B276" s="62" t="s">
        <v>64</v>
      </c>
      <c r="C276" s="62" t="s">
        <v>176</v>
      </c>
      <c r="D276" s="63" t="s">
        <v>97</v>
      </c>
      <c r="E276" s="64">
        <v>43831</v>
      </c>
      <c r="F276" s="64">
        <v>43921</v>
      </c>
      <c r="G276" s="65">
        <v>43995</v>
      </c>
      <c r="H276" s="66" t="s">
        <v>132</v>
      </c>
      <c r="I276" s="67">
        <v>3</v>
      </c>
      <c r="J276" s="68">
        <v>2020</v>
      </c>
      <c r="K276" s="69">
        <v>1</v>
      </c>
      <c r="L276" s="70">
        <v>3</v>
      </c>
      <c r="M276" s="71" t="s">
        <v>140</v>
      </c>
      <c r="N276" s="71" t="s">
        <v>18</v>
      </c>
      <c r="O276" s="71" t="s">
        <v>114</v>
      </c>
      <c r="P276" s="71" t="s">
        <v>102</v>
      </c>
      <c r="Q276" s="61" t="s">
        <v>766</v>
      </c>
      <c r="R276" s="63" t="s">
        <v>165</v>
      </c>
      <c r="S276" s="72" t="s">
        <v>776</v>
      </c>
      <c r="T276" s="61" t="s">
        <v>777</v>
      </c>
      <c r="U276" s="73" t="s">
        <v>790</v>
      </c>
      <c r="V276" s="62">
        <v>107302</v>
      </c>
      <c r="W276" s="62" t="s">
        <v>770</v>
      </c>
      <c r="X276" s="62" t="s">
        <v>402</v>
      </c>
      <c r="Y276" s="93">
        <v>1</v>
      </c>
      <c r="Z276" s="94">
        <v>1</v>
      </c>
      <c r="AA276" s="74">
        <v>0</v>
      </c>
      <c r="AB276" s="75">
        <v>0</v>
      </c>
      <c r="AC276" s="75">
        <v>0</v>
      </c>
      <c r="AD276" s="76">
        <v>0</v>
      </c>
      <c r="AE276" s="77">
        <v>1.6254578815</v>
      </c>
      <c r="AF276" s="75">
        <v>1.6254578815</v>
      </c>
      <c r="AG276" s="78">
        <v>429.93657440548867</v>
      </c>
      <c r="AH276" s="79">
        <v>515.92388928426078</v>
      </c>
      <c r="AI276" s="74">
        <v>0</v>
      </c>
      <c r="AJ276" s="75">
        <v>0</v>
      </c>
      <c r="AK276" s="75">
        <v>0</v>
      </c>
      <c r="AL276" s="80">
        <v>0</v>
      </c>
      <c r="AM276" s="74">
        <v>0</v>
      </c>
      <c r="AN276" s="74">
        <v>0</v>
      </c>
      <c r="AO276" s="81" t="s">
        <v>403</v>
      </c>
      <c r="AP276" s="82">
        <v>0</v>
      </c>
      <c r="AQ276" s="75">
        <v>0</v>
      </c>
      <c r="AR276" s="75">
        <v>0</v>
      </c>
      <c r="AS276" s="80">
        <v>0</v>
      </c>
      <c r="AT276" s="74">
        <v>21.926765294493865</v>
      </c>
      <c r="AU276" s="75">
        <v>12.941090889005174</v>
      </c>
      <c r="AV276" s="75">
        <v>42.56372086632944</v>
      </c>
      <c r="AW276" s="75">
        <v>20.078038024303741</v>
      </c>
      <c r="AX276" s="80">
        <v>97.509615074132228</v>
      </c>
      <c r="AY276" s="81">
        <v>0</v>
      </c>
      <c r="AZ276" s="83" t="s">
        <v>403</v>
      </c>
      <c r="BA276" s="80" t="s">
        <v>403</v>
      </c>
      <c r="BB276" s="84">
        <v>374.99068019768589</v>
      </c>
      <c r="BC276" s="85">
        <v>8.8101010100911292</v>
      </c>
      <c r="BD276" s="86">
        <v>0.87220000000283449</v>
      </c>
      <c r="BE276" s="84">
        <v>395.06871822198963</v>
      </c>
      <c r="BF276" s="87">
        <v>6.3067947838397016</v>
      </c>
      <c r="BG276" s="88">
        <v>0.91890000000182837</v>
      </c>
      <c r="BH276" s="89">
        <v>0</v>
      </c>
      <c r="BI276" s="90">
        <v>0</v>
      </c>
      <c r="BJ276" s="90">
        <v>0.22679999999759826</v>
      </c>
      <c r="BK276" s="91">
        <v>0.22679999999759826</v>
      </c>
      <c r="BL276" s="92">
        <v>332.42695933135644</v>
      </c>
      <c r="BM276" s="95">
        <v>0</v>
      </c>
      <c r="BN276" t="s">
        <v>402</v>
      </c>
      <c r="BO276">
        <v>0.85994999999999999</v>
      </c>
    </row>
    <row r="277" spans="1:67">
      <c r="A277" s="61" t="str">
        <f t="shared" si="4"/>
        <v>UK</v>
      </c>
      <c r="B277" s="62" t="s">
        <v>64</v>
      </c>
      <c r="C277" s="62" t="s">
        <v>176</v>
      </c>
      <c r="D277" s="63" t="s">
        <v>97</v>
      </c>
      <c r="E277" s="64">
        <v>43831</v>
      </c>
      <c r="F277" s="64">
        <v>43921</v>
      </c>
      <c r="G277" s="65">
        <v>43995</v>
      </c>
      <c r="H277" s="66" t="s">
        <v>132</v>
      </c>
      <c r="I277" s="67">
        <v>3</v>
      </c>
      <c r="J277" s="68">
        <v>2020</v>
      </c>
      <c r="K277" s="69">
        <v>1</v>
      </c>
      <c r="L277" s="70">
        <v>3</v>
      </c>
      <c r="M277" s="71" t="s">
        <v>140</v>
      </c>
      <c r="N277" s="71" t="s">
        <v>18</v>
      </c>
      <c r="O277" s="71" t="s">
        <v>114</v>
      </c>
      <c r="P277" s="71" t="s">
        <v>102</v>
      </c>
      <c r="Q277" s="61" t="s">
        <v>766</v>
      </c>
      <c r="R277" s="63" t="s">
        <v>106</v>
      </c>
      <c r="S277" s="72" t="s">
        <v>776</v>
      </c>
      <c r="T277" s="61" t="s">
        <v>777</v>
      </c>
      <c r="U277" s="73" t="s">
        <v>791</v>
      </c>
      <c r="V277" s="62">
        <v>107794</v>
      </c>
      <c r="W277" s="62" t="s">
        <v>770</v>
      </c>
      <c r="X277" s="62" t="s">
        <v>402</v>
      </c>
      <c r="Y277" s="93">
        <v>1</v>
      </c>
      <c r="Z277" s="94">
        <v>1</v>
      </c>
      <c r="AA277" s="74">
        <v>2</v>
      </c>
      <c r="AB277" s="75">
        <v>2</v>
      </c>
      <c r="AC277" s="75">
        <v>489.07883424617711</v>
      </c>
      <c r="AD277" s="76">
        <v>586.89460109308686</v>
      </c>
      <c r="AE277" s="77">
        <v>7.4839103969999998</v>
      </c>
      <c r="AF277" s="75">
        <v>7.8863494214000003</v>
      </c>
      <c r="AG277" s="78">
        <v>2042.7096718413861</v>
      </c>
      <c r="AH277" s="79">
        <v>2451.2516061398915</v>
      </c>
      <c r="AI277" s="74">
        <v>0</v>
      </c>
      <c r="AJ277" s="75">
        <v>0</v>
      </c>
      <c r="AK277" s="75">
        <v>0</v>
      </c>
      <c r="AL277" s="80">
        <v>0</v>
      </c>
      <c r="AM277" s="74">
        <v>4</v>
      </c>
      <c r="AN277" s="74">
        <v>1</v>
      </c>
      <c r="AO277" s="81">
        <v>0.25</v>
      </c>
      <c r="AP277" s="82">
        <v>6</v>
      </c>
      <c r="AQ277" s="75">
        <v>17174.103068783068</v>
      </c>
      <c r="AR277" s="75">
        <v>17210.012129774987</v>
      </c>
      <c r="AS277" s="80">
        <v>34384.115198558051</v>
      </c>
      <c r="AT277" s="74">
        <v>104.17819326239898</v>
      </c>
      <c r="AU277" s="75">
        <v>61.485561122158266</v>
      </c>
      <c r="AV277" s="75">
        <v>202.2282575149718</v>
      </c>
      <c r="AW277" s="75">
        <v>95.394541674515963</v>
      </c>
      <c r="AX277" s="80">
        <v>463.286553574045</v>
      </c>
      <c r="AY277" s="81">
        <v>0.76080828776349962</v>
      </c>
      <c r="AZ277" s="83">
        <v>5730.6858664263418</v>
      </c>
      <c r="BA277" s="80">
        <v>4359.9533017463127</v>
      </c>
      <c r="BB277" s="84">
        <v>-32602.463822775742</v>
      </c>
      <c r="BC277" s="85">
        <v>-161.2161634748895</v>
      </c>
      <c r="BD277" s="86">
        <v>-15.960400184225144</v>
      </c>
      <c r="BE277" s="84">
        <v>-32507.069281101223</v>
      </c>
      <c r="BF277" s="87">
        <v>-109.22237600623103</v>
      </c>
      <c r="BG277" s="88">
        <v>-15.913700184225375</v>
      </c>
      <c r="BH277" s="89">
        <v>16.832600184226248</v>
      </c>
      <c r="BI277" s="90">
        <v>0</v>
      </c>
      <c r="BJ277" s="90">
        <v>0.22680000000020495</v>
      </c>
      <c r="BK277" s="91">
        <v>17.059400184226451</v>
      </c>
      <c r="BL277" s="92">
        <v>-32804.692080290704</v>
      </c>
      <c r="BM277" s="95">
        <v>0</v>
      </c>
      <c r="BN277" t="s">
        <v>402</v>
      </c>
      <c r="BO277">
        <v>0.85994999999999999</v>
      </c>
    </row>
    <row r="278" spans="1:67">
      <c r="A278" s="61" t="str">
        <f t="shared" si="4"/>
        <v>UK</v>
      </c>
      <c r="B278" s="62" t="s">
        <v>64</v>
      </c>
      <c r="C278" s="62" t="s">
        <v>176</v>
      </c>
      <c r="D278" s="63" t="s">
        <v>97</v>
      </c>
      <c r="E278" s="64">
        <v>43831</v>
      </c>
      <c r="F278" s="64">
        <v>43921</v>
      </c>
      <c r="G278" s="65">
        <v>43995</v>
      </c>
      <c r="H278" s="66" t="s">
        <v>132</v>
      </c>
      <c r="I278" s="67">
        <v>3</v>
      </c>
      <c r="J278" s="68">
        <v>2020</v>
      </c>
      <c r="K278" s="69">
        <v>1</v>
      </c>
      <c r="L278" s="70">
        <v>3</v>
      </c>
      <c r="M278" s="71" t="s">
        <v>140</v>
      </c>
      <c r="N278" s="71" t="s">
        <v>18</v>
      </c>
      <c r="O278" s="71" t="s">
        <v>114</v>
      </c>
      <c r="P278" s="71" t="s">
        <v>102</v>
      </c>
      <c r="Q278" s="61" t="s">
        <v>766</v>
      </c>
      <c r="R278" s="63" t="s">
        <v>165</v>
      </c>
      <c r="S278" s="72" t="s">
        <v>776</v>
      </c>
      <c r="T278" s="61" t="s">
        <v>777</v>
      </c>
      <c r="U278" s="73" t="s">
        <v>792</v>
      </c>
      <c r="V278" s="62">
        <v>107295</v>
      </c>
      <c r="W278" s="62" t="s">
        <v>770</v>
      </c>
      <c r="X278" s="62" t="s">
        <v>402</v>
      </c>
      <c r="Y278" s="93">
        <v>1</v>
      </c>
      <c r="Z278" s="94">
        <v>1</v>
      </c>
      <c r="AA278" s="74">
        <v>0</v>
      </c>
      <c r="AB278" s="75">
        <v>0</v>
      </c>
      <c r="AC278" s="75">
        <v>0</v>
      </c>
      <c r="AD278" s="76">
        <v>0</v>
      </c>
      <c r="AE278" s="77">
        <v>0.4027322404</v>
      </c>
      <c r="AF278" s="75">
        <v>0.54549180330000002</v>
      </c>
      <c r="AG278" s="78">
        <v>26.43040308971452</v>
      </c>
      <c r="AH278" s="79">
        <v>31.716483707192278</v>
      </c>
      <c r="AI278" s="74">
        <v>0</v>
      </c>
      <c r="AJ278" s="75">
        <v>0</v>
      </c>
      <c r="AK278" s="75">
        <v>0</v>
      </c>
      <c r="AL278" s="80">
        <v>0</v>
      </c>
      <c r="AM278" s="74">
        <v>0</v>
      </c>
      <c r="AN278" s="74">
        <v>0</v>
      </c>
      <c r="AO278" s="81" t="s">
        <v>403</v>
      </c>
      <c r="AP278" s="82">
        <v>0</v>
      </c>
      <c r="AQ278" s="75">
        <v>0</v>
      </c>
      <c r="AR278" s="75">
        <v>0</v>
      </c>
      <c r="AS278" s="80">
        <v>0</v>
      </c>
      <c r="AT278" s="74">
        <v>1.3479505575905575</v>
      </c>
      <c r="AU278" s="75">
        <v>0.7955551329728473</v>
      </c>
      <c r="AV278" s="75">
        <v>2.6166099058084775</v>
      </c>
      <c r="AW278" s="75">
        <v>1.2342998242921099</v>
      </c>
      <c r="AX278" s="80">
        <v>5.9944154206639926</v>
      </c>
      <c r="AY278" s="81">
        <v>0</v>
      </c>
      <c r="AZ278" s="83" t="s">
        <v>403</v>
      </c>
      <c r="BA278" s="80" t="s">
        <v>403</v>
      </c>
      <c r="BB278" s="84">
        <v>23.052597574859007</v>
      </c>
      <c r="BC278" s="85">
        <v>8.8101010103514987</v>
      </c>
      <c r="BD278" s="86">
        <v>0.87220000000037845</v>
      </c>
      <c r="BE278" s="84">
        <v>24.286897399151115</v>
      </c>
      <c r="BF278" s="87">
        <v>6.3067947839215464</v>
      </c>
      <c r="BG278" s="88">
        <v>0.91890000000047078</v>
      </c>
      <c r="BH278" s="89">
        <v>0</v>
      </c>
      <c r="BI278" s="90">
        <v>0</v>
      </c>
      <c r="BJ278" s="90">
        <v>0.22679999999684983</v>
      </c>
      <c r="BK278" s="91">
        <v>0.22679999999684983</v>
      </c>
      <c r="BL278" s="92">
        <v>20.435987669050526</v>
      </c>
      <c r="BM278" s="95">
        <v>0</v>
      </c>
      <c r="BN278" t="s">
        <v>402</v>
      </c>
      <c r="BO278">
        <v>0.85994999999999999</v>
      </c>
    </row>
    <row r="279" spans="1:67">
      <c r="A279" s="61" t="str">
        <f t="shared" si="4"/>
        <v>UK</v>
      </c>
      <c r="B279" s="62" t="s">
        <v>64</v>
      </c>
      <c r="C279" s="62" t="s">
        <v>176</v>
      </c>
      <c r="D279" s="63" t="s">
        <v>97</v>
      </c>
      <c r="E279" s="64">
        <v>43831</v>
      </c>
      <c r="F279" s="64">
        <v>43921</v>
      </c>
      <c r="G279" s="65">
        <v>43995</v>
      </c>
      <c r="H279" s="66" t="s">
        <v>132</v>
      </c>
      <c r="I279" s="67">
        <v>3</v>
      </c>
      <c r="J279" s="68">
        <v>2020</v>
      </c>
      <c r="K279" s="69">
        <v>1</v>
      </c>
      <c r="L279" s="70">
        <v>3</v>
      </c>
      <c r="M279" s="71" t="s">
        <v>140</v>
      </c>
      <c r="N279" s="71" t="s">
        <v>18</v>
      </c>
      <c r="O279" s="71" t="s">
        <v>114</v>
      </c>
      <c r="P279" s="71" t="s">
        <v>102</v>
      </c>
      <c r="Q279" s="61" t="s">
        <v>766</v>
      </c>
      <c r="R279" s="63" t="s">
        <v>112</v>
      </c>
      <c r="S279" s="72" t="s">
        <v>776</v>
      </c>
      <c r="T279" s="61" t="s">
        <v>777</v>
      </c>
      <c r="U279" s="73" t="s">
        <v>793</v>
      </c>
      <c r="V279" s="62">
        <v>107806</v>
      </c>
      <c r="W279" s="62" t="s">
        <v>770</v>
      </c>
      <c r="X279" s="62" t="s">
        <v>402</v>
      </c>
      <c r="Y279" s="93">
        <v>1</v>
      </c>
      <c r="Z279" s="94">
        <v>1</v>
      </c>
      <c r="AA279" s="74">
        <v>3</v>
      </c>
      <c r="AB279" s="75">
        <v>4</v>
      </c>
      <c r="AC279" s="75">
        <v>169.58350291296006</v>
      </c>
      <c r="AD279" s="76">
        <v>203.5002035002035</v>
      </c>
      <c r="AE279" s="77">
        <v>2.6225995316000001</v>
      </c>
      <c r="AF279" s="75">
        <v>4.3428766588999999</v>
      </c>
      <c r="AG279" s="78">
        <v>145.64144033955463</v>
      </c>
      <c r="AH279" s="79">
        <v>174.76972841444268</v>
      </c>
      <c r="AI279" s="74">
        <v>0</v>
      </c>
      <c r="AJ279" s="75">
        <v>0</v>
      </c>
      <c r="AK279" s="75">
        <v>0</v>
      </c>
      <c r="AL279" s="80">
        <v>0</v>
      </c>
      <c r="AM279" s="74">
        <v>1</v>
      </c>
      <c r="AN279" s="74">
        <v>1</v>
      </c>
      <c r="AO279" s="81">
        <v>1</v>
      </c>
      <c r="AP279" s="82">
        <v>2</v>
      </c>
      <c r="AQ279" s="75">
        <v>0</v>
      </c>
      <c r="AR279" s="75">
        <v>1815.2218152218152</v>
      </c>
      <c r="AS279" s="80">
        <v>1815.2218152218152</v>
      </c>
      <c r="AT279" s="74">
        <v>7.4277134574103147</v>
      </c>
      <c r="AU279" s="75">
        <v>4.3838073542647829</v>
      </c>
      <c r="AV279" s="75">
        <v>14.41850259433688</v>
      </c>
      <c r="AW279" s="75">
        <v>6.8014552640269779</v>
      </c>
      <c r="AX279" s="80">
        <v>33.031478670038958</v>
      </c>
      <c r="AY279" s="81">
        <v>0.46052424627379973</v>
      </c>
      <c r="AZ279" s="83">
        <v>907.61090761090759</v>
      </c>
      <c r="BA279" s="80">
        <v>417.97682913739249</v>
      </c>
      <c r="BB279" s="84">
        <v>-1688.1933509579626</v>
      </c>
      <c r="BC279" s="85">
        <v>-117.08520631130102</v>
      </c>
      <c r="BD279" s="86">
        <v>-11.59143542539841</v>
      </c>
      <c r="BE279" s="84">
        <v>-1681.3918956939356</v>
      </c>
      <c r="BF279" s="87">
        <v>-79.236344714568503</v>
      </c>
      <c r="BG279" s="88">
        <v>-11.544735425397244</v>
      </c>
      <c r="BH279" s="89">
        <v>12.463635425396301</v>
      </c>
      <c r="BI279" s="90">
        <v>0</v>
      </c>
      <c r="BJ279" s="90">
        <v>0.22680000000705819</v>
      </c>
      <c r="BK279" s="91">
        <v>12.69043542540336</v>
      </c>
      <c r="BL279" s="92">
        <v>-1702.6118535522994</v>
      </c>
      <c r="BM279" s="95">
        <v>0</v>
      </c>
      <c r="BN279" t="s">
        <v>402</v>
      </c>
      <c r="BO279">
        <v>0.85994999999999999</v>
      </c>
    </row>
    <row r="280" spans="1:67">
      <c r="A280" s="61" t="str">
        <f t="shared" si="4"/>
        <v>UK</v>
      </c>
      <c r="B280" s="62" t="s">
        <v>64</v>
      </c>
      <c r="C280" s="62" t="s">
        <v>176</v>
      </c>
      <c r="D280" s="63" t="s">
        <v>97</v>
      </c>
      <c r="E280" s="64">
        <v>43831</v>
      </c>
      <c r="F280" s="64">
        <v>43921</v>
      </c>
      <c r="G280" s="65">
        <v>43995</v>
      </c>
      <c r="H280" s="66" t="s">
        <v>132</v>
      </c>
      <c r="I280" s="67">
        <v>3</v>
      </c>
      <c r="J280" s="68">
        <v>2020</v>
      </c>
      <c r="K280" s="69">
        <v>1</v>
      </c>
      <c r="L280" s="70">
        <v>3</v>
      </c>
      <c r="M280" s="71" t="s">
        <v>140</v>
      </c>
      <c r="N280" s="71" t="s">
        <v>18</v>
      </c>
      <c r="O280" s="71" t="s">
        <v>114</v>
      </c>
      <c r="P280" s="71" t="s">
        <v>102</v>
      </c>
      <c r="Q280" s="61" t="s">
        <v>766</v>
      </c>
      <c r="R280" s="63" t="s">
        <v>106</v>
      </c>
      <c r="S280" s="72" t="s">
        <v>776</v>
      </c>
      <c r="T280" s="61" t="s">
        <v>777</v>
      </c>
      <c r="U280" s="73" t="s">
        <v>794</v>
      </c>
      <c r="V280" s="62">
        <v>107797</v>
      </c>
      <c r="W280" s="62" t="s">
        <v>770</v>
      </c>
      <c r="X280" s="62" t="s">
        <v>402</v>
      </c>
      <c r="Y280" s="93">
        <v>1</v>
      </c>
      <c r="Z280" s="94">
        <v>1</v>
      </c>
      <c r="AA280" s="74">
        <v>7</v>
      </c>
      <c r="AB280" s="75">
        <v>7</v>
      </c>
      <c r="AC280" s="75">
        <v>127.26515192743764</v>
      </c>
      <c r="AD280" s="76">
        <v>152.71818231292517</v>
      </c>
      <c r="AE280" s="77">
        <v>6.5045833333000003</v>
      </c>
      <c r="AF280" s="75">
        <v>7.2845833332999996</v>
      </c>
      <c r="AG280" s="78">
        <v>130.59932041397755</v>
      </c>
      <c r="AH280" s="79">
        <v>156.71918449909879</v>
      </c>
      <c r="AI280" s="74">
        <v>0</v>
      </c>
      <c r="AJ280" s="75">
        <v>0</v>
      </c>
      <c r="AK280" s="75">
        <v>0</v>
      </c>
      <c r="AL280" s="80">
        <v>0</v>
      </c>
      <c r="AM280" s="74">
        <v>0</v>
      </c>
      <c r="AN280" s="74">
        <v>0</v>
      </c>
      <c r="AO280" s="81" t="s">
        <v>403</v>
      </c>
      <c r="AP280" s="82">
        <v>0</v>
      </c>
      <c r="AQ280" s="75">
        <v>0</v>
      </c>
      <c r="AR280" s="75">
        <v>0</v>
      </c>
      <c r="AS280" s="80">
        <v>0</v>
      </c>
      <c r="AT280" s="74">
        <v>6.6605653411244843</v>
      </c>
      <c r="AU280" s="75">
        <v>3.9310395445084017</v>
      </c>
      <c r="AV280" s="75">
        <v>12.929332720507006</v>
      </c>
      <c r="AW280" s="75">
        <v>6.0989882633874055</v>
      </c>
      <c r="AX280" s="80">
        <v>29.619925869527297</v>
      </c>
      <c r="AY280" s="81">
        <v>0</v>
      </c>
      <c r="AZ280" s="83" t="s">
        <v>403</v>
      </c>
      <c r="BA280" s="80" t="s">
        <v>403</v>
      </c>
      <c r="BB280" s="84">
        <v>113.90872726495726</v>
      </c>
      <c r="BC280" s="85">
        <v>8.8101010104170712</v>
      </c>
      <c r="BD280" s="86">
        <v>0.87219999999912745</v>
      </c>
      <c r="BE280" s="84">
        <v>120.00771552834466</v>
      </c>
      <c r="BF280" s="87">
        <v>6.3067947839391252</v>
      </c>
      <c r="BG280" s="88">
        <v>0.91889999999954586</v>
      </c>
      <c r="BH280" s="89">
        <v>0</v>
      </c>
      <c r="BI280" s="90">
        <v>0</v>
      </c>
      <c r="BJ280" s="90">
        <v>0.22679999999722195</v>
      </c>
      <c r="BK280" s="91">
        <v>0.22679999999722195</v>
      </c>
      <c r="BL280" s="92">
        <v>100.97939454445026</v>
      </c>
      <c r="BM280" s="95">
        <v>0</v>
      </c>
      <c r="BN280" t="s">
        <v>402</v>
      </c>
      <c r="BO280">
        <v>0.85994999999999999</v>
      </c>
    </row>
    <row r="281" spans="1:67">
      <c r="A281" s="61" t="str">
        <f t="shared" si="4"/>
        <v>UK</v>
      </c>
      <c r="B281" s="62" t="s">
        <v>64</v>
      </c>
      <c r="C281" s="62" t="s">
        <v>176</v>
      </c>
      <c r="D281" s="63" t="s">
        <v>97</v>
      </c>
      <c r="E281" s="64">
        <v>43831</v>
      </c>
      <c r="F281" s="64">
        <v>43921</v>
      </c>
      <c r="G281" s="65">
        <v>43995</v>
      </c>
      <c r="H281" s="66" t="s">
        <v>132</v>
      </c>
      <c r="I281" s="67">
        <v>3</v>
      </c>
      <c r="J281" s="68">
        <v>2020</v>
      </c>
      <c r="K281" s="69">
        <v>1</v>
      </c>
      <c r="L281" s="70">
        <v>3</v>
      </c>
      <c r="M281" s="71" t="s">
        <v>140</v>
      </c>
      <c r="N281" s="71" t="s">
        <v>18</v>
      </c>
      <c r="O281" s="71" t="s">
        <v>114</v>
      </c>
      <c r="P281" s="71" t="s">
        <v>102</v>
      </c>
      <c r="Q281" s="61" t="s">
        <v>766</v>
      </c>
      <c r="R281" s="63" t="s">
        <v>106</v>
      </c>
      <c r="S281" s="72" t="s">
        <v>776</v>
      </c>
      <c r="T281" s="61" t="s">
        <v>777</v>
      </c>
      <c r="U281" s="73" t="s">
        <v>795</v>
      </c>
      <c r="V281" s="62">
        <v>107798</v>
      </c>
      <c r="W281" s="62" t="s">
        <v>770</v>
      </c>
      <c r="X281" s="62" t="s">
        <v>402</v>
      </c>
      <c r="Y281" s="93">
        <v>1</v>
      </c>
      <c r="Z281" s="94">
        <v>1</v>
      </c>
      <c r="AA281" s="74">
        <v>40</v>
      </c>
      <c r="AB281" s="75">
        <v>60</v>
      </c>
      <c r="AC281" s="75">
        <v>2053.7822078027793</v>
      </c>
      <c r="AD281" s="76">
        <v>2464.5386494563641</v>
      </c>
      <c r="AE281" s="77">
        <v>34.641870306000001</v>
      </c>
      <c r="AF281" s="75">
        <v>48.175147617</v>
      </c>
      <c r="AG281" s="78">
        <v>1468.6663521134951</v>
      </c>
      <c r="AH281" s="79">
        <v>1762.3996225361939</v>
      </c>
      <c r="AI281" s="74">
        <v>0</v>
      </c>
      <c r="AJ281" s="75">
        <v>0</v>
      </c>
      <c r="AK281" s="75">
        <v>0</v>
      </c>
      <c r="AL281" s="80">
        <v>0</v>
      </c>
      <c r="AM281" s="74">
        <v>0</v>
      </c>
      <c r="AN281" s="74">
        <v>0</v>
      </c>
      <c r="AO281" s="81" t="s">
        <v>403</v>
      </c>
      <c r="AP281" s="82">
        <v>0</v>
      </c>
      <c r="AQ281" s="75">
        <v>0</v>
      </c>
      <c r="AR281" s="75">
        <v>0</v>
      </c>
      <c r="AS281" s="80">
        <v>0</v>
      </c>
      <c r="AT281" s="74">
        <v>74.901983956043949</v>
      </c>
      <c r="AU281" s="75">
        <v>44.206857197511482</v>
      </c>
      <c r="AV281" s="75">
        <v>145.39796885865456</v>
      </c>
      <c r="AW281" s="75">
        <v>68.586718641781502</v>
      </c>
      <c r="AX281" s="80">
        <v>333.09352865399148</v>
      </c>
      <c r="AY281" s="81">
        <v>0</v>
      </c>
      <c r="AZ281" s="83" t="s">
        <v>403</v>
      </c>
      <c r="BA281" s="80" t="s">
        <v>403</v>
      </c>
      <c r="BB281" s="84">
        <v>1280.9707923181581</v>
      </c>
      <c r="BC281" s="85">
        <v>8.8101010101690331</v>
      </c>
      <c r="BD281" s="86">
        <v>0.87220000000324627</v>
      </c>
      <c r="BE281" s="84">
        <v>1349.5575109599397</v>
      </c>
      <c r="BF281" s="87">
        <v>6.3067947838893357</v>
      </c>
      <c r="BG281" s="88">
        <v>0.91890000000193983</v>
      </c>
      <c r="BH281" s="89">
        <v>0</v>
      </c>
      <c r="BI281" s="90">
        <v>0</v>
      </c>
      <c r="BJ281" s="90">
        <v>0.22679999999635778</v>
      </c>
      <c r="BK281" s="91">
        <v>0.22679999999635778</v>
      </c>
      <c r="BL281" s="92">
        <v>1135.5728234595035</v>
      </c>
      <c r="BM281" s="95">
        <v>0</v>
      </c>
      <c r="BN281" t="s">
        <v>402</v>
      </c>
      <c r="BO281">
        <v>0.85994999999999999</v>
      </c>
    </row>
    <row r="282" spans="1:67">
      <c r="A282" s="61" t="str">
        <f t="shared" si="4"/>
        <v>UK</v>
      </c>
      <c r="B282" s="62" t="s">
        <v>64</v>
      </c>
      <c r="C282" s="62" t="s">
        <v>176</v>
      </c>
      <c r="D282" s="63" t="s">
        <v>97</v>
      </c>
      <c r="E282" s="64">
        <v>43831</v>
      </c>
      <c r="F282" s="64">
        <v>43921</v>
      </c>
      <c r="G282" s="65">
        <v>43995</v>
      </c>
      <c r="H282" s="66" t="s">
        <v>132</v>
      </c>
      <c r="I282" s="67">
        <v>3</v>
      </c>
      <c r="J282" s="68">
        <v>2020</v>
      </c>
      <c r="K282" s="69">
        <v>1</v>
      </c>
      <c r="L282" s="70">
        <v>3</v>
      </c>
      <c r="M282" s="71" t="s">
        <v>140</v>
      </c>
      <c r="N282" s="71" t="s">
        <v>18</v>
      </c>
      <c r="O282" s="71" t="s">
        <v>114</v>
      </c>
      <c r="P282" s="71" t="s">
        <v>102</v>
      </c>
      <c r="Q282" s="61" t="s">
        <v>766</v>
      </c>
      <c r="R282" s="63" t="s">
        <v>106</v>
      </c>
      <c r="S282" s="72" t="s">
        <v>776</v>
      </c>
      <c r="T282" s="61" t="s">
        <v>777</v>
      </c>
      <c r="U282" s="73" t="s">
        <v>796</v>
      </c>
      <c r="V282" s="62">
        <v>107799</v>
      </c>
      <c r="W282" s="62" t="s">
        <v>770</v>
      </c>
      <c r="X282" s="62" t="s">
        <v>402</v>
      </c>
      <c r="Y282" s="93">
        <v>1</v>
      </c>
      <c r="Z282" s="94">
        <v>1</v>
      </c>
      <c r="AA282" s="74">
        <v>3</v>
      </c>
      <c r="AB282" s="75">
        <v>4</v>
      </c>
      <c r="AC282" s="75">
        <v>332.37398055700913</v>
      </c>
      <c r="AD282" s="76">
        <v>398.84877666143382</v>
      </c>
      <c r="AE282" s="77">
        <v>2.375</v>
      </c>
      <c r="AF282" s="75">
        <v>2.75</v>
      </c>
      <c r="AG282" s="78">
        <v>217.59017270771557</v>
      </c>
      <c r="AH282" s="79">
        <v>261.10820724460729</v>
      </c>
      <c r="AI282" s="74">
        <v>0</v>
      </c>
      <c r="AJ282" s="75">
        <v>0</v>
      </c>
      <c r="AK282" s="75">
        <v>0</v>
      </c>
      <c r="AL282" s="80">
        <v>0</v>
      </c>
      <c r="AM282" s="74">
        <v>1</v>
      </c>
      <c r="AN282" s="74">
        <v>0</v>
      </c>
      <c r="AO282" s="81">
        <v>0</v>
      </c>
      <c r="AP282" s="82">
        <v>1</v>
      </c>
      <c r="AQ282" s="75">
        <v>1207.779527763242</v>
      </c>
      <c r="AR282" s="75">
        <v>1207.779527763242</v>
      </c>
      <c r="AS282" s="80">
        <v>2415.5590555264839</v>
      </c>
      <c r="AT282" s="74">
        <v>11.097098808070237</v>
      </c>
      <c r="AU282" s="75">
        <v>6.549464198499912</v>
      </c>
      <c r="AV282" s="75">
        <v>21.541427098087098</v>
      </c>
      <c r="AW282" s="75">
        <v>10.16146106541078</v>
      </c>
      <c r="AX282" s="80">
        <v>49.349451170068022</v>
      </c>
      <c r="AY282" s="81">
        <v>0.36363636363636365</v>
      </c>
      <c r="AZ282" s="83">
        <v>2415.5590555264839</v>
      </c>
      <c r="BA282" s="80">
        <v>878.38511110053958</v>
      </c>
      <c r="BB282" s="84">
        <v>-2225.7769068907496</v>
      </c>
      <c r="BC282" s="85">
        <v>-103.32541557046613</v>
      </c>
      <c r="BD282" s="86">
        <v>-10.229216141487191</v>
      </c>
      <c r="BE282" s="84">
        <v>-2215.6154458253386</v>
      </c>
      <c r="BF282" s="87">
        <v>-69.886864389105014</v>
      </c>
      <c r="BG282" s="88">
        <v>-10.182516141487371</v>
      </c>
      <c r="BH282" s="89">
        <v>11.101416141487489</v>
      </c>
      <c r="BI282" s="90">
        <v>0</v>
      </c>
      <c r="BJ282" s="90">
        <v>0.22679999999980757</v>
      </c>
      <c r="BK282" s="91">
        <v>11.328216141487296</v>
      </c>
      <c r="BL282" s="92">
        <v>-2247.318333988836</v>
      </c>
      <c r="BM282" s="95">
        <v>0</v>
      </c>
      <c r="BN282" t="s">
        <v>402</v>
      </c>
      <c r="BO282">
        <v>0.85994999999999999</v>
      </c>
    </row>
    <row r="283" spans="1:67">
      <c r="A283" s="61" t="str">
        <f t="shared" si="4"/>
        <v>UK</v>
      </c>
      <c r="B283" s="62" t="s">
        <v>64</v>
      </c>
      <c r="C283" s="62" t="s">
        <v>176</v>
      </c>
      <c r="D283" s="63" t="s">
        <v>97</v>
      </c>
      <c r="E283" s="64">
        <v>43831</v>
      </c>
      <c r="F283" s="64">
        <v>43921</v>
      </c>
      <c r="G283" s="65">
        <v>43995</v>
      </c>
      <c r="H283" s="66" t="s">
        <v>132</v>
      </c>
      <c r="I283" s="67">
        <v>3</v>
      </c>
      <c r="J283" s="68">
        <v>2020</v>
      </c>
      <c r="K283" s="69">
        <v>1</v>
      </c>
      <c r="L283" s="70">
        <v>3</v>
      </c>
      <c r="M283" s="71" t="s">
        <v>140</v>
      </c>
      <c r="N283" s="71" t="s">
        <v>18</v>
      </c>
      <c r="O283" s="71" t="s">
        <v>114</v>
      </c>
      <c r="P283" s="71" t="s">
        <v>102</v>
      </c>
      <c r="Q283" s="61" t="s">
        <v>766</v>
      </c>
      <c r="R283" s="63" t="s">
        <v>106</v>
      </c>
      <c r="S283" s="72" t="s">
        <v>776</v>
      </c>
      <c r="T283" s="61" t="s">
        <v>777</v>
      </c>
      <c r="U283" s="73" t="s">
        <v>797</v>
      </c>
      <c r="V283" s="62">
        <v>107800</v>
      </c>
      <c r="W283" s="62" t="s">
        <v>770</v>
      </c>
      <c r="X283" s="62" t="s">
        <v>402</v>
      </c>
      <c r="Y283" s="93">
        <v>1</v>
      </c>
      <c r="Z283" s="94">
        <v>1</v>
      </c>
      <c r="AA283" s="74">
        <v>1</v>
      </c>
      <c r="AB283" s="75">
        <v>1</v>
      </c>
      <c r="AC283" s="75">
        <v>287.45858737135882</v>
      </c>
      <c r="AD283" s="76">
        <v>344.95030484330488</v>
      </c>
      <c r="AE283" s="77">
        <v>1</v>
      </c>
      <c r="AF283" s="75">
        <v>1</v>
      </c>
      <c r="AG283" s="78">
        <v>287.45858737135882</v>
      </c>
      <c r="AH283" s="79">
        <v>344.95030484330488</v>
      </c>
      <c r="AI283" s="74">
        <v>0</v>
      </c>
      <c r="AJ283" s="75">
        <v>0</v>
      </c>
      <c r="AK283" s="75">
        <v>0</v>
      </c>
      <c r="AL283" s="80">
        <v>0</v>
      </c>
      <c r="AM283" s="74">
        <v>0</v>
      </c>
      <c r="AN283" s="74">
        <v>0</v>
      </c>
      <c r="AO283" s="81" t="s">
        <v>403</v>
      </c>
      <c r="AP283" s="82">
        <v>0</v>
      </c>
      <c r="AQ283" s="75">
        <v>0</v>
      </c>
      <c r="AR283" s="75">
        <v>0</v>
      </c>
      <c r="AS283" s="80">
        <v>0</v>
      </c>
      <c r="AT283" s="74">
        <v>14.660387956276528</v>
      </c>
      <c r="AU283" s="75">
        <v>8.6525034797371934</v>
      </c>
      <c r="AV283" s="75">
        <v>28.458400148845865</v>
      </c>
      <c r="AW283" s="75">
        <v>13.424316030001744</v>
      </c>
      <c r="AX283" s="80">
        <v>65.195607614861331</v>
      </c>
      <c r="AY283" s="81">
        <v>0</v>
      </c>
      <c r="AZ283" s="83" t="s">
        <v>403</v>
      </c>
      <c r="BA283" s="80" t="s">
        <v>403</v>
      </c>
      <c r="BB283" s="84">
        <v>250.72137990534335</v>
      </c>
      <c r="BC283" s="85">
        <v>8.8101010103869601</v>
      </c>
      <c r="BD283" s="86">
        <v>0.87220000000015374</v>
      </c>
      <c r="BE283" s="84">
        <v>264.14569593534509</v>
      </c>
      <c r="BF283" s="87">
        <v>6.3067947839722223</v>
      </c>
      <c r="BG283" s="88">
        <v>0.91889999999931637</v>
      </c>
      <c r="BH283" s="89">
        <v>0</v>
      </c>
      <c r="BI283" s="90">
        <v>0</v>
      </c>
      <c r="BJ283" s="90">
        <v>0.22679999999665049</v>
      </c>
      <c r="BK283" s="91">
        <v>0.22679999999665049</v>
      </c>
      <c r="BL283" s="92">
        <v>222.26297975649749</v>
      </c>
      <c r="BM283" s="95">
        <v>0</v>
      </c>
      <c r="BN283" t="s">
        <v>402</v>
      </c>
      <c r="BO283">
        <v>0.85994999999999999</v>
      </c>
    </row>
    <row r="284" spans="1:67">
      <c r="A284" s="61" t="str">
        <f t="shared" si="4"/>
        <v>UK</v>
      </c>
      <c r="B284" s="62" t="s">
        <v>64</v>
      </c>
      <c r="C284" s="62" t="s">
        <v>176</v>
      </c>
      <c r="D284" s="63" t="s">
        <v>97</v>
      </c>
      <c r="E284" s="64">
        <v>43831</v>
      </c>
      <c r="F284" s="64">
        <v>43921</v>
      </c>
      <c r="G284" s="65">
        <v>43995</v>
      </c>
      <c r="H284" s="66" t="s">
        <v>132</v>
      </c>
      <c r="I284" s="67">
        <v>3</v>
      </c>
      <c r="J284" s="68">
        <v>2020</v>
      </c>
      <c r="K284" s="69">
        <v>1</v>
      </c>
      <c r="L284" s="70">
        <v>3</v>
      </c>
      <c r="M284" s="71" t="s">
        <v>140</v>
      </c>
      <c r="N284" s="71" t="s">
        <v>18</v>
      </c>
      <c r="O284" s="71" t="s">
        <v>114</v>
      </c>
      <c r="P284" s="71" t="s">
        <v>102</v>
      </c>
      <c r="Q284" s="61" t="s">
        <v>766</v>
      </c>
      <c r="R284" s="63" t="s">
        <v>106</v>
      </c>
      <c r="S284" s="72" t="s">
        <v>776</v>
      </c>
      <c r="T284" s="61" t="s">
        <v>777</v>
      </c>
      <c r="U284" s="73" t="s">
        <v>798</v>
      </c>
      <c r="V284" s="62">
        <v>107802</v>
      </c>
      <c r="W284" s="62" t="s">
        <v>770</v>
      </c>
      <c r="X284" s="62" t="s">
        <v>402</v>
      </c>
      <c r="Y284" s="93">
        <v>1</v>
      </c>
      <c r="Z284" s="94">
        <v>1</v>
      </c>
      <c r="AA284" s="74">
        <v>1</v>
      </c>
      <c r="AB284" s="75">
        <v>1</v>
      </c>
      <c r="AC284" s="75">
        <v>31.939840576777719</v>
      </c>
      <c r="AD284" s="76">
        <v>38.327808691202982</v>
      </c>
      <c r="AE284" s="77">
        <v>1</v>
      </c>
      <c r="AF284" s="75">
        <v>1</v>
      </c>
      <c r="AG284" s="78">
        <v>31.939840576777719</v>
      </c>
      <c r="AH284" s="79">
        <v>38.327808691202982</v>
      </c>
      <c r="AI284" s="74">
        <v>0</v>
      </c>
      <c r="AJ284" s="75">
        <v>0</v>
      </c>
      <c r="AK284" s="75">
        <v>0</v>
      </c>
      <c r="AL284" s="80">
        <v>0</v>
      </c>
      <c r="AM284" s="74">
        <v>0</v>
      </c>
      <c r="AN284" s="74">
        <v>0</v>
      </c>
      <c r="AO284" s="81" t="s">
        <v>403</v>
      </c>
      <c r="AP284" s="82">
        <v>0</v>
      </c>
      <c r="AQ284" s="75">
        <v>0</v>
      </c>
      <c r="AR284" s="75">
        <v>0</v>
      </c>
      <c r="AS284" s="80">
        <v>0</v>
      </c>
      <c r="AT284" s="74">
        <v>1.6289318694110122</v>
      </c>
      <c r="AU284" s="75">
        <v>0.96138920134891559</v>
      </c>
      <c r="AV284" s="75">
        <v>3.1620442171056453</v>
      </c>
      <c r="AW284" s="75">
        <v>1.4915905549159836</v>
      </c>
      <c r="AX284" s="80">
        <v>7.2439558427815571</v>
      </c>
      <c r="AY284" s="81">
        <v>0</v>
      </c>
      <c r="AZ284" s="83" t="s">
        <v>403</v>
      </c>
      <c r="BA284" s="80" t="s">
        <v>403</v>
      </c>
      <c r="BB284" s="84">
        <v>27.857928951101808</v>
      </c>
      <c r="BC284" s="85">
        <v>8.8101010100995261</v>
      </c>
      <c r="BD284" s="86">
        <v>0.87220000000113596</v>
      </c>
      <c r="BE284" s="84">
        <v>29.349519506017792</v>
      </c>
      <c r="BF284" s="87">
        <v>6.3067947838261045</v>
      </c>
      <c r="BG284" s="88">
        <v>0.9189000000005243</v>
      </c>
      <c r="BH284" s="89">
        <v>0</v>
      </c>
      <c r="BI284" s="90">
        <v>0</v>
      </c>
      <c r="BJ284" s="90">
        <v>0.22679999999900971</v>
      </c>
      <c r="BK284" s="91">
        <v>0.22679999999900971</v>
      </c>
      <c r="BL284" s="92">
        <v>24.695884733996163</v>
      </c>
      <c r="BM284" s="95">
        <v>0</v>
      </c>
      <c r="BN284" t="s">
        <v>402</v>
      </c>
      <c r="BO284">
        <v>0.85994999999999999</v>
      </c>
    </row>
    <row r="285" spans="1:67">
      <c r="A285" s="61" t="str">
        <f t="shared" si="4"/>
        <v>UK</v>
      </c>
      <c r="B285" s="62" t="s">
        <v>64</v>
      </c>
      <c r="C285" s="62" t="s">
        <v>176</v>
      </c>
      <c r="D285" s="63" t="s">
        <v>97</v>
      </c>
      <c r="E285" s="64">
        <v>43831</v>
      </c>
      <c r="F285" s="64">
        <v>43921</v>
      </c>
      <c r="G285" s="65">
        <v>43995</v>
      </c>
      <c r="H285" s="66" t="s">
        <v>132</v>
      </c>
      <c r="I285" s="67">
        <v>3</v>
      </c>
      <c r="J285" s="68">
        <v>2020</v>
      </c>
      <c r="K285" s="69">
        <v>1</v>
      </c>
      <c r="L285" s="70">
        <v>3</v>
      </c>
      <c r="M285" s="71" t="s">
        <v>140</v>
      </c>
      <c r="N285" s="71" t="s">
        <v>18</v>
      </c>
      <c r="O285" s="71" t="s">
        <v>114</v>
      </c>
      <c r="P285" s="71" t="s">
        <v>102</v>
      </c>
      <c r="Q285" s="61" t="s">
        <v>766</v>
      </c>
      <c r="R285" s="63" t="s">
        <v>165</v>
      </c>
      <c r="S285" s="72" t="s">
        <v>799</v>
      </c>
      <c r="T285" s="61" t="s">
        <v>800</v>
      </c>
      <c r="U285" s="73" t="s">
        <v>801</v>
      </c>
      <c r="V285" s="62">
        <v>107251</v>
      </c>
      <c r="W285" s="62" t="s">
        <v>770</v>
      </c>
      <c r="X285" s="62" t="s">
        <v>402</v>
      </c>
      <c r="Y285" s="93">
        <v>1</v>
      </c>
      <c r="Z285" s="94">
        <v>1</v>
      </c>
      <c r="AA285" s="74">
        <v>0</v>
      </c>
      <c r="AB285" s="75">
        <v>0</v>
      </c>
      <c r="AC285" s="75">
        <v>0</v>
      </c>
      <c r="AD285" s="76">
        <v>0</v>
      </c>
      <c r="AE285" s="77">
        <v>1.3073374845000001</v>
      </c>
      <c r="AF285" s="75">
        <v>1.7544146704000001</v>
      </c>
      <c r="AG285" s="78">
        <v>0</v>
      </c>
      <c r="AH285" s="79">
        <v>0</v>
      </c>
      <c r="AI285" s="74">
        <v>0</v>
      </c>
      <c r="AJ285" s="75">
        <v>0</v>
      </c>
      <c r="AK285" s="75">
        <v>0</v>
      </c>
      <c r="AL285" s="80">
        <v>0</v>
      </c>
      <c r="AM285" s="74">
        <v>0</v>
      </c>
      <c r="AN285" s="74">
        <v>0</v>
      </c>
      <c r="AO285" s="81" t="s">
        <v>403</v>
      </c>
      <c r="AP285" s="82">
        <v>0</v>
      </c>
      <c r="AQ285" s="75">
        <v>0</v>
      </c>
      <c r="AR285" s="75">
        <v>0</v>
      </c>
      <c r="AS285" s="80">
        <v>0</v>
      </c>
      <c r="AT285" s="74">
        <v>0</v>
      </c>
      <c r="AU285" s="75">
        <v>0</v>
      </c>
      <c r="AV285" s="75">
        <v>0</v>
      </c>
      <c r="AW285" s="75">
        <v>0</v>
      </c>
      <c r="AX285" s="80">
        <v>0</v>
      </c>
      <c r="AY285" s="81">
        <v>0</v>
      </c>
      <c r="AZ285" s="83" t="s">
        <v>403</v>
      </c>
      <c r="BA285" s="80" t="s">
        <v>403</v>
      </c>
      <c r="BB285" s="84">
        <v>0</v>
      </c>
      <c r="BC285" s="85" t="s">
        <v>403</v>
      </c>
      <c r="BD285" s="86" t="s">
        <v>403</v>
      </c>
      <c r="BE285" s="84">
        <v>0</v>
      </c>
      <c r="BF285" s="87" t="s">
        <v>403</v>
      </c>
      <c r="BG285" s="88" t="s">
        <v>403</v>
      </c>
      <c r="BH285" s="89" t="s">
        <v>403</v>
      </c>
      <c r="BI285" s="90" t="s">
        <v>403</v>
      </c>
      <c r="BJ285" s="90" t="s">
        <v>403</v>
      </c>
      <c r="BK285" s="91">
        <v>0</v>
      </c>
      <c r="BL285" s="92">
        <v>0</v>
      </c>
      <c r="BM285" s="95">
        <v>0</v>
      </c>
      <c r="BN285" t="s">
        <v>402</v>
      </c>
      <c r="BO285">
        <v>0.85994999999999999</v>
      </c>
    </row>
    <row r="286" spans="1:67">
      <c r="A286" s="61" t="str">
        <f t="shared" si="4"/>
        <v>UK</v>
      </c>
      <c r="B286" s="62" t="s">
        <v>64</v>
      </c>
      <c r="C286" s="62" t="s">
        <v>176</v>
      </c>
      <c r="D286" s="63" t="s">
        <v>97</v>
      </c>
      <c r="E286" s="64">
        <v>43831</v>
      </c>
      <c r="F286" s="64">
        <v>43921</v>
      </c>
      <c r="G286" s="65">
        <v>43995</v>
      </c>
      <c r="H286" s="66" t="s">
        <v>132</v>
      </c>
      <c r="I286" s="67">
        <v>3</v>
      </c>
      <c r="J286" s="68">
        <v>2020</v>
      </c>
      <c r="K286" s="69">
        <v>1</v>
      </c>
      <c r="L286" s="70">
        <v>3</v>
      </c>
      <c r="M286" s="71" t="s">
        <v>140</v>
      </c>
      <c r="N286" s="71" t="s">
        <v>18</v>
      </c>
      <c r="O286" s="71" t="s">
        <v>114</v>
      </c>
      <c r="P286" s="71" t="s">
        <v>102</v>
      </c>
      <c r="Q286" s="61" t="s">
        <v>766</v>
      </c>
      <c r="R286" s="63" t="e">
        <v>#N/A</v>
      </c>
      <c r="S286" s="72" t="s">
        <v>799</v>
      </c>
      <c r="T286" s="61" t="s">
        <v>800</v>
      </c>
      <c r="U286" s="73" t="s">
        <v>802</v>
      </c>
      <c r="V286" s="62">
        <v>107831</v>
      </c>
      <c r="W286" s="62" t="s">
        <v>770</v>
      </c>
      <c r="X286" s="62" t="s">
        <v>402</v>
      </c>
      <c r="Y286" s="93">
        <v>1</v>
      </c>
      <c r="Z286" s="94">
        <v>1</v>
      </c>
      <c r="AA286" s="74">
        <v>575</v>
      </c>
      <c r="AB286" s="75">
        <v>818</v>
      </c>
      <c r="AC286" s="75">
        <v>0</v>
      </c>
      <c r="AD286" s="76">
        <v>0</v>
      </c>
      <c r="AE286" s="77">
        <v>2.1973397446999998</v>
      </c>
      <c r="AF286" s="75">
        <v>3.1462128480999998</v>
      </c>
      <c r="AG286" s="78">
        <v>0</v>
      </c>
      <c r="AH286" s="79">
        <v>0</v>
      </c>
      <c r="AI286" s="74">
        <v>0</v>
      </c>
      <c r="AJ286" s="75">
        <v>0</v>
      </c>
      <c r="AK286" s="75">
        <v>0</v>
      </c>
      <c r="AL286" s="80">
        <v>0</v>
      </c>
      <c r="AM286" s="74">
        <v>27</v>
      </c>
      <c r="AN286" s="74">
        <v>3</v>
      </c>
      <c r="AO286" s="81">
        <v>0.1111111111111111</v>
      </c>
      <c r="AP286" s="82">
        <v>68</v>
      </c>
      <c r="AQ286" s="75">
        <v>24249.816875399734</v>
      </c>
      <c r="AR286" s="75">
        <v>28427.385338682485</v>
      </c>
      <c r="AS286" s="80">
        <v>52677.202214082223</v>
      </c>
      <c r="AT286" s="74">
        <v>0</v>
      </c>
      <c r="AU286" s="75">
        <v>0</v>
      </c>
      <c r="AV286" s="75">
        <v>0</v>
      </c>
      <c r="AW286" s="75">
        <v>0</v>
      </c>
      <c r="AX286" s="80">
        <v>0</v>
      </c>
      <c r="AY286" s="81">
        <v>21.613286602991671</v>
      </c>
      <c r="AZ286" s="83">
        <v>774.66473844238567</v>
      </c>
      <c r="BA286" s="80">
        <v>16743.051013186861</v>
      </c>
      <c r="BB286" s="84">
        <v>-52677.202214082223</v>
      </c>
      <c r="BC286" s="85" t="s">
        <v>403</v>
      </c>
      <c r="BD286" s="86" t="s">
        <v>403</v>
      </c>
      <c r="BE286" s="84">
        <v>-52677.202214082223</v>
      </c>
      <c r="BF286" s="87" t="s">
        <v>403</v>
      </c>
      <c r="BG286" s="88" t="s">
        <v>403</v>
      </c>
      <c r="BH286" s="89" t="s">
        <v>403</v>
      </c>
      <c r="BI286" s="90" t="s">
        <v>403</v>
      </c>
      <c r="BJ286" s="90" t="s">
        <v>403</v>
      </c>
      <c r="BK286" s="91">
        <v>0</v>
      </c>
      <c r="BL286" s="92">
        <v>-52677.202214082223</v>
      </c>
      <c r="BM286" s="95">
        <v>0</v>
      </c>
      <c r="BN286" t="s">
        <v>402</v>
      </c>
      <c r="BO286">
        <v>0.85994999999999999</v>
      </c>
    </row>
    <row r="287" spans="1:67">
      <c r="A287" s="61" t="str">
        <f t="shared" si="4"/>
        <v>UK</v>
      </c>
      <c r="B287" s="62" t="s">
        <v>64</v>
      </c>
      <c r="C287" s="62" t="s">
        <v>176</v>
      </c>
      <c r="D287" s="63" t="s">
        <v>97</v>
      </c>
      <c r="E287" s="64">
        <v>43831</v>
      </c>
      <c r="F287" s="64">
        <v>43921</v>
      </c>
      <c r="G287" s="65">
        <v>43995</v>
      </c>
      <c r="H287" s="66" t="s">
        <v>132</v>
      </c>
      <c r="I287" s="67">
        <v>3</v>
      </c>
      <c r="J287" s="68">
        <v>2020</v>
      </c>
      <c r="K287" s="69">
        <v>1</v>
      </c>
      <c r="L287" s="70">
        <v>3</v>
      </c>
      <c r="M287" s="71" t="s">
        <v>140</v>
      </c>
      <c r="N287" s="71" t="s">
        <v>18</v>
      </c>
      <c r="O287" s="71" t="s">
        <v>114</v>
      </c>
      <c r="P287" s="71" t="s">
        <v>102</v>
      </c>
      <c r="Q287" s="61" t="s">
        <v>766</v>
      </c>
      <c r="R287" s="63" t="s">
        <v>165</v>
      </c>
      <c r="S287" s="72" t="s">
        <v>799</v>
      </c>
      <c r="T287" s="61" t="s">
        <v>803</v>
      </c>
      <c r="U287" s="73" t="s">
        <v>804</v>
      </c>
      <c r="V287" s="62">
        <v>107313</v>
      </c>
      <c r="W287" s="62" t="s">
        <v>770</v>
      </c>
      <c r="X287" s="62" t="s">
        <v>402</v>
      </c>
      <c r="Y287" s="93">
        <v>1</v>
      </c>
      <c r="Z287" s="94">
        <v>1</v>
      </c>
      <c r="AA287" s="74">
        <v>0</v>
      </c>
      <c r="AB287" s="75">
        <v>0</v>
      </c>
      <c r="AC287" s="75">
        <v>0</v>
      </c>
      <c r="AD287" s="76">
        <v>0</v>
      </c>
      <c r="AE287" s="77">
        <v>43.577732240000003</v>
      </c>
      <c r="AF287" s="75">
        <v>44.168306010999999</v>
      </c>
      <c r="AG287" s="78">
        <v>5095.7606412000696</v>
      </c>
      <c r="AH287" s="79">
        <v>6114.9127694633407</v>
      </c>
      <c r="AI287" s="74">
        <v>0</v>
      </c>
      <c r="AJ287" s="75">
        <v>0</v>
      </c>
      <c r="AK287" s="75">
        <v>0</v>
      </c>
      <c r="AL287" s="80">
        <v>0</v>
      </c>
      <c r="AM287" s="74">
        <v>0</v>
      </c>
      <c r="AN287" s="74">
        <v>0</v>
      </c>
      <c r="AO287" s="81" t="s">
        <v>403</v>
      </c>
      <c r="AP287" s="82">
        <v>0</v>
      </c>
      <c r="AQ287" s="75">
        <v>0</v>
      </c>
      <c r="AR287" s="75">
        <v>0</v>
      </c>
      <c r="AS287" s="80">
        <v>0</v>
      </c>
      <c r="AT287" s="74">
        <v>259.88379269724982</v>
      </c>
      <c r="AU287" s="75">
        <v>153.38239530205243</v>
      </c>
      <c r="AV287" s="75">
        <v>504.48030348276058</v>
      </c>
      <c r="AW287" s="75">
        <v>237.97202194313624</v>
      </c>
      <c r="AX287" s="80">
        <v>1155.718513425199</v>
      </c>
      <c r="AY287" s="81">
        <v>0</v>
      </c>
      <c r="AZ287" s="83" t="s">
        <v>403</v>
      </c>
      <c r="BA287" s="80" t="s">
        <v>403</v>
      </c>
      <c r="BB287" s="84">
        <v>4444.5224312576311</v>
      </c>
      <c r="BC287" s="85">
        <v>8.8101010100377728</v>
      </c>
      <c r="BD287" s="86">
        <v>0.87220000000057507</v>
      </c>
      <c r="BE287" s="84">
        <v>4682.4944532007676</v>
      </c>
      <c r="BF287" s="87">
        <v>6.3067947837791793</v>
      </c>
      <c r="BG287" s="88">
        <v>0.91890000000039707</v>
      </c>
      <c r="BH287" s="89">
        <v>0</v>
      </c>
      <c r="BI287" s="90">
        <v>0</v>
      </c>
      <c r="BJ287" s="90">
        <v>0.22680000000020081</v>
      </c>
      <c r="BK287" s="91">
        <v>0.22680000000020081</v>
      </c>
      <c r="BL287" s="92">
        <v>3940.0421277748706</v>
      </c>
      <c r="BM287" s="95">
        <v>0</v>
      </c>
      <c r="BN287" t="s">
        <v>402</v>
      </c>
      <c r="BO287">
        <v>0.85994999999999999</v>
      </c>
    </row>
    <row r="288" spans="1:67">
      <c r="A288" s="61" t="str">
        <f t="shared" si="4"/>
        <v>UK</v>
      </c>
      <c r="B288" s="62" t="s">
        <v>64</v>
      </c>
      <c r="C288" s="62" t="s">
        <v>176</v>
      </c>
      <c r="D288" s="63" t="s">
        <v>97</v>
      </c>
      <c r="E288" s="64">
        <v>43831</v>
      </c>
      <c r="F288" s="64">
        <v>43921</v>
      </c>
      <c r="G288" s="65">
        <v>43995</v>
      </c>
      <c r="H288" s="66" t="s">
        <v>132</v>
      </c>
      <c r="I288" s="67">
        <v>3</v>
      </c>
      <c r="J288" s="68">
        <v>2020</v>
      </c>
      <c r="K288" s="69">
        <v>1</v>
      </c>
      <c r="L288" s="70">
        <v>3</v>
      </c>
      <c r="M288" s="71" t="s">
        <v>140</v>
      </c>
      <c r="N288" s="71" t="s">
        <v>18</v>
      </c>
      <c r="O288" s="71" t="s">
        <v>114</v>
      </c>
      <c r="P288" s="71" t="s">
        <v>102</v>
      </c>
      <c r="Q288" s="61" t="s">
        <v>766</v>
      </c>
      <c r="R288" s="63" t="s">
        <v>112</v>
      </c>
      <c r="S288" s="72" t="s">
        <v>799</v>
      </c>
      <c r="T288" s="61" t="s">
        <v>803</v>
      </c>
      <c r="U288" s="73" t="s">
        <v>805</v>
      </c>
      <c r="V288" s="62">
        <v>107768</v>
      </c>
      <c r="W288" s="62" t="s">
        <v>770</v>
      </c>
      <c r="X288" s="62" t="s">
        <v>402</v>
      </c>
      <c r="Y288" s="93">
        <v>1</v>
      </c>
      <c r="Z288" s="94">
        <v>1</v>
      </c>
      <c r="AA288" s="74">
        <v>173</v>
      </c>
      <c r="AB288" s="75">
        <v>175</v>
      </c>
      <c r="AC288" s="75">
        <v>19296.867946973663</v>
      </c>
      <c r="AD288" s="76">
        <v>23156.241536135822</v>
      </c>
      <c r="AE288" s="77">
        <v>99.001794584999999</v>
      </c>
      <c r="AF288" s="75">
        <v>99.765592398999999</v>
      </c>
      <c r="AG288" s="78">
        <v>12861.270864585151</v>
      </c>
      <c r="AH288" s="79">
        <v>15433.525037502181</v>
      </c>
      <c r="AI288" s="74">
        <v>0</v>
      </c>
      <c r="AJ288" s="75">
        <v>0</v>
      </c>
      <c r="AK288" s="75">
        <v>0</v>
      </c>
      <c r="AL288" s="80">
        <v>0</v>
      </c>
      <c r="AM288" s="74">
        <v>4</v>
      </c>
      <c r="AN288" s="74">
        <v>0</v>
      </c>
      <c r="AO288" s="81">
        <v>0</v>
      </c>
      <c r="AP288" s="82">
        <v>5</v>
      </c>
      <c r="AQ288" s="75">
        <v>2777.3940855863716</v>
      </c>
      <c r="AR288" s="75">
        <v>2777.3940855863716</v>
      </c>
      <c r="AS288" s="80">
        <v>5554.7881711727432</v>
      </c>
      <c r="AT288" s="74">
        <v>655.92481408221408</v>
      </c>
      <c r="AU288" s="75">
        <v>387.12425301471012</v>
      </c>
      <c r="AV288" s="75">
        <v>1273.2658155706727</v>
      </c>
      <c r="AW288" s="75">
        <v>600.62134935752067</v>
      </c>
      <c r="AX288" s="80">
        <v>2916.9362320251175</v>
      </c>
      <c r="AY288" s="81">
        <v>5.011747918062899E-2</v>
      </c>
      <c r="AZ288" s="83">
        <v>1110.9576342345486</v>
      </c>
      <c r="BA288" s="80">
        <v>55.678396104310821</v>
      </c>
      <c r="BB288" s="84">
        <v>5662.8122769579631</v>
      </c>
      <c r="BC288" s="85">
        <v>4.4474705970331208</v>
      </c>
      <c r="BD288" s="86">
        <v>0.44029958909823652</v>
      </c>
      <c r="BE288" s="84">
        <v>6263.4336263154837</v>
      </c>
      <c r="BF288" s="87">
        <v>3.3424817371837308</v>
      </c>
      <c r="BG288" s="88">
        <v>0.48699958909678986</v>
      </c>
      <c r="BH288" s="89">
        <v>0.43190041090483766</v>
      </c>
      <c r="BI288" s="90">
        <v>0</v>
      </c>
      <c r="BJ288" s="90">
        <v>0.22679999999511755</v>
      </c>
      <c r="BK288" s="91">
        <v>0.65870041089995524</v>
      </c>
      <c r="BL288" s="92">
        <v>4389.54646138729</v>
      </c>
      <c r="BM288" s="95">
        <v>0</v>
      </c>
      <c r="BN288" t="s">
        <v>402</v>
      </c>
      <c r="BO288">
        <v>0.85994999999999999</v>
      </c>
    </row>
    <row r="289" spans="1:67">
      <c r="A289" s="61" t="str">
        <f t="shared" si="4"/>
        <v>UK</v>
      </c>
      <c r="B289" s="62" t="s">
        <v>64</v>
      </c>
      <c r="C289" s="62" t="s">
        <v>176</v>
      </c>
      <c r="D289" s="63" t="s">
        <v>97</v>
      </c>
      <c r="E289" s="64">
        <v>43831</v>
      </c>
      <c r="F289" s="64">
        <v>43921</v>
      </c>
      <c r="G289" s="65">
        <v>43995</v>
      </c>
      <c r="H289" s="66" t="s">
        <v>132</v>
      </c>
      <c r="I289" s="67">
        <v>3</v>
      </c>
      <c r="J289" s="68">
        <v>2020</v>
      </c>
      <c r="K289" s="69">
        <v>1</v>
      </c>
      <c r="L289" s="70">
        <v>3</v>
      </c>
      <c r="M289" s="71" t="s">
        <v>140</v>
      </c>
      <c r="N289" s="71" t="s">
        <v>18</v>
      </c>
      <c r="O289" s="71" t="s">
        <v>114</v>
      </c>
      <c r="P289" s="71" t="s">
        <v>102</v>
      </c>
      <c r="Q289" s="61" t="s">
        <v>766</v>
      </c>
      <c r="R289" s="63" t="s">
        <v>106</v>
      </c>
      <c r="S289" s="72" t="s">
        <v>799</v>
      </c>
      <c r="T289" s="61" t="s">
        <v>803</v>
      </c>
      <c r="U289" s="73" t="s">
        <v>806</v>
      </c>
      <c r="V289" s="62">
        <v>107770</v>
      </c>
      <c r="W289" s="62" t="s">
        <v>770</v>
      </c>
      <c r="X289" s="62" t="s">
        <v>402</v>
      </c>
      <c r="Y289" s="93">
        <v>1</v>
      </c>
      <c r="Z289" s="94">
        <v>1</v>
      </c>
      <c r="AA289" s="74">
        <v>15</v>
      </c>
      <c r="AB289" s="75">
        <v>15</v>
      </c>
      <c r="AC289" s="75">
        <v>1133.5736728298157</v>
      </c>
      <c r="AD289" s="76">
        <v>1360.2884073492646</v>
      </c>
      <c r="AE289" s="77">
        <v>10.304402798</v>
      </c>
      <c r="AF289" s="75">
        <v>10.304402798</v>
      </c>
      <c r="AG289" s="78">
        <v>792.70539455782318</v>
      </c>
      <c r="AH289" s="79">
        <v>951.24647346938775</v>
      </c>
      <c r="AI289" s="74">
        <v>0</v>
      </c>
      <c r="AJ289" s="75">
        <v>0</v>
      </c>
      <c r="AK289" s="75">
        <v>0</v>
      </c>
      <c r="AL289" s="80">
        <v>0</v>
      </c>
      <c r="AM289" s="74">
        <v>1</v>
      </c>
      <c r="AN289" s="74">
        <v>1</v>
      </c>
      <c r="AO289" s="81">
        <v>1</v>
      </c>
      <c r="AP289" s="82">
        <v>2</v>
      </c>
      <c r="AQ289" s="75">
        <v>2180.9407523693239</v>
      </c>
      <c r="AR289" s="75">
        <v>2180.9407523693239</v>
      </c>
      <c r="AS289" s="80">
        <v>4361.8815047386479</v>
      </c>
      <c r="AT289" s="74">
        <v>40.427975122972263</v>
      </c>
      <c r="AU289" s="75">
        <v>23.860432376300949</v>
      </c>
      <c r="AV289" s="75">
        <v>78.477834061282636</v>
      </c>
      <c r="AW289" s="75">
        <v>37.019341925693354</v>
      </c>
      <c r="AX289" s="80">
        <v>179.78558348624921</v>
      </c>
      <c r="AY289" s="81">
        <v>0.19409179155808851</v>
      </c>
      <c r="AZ289" s="83">
        <v>2180.9407523693239</v>
      </c>
      <c r="BA289" s="80">
        <v>423.30269790940753</v>
      </c>
      <c r="BB289" s="84">
        <v>-3670.4838596057912</v>
      </c>
      <c r="BC289" s="85">
        <v>-46.770962826771488</v>
      </c>
      <c r="BD289" s="86">
        <v>-4.6303253198538075</v>
      </c>
      <c r="BE289" s="84">
        <v>-3633.4645176800982</v>
      </c>
      <c r="BF289" s="87">
        <v>-31.45933644377439</v>
      </c>
      <c r="BG289" s="88">
        <v>-4.583625319854006</v>
      </c>
      <c r="BH289" s="89">
        <v>5.5025253198532056</v>
      </c>
      <c r="BI289" s="90">
        <v>0</v>
      </c>
      <c r="BJ289" s="90">
        <v>0.2268000000006748</v>
      </c>
      <c r="BK289" s="91">
        <v>5.7293253198538805</v>
      </c>
      <c r="BL289" s="92">
        <v>-3748.9616936670741</v>
      </c>
      <c r="BM289" s="95">
        <v>0</v>
      </c>
      <c r="BN289" t="s">
        <v>402</v>
      </c>
      <c r="BO289">
        <v>0.85994999999999999</v>
      </c>
    </row>
    <row r="290" spans="1:67">
      <c r="A290" s="61" t="str">
        <f t="shared" ref="A290:A353" si="5">B290</f>
        <v>UK</v>
      </c>
      <c r="B290" s="62" t="s">
        <v>64</v>
      </c>
      <c r="C290" s="62" t="s">
        <v>176</v>
      </c>
      <c r="D290" s="63" t="s">
        <v>97</v>
      </c>
      <c r="E290" s="64">
        <v>43831</v>
      </c>
      <c r="F290" s="64">
        <v>43921</v>
      </c>
      <c r="G290" s="65">
        <v>43995</v>
      </c>
      <c r="H290" s="66" t="s">
        <v>132</v>
      </c>
      <c r="I290" s="67">
        <v>3</v>
      </c>
      <c r="J290" s="68">
        <v>2020</v>
      </c>
      <c r="K290" s="69">
        <v>1</v>
      </c>
      <c r="L290" s="70">
        <v>3</v>
      </c>
      <c r="M290" s="71" t="s">
        <v>140</v>
      </c>
      <c r="N290" s="71" t="s">
        <v>18</v>
      </c>
      <c r="O290" s="71" t="s">
        <v>114</v>
      </c>
      <c r="P290" s="71" t="s">
        <v>102</v>
      </c>
      <c r="Q290" s="61" t="s">
        <v>766</v>
      </c>
      <c r="R290" s="63" t="s">
        <v>112</v>
      </c>
      <c r="S290" s="72" t="s">
        <v>799</v>
      </c>
      <c r="T290" s="61" t="s">
        <v>803</v>
      </c>
      <c r="U290" s="73" t="s">
        <v>807</v>
      </c>
      <c r="V290" s="62">
        <v>107817</v>
      </c>
      <c r="W290" s="62" t="s">
        <v>770</v>
      </c>
      <c r="X290" s="62" t="s">
        <v>402</v>
      </c>
      <c r="Y290" s="93">
        <v>1</v>
      </c>
      <c r="Z290" s="94">
        <v>1</v>
      </c>
      <c r="AA290" s="74">
        <v>0</v>
      </c>
      <c r="AB290" s="75">
        <v>0</v>
      </c>
      <c r="AC290" s="75">
        <v>0</v>
      </c>
      <c r="AD290" s="76">
        <v>0</v>
      </c>
      <c r="AE290" s="77">
        <v>0.1352459016</v>
      </c>
      <c r="AF290" s="75">
        <v>0.2704918033</v>
      </c>
      <c r="AG290" s="78">
        <v>15.748152060003489</v>
      </c>
      <c r="AH290" s="79">
        <v>18.897782471073899</v>
      </c>
      <c r="AI290" s="74">
        <v>0</v>
      </c>
      <c r="AJ290" s="75">
        <v>0</v>
      </c>
      <c r="AK290" s="75">
        <v>0</v>
      </c>
      <c r="AL290" s="80">
        <v>0</v>
      </c>
      <c r="AM290" s="74">
        <v>0</v>
      </c>
      <c r="AN290" s="74">
        <v>0</v>
      </c>
      <c r="AO290" s="81" t="s">
        <v>403</v>
      </c>
      <c r="AP290" s="82">
        <v>0</v>
      </c>
      <c r="AQ290" s="75">
        <v>0</v>
      </c>
      <c r="AR290" s="75">
        <v>0</v>
      </c>
      <c r="AS290" s="80">
        <v>0</v>
      </c>
      <c r="AT290" s="74">
        <v>0.80315575498575498</v>
      </c>
      <c r="AU290" s="75">
        <v>0.47401937694051977</v>
      </c>
      <c r="AV290" s="75">
        <v>1.5590670538984823</v>
      </c>
      <c r="AW290" s="75">
        <v>0.73543870120355836</v>
      </c>
      <c r="AX290" s="80">
        <v>3.5716808870283154</v>
      </c>
      <c r="AY290" s="81">
        <v>0</v>
      </c>
      <c r="AZ290" s="83" t="s">
        <v>403</v>
      </c>
      <c r="BA290" s="80" t="s">
        <v>403</v>
      </c>
      <c r="BB290" s="84">
        <v>13.735538226873656</v>
      </c>
      <c r="BC290" s="85">
        <v>8.8101010104264805</v>
      </c>
      <c r="BD290" s="86">
        <v>0.87220000000880182</v>
      </c>
      <c r="BE290" s="84">
        <v>14.470976928077215</v>
      </c>
      <c r="BF290" s="87">
        <v>6.3067947839745848</v>
      </c>
      <c r="BG290" s="88">
        <v>0.91890000000889049</v>
      </c>
      <c r="BH290" s="89">
        <v>0</v>
      </c>
      <c r="BI290" s="90">
        <v>0</v>
      </c>
      <c r="BJ290" s="90">
        <v>0.22679999998853986</v>
      </c>
      <c r="BK290" s="91">
        <v>0.22679999998853986</v>
      </c>
      <c r="BL290" s="92">
        <v>12.176471172975173</v>
      </c>
      <c r="BM290" s="95">
        <v>0</v>
      </c>
      <c r="BN290" t="s">
        <v>402</v>
      </c>
      <c r="BO290">
        <v>0.85994999999999999</v>
      </c>
    </row>
    <row r="291" spans="1:67">
      <c r="A291" s="61" t="str">
        <f t="shared" si="5"/>
        <v>UK</v>
      </c>
      <c r="B291" s="62" t="s">
        <v>64</v>
      </c>
      <c r="C291" s="62" t="s">
        <v>176</v>
      </c>
      <c r="D291" s="63" t="s">
        <v>97</v>
      </c>
      <c r="E291" s="64">
        <v>43831</v>
      </c>
      <c r="F291" s="64">
        <v>43921</v>
      </c>
      <c r="G291" s="65">
        <v>43995</v>
      </c>
      <c r="H291" s="66" t="s">
        <v>132</v>
      </c>
      <c r="I291" s="67">
        <v>3</v>
      </c>
      <c r="J291" s="68">
        <v>2020</v>
      </c>
      <c r="K291" s="69">
        <v>1</v>
      </c>
      <c r="L291" s="70">
        <v>3</v>
      </c>
      <c r="M291" s="71" t="s">
        <v>140</v>
      </c>
      <c r="N291" s="71" t="s">
        <v>18</v>
      </c>
      <c r="O291" s="71" t="s">
        <v>114</v>
      </c>
      <c r="P291" s="71" t="s">
        <v>102</v>
      </c>
      <c r="Q291" s="61" t="s">
        <v>766</v>
      </c>
      <c r="R291" s="63" t="s">
        <v>106</v>
      </c>
      <c r="S291" s="72" t="s">
        <v>799</v>
      </c>
      <c r="T291" s="61" t="s">
        <v>803</v>
      </c>
      <c r="U291" s="73" t="s">
        <v>808</v>
      </c>
      <c r="V291" s="62">
        <v>107810</v>
      </c>
      <c r="W291" s="62" t="s">
        <v>770</v>
      </c>
      <c r="X291" s="62" t="s">
        <v>402</v>
      </c>
      <c r="Y291" s="93">
        <v>1</v>
      </c>
      <c r="Z291" s="94">
        <v>1</v>
      </c>
      <c r="AA291" s="74">
        <v>5</v>
      </c>
      <c r="AB291" s="75">
        <v>6</v>
      </c>
      <c r="AC291" s="75">
        <v>139.73680807023663</v>
      </c>
      <c r="AD291" s="76">
        <v>167.68416968428397</v>
      </c>
      <c r="AE291" s="77">
        <v>2.9307692308000002</v>
      </c>
      <c r="AF291" s="75">
        <v>2.9307692308000002</v>
      </c>
      <c r="AG291" s="78">
        <v>54.128446431769291</v>
      </c>
      <c r="AH291" s="79">
        <v>64.954135718355715</v>
      </c>
      <c r="AI291" s="74">
        <v>0</v>
      </c>
      <c r="AJ291" s="75">
        <v>0</v>
      </c>
      <c r="AK291" s="75">
        <v>0</v>
      </c>
      <c r="AL291" s="80">
        <v>0</v>
      </c>
      <c r="AM291" s="74">
        <v>0</v>
      </c>
      <c r="AN291" s="74">
        <v>0</v>
      </c>
      <c r="AO291" s="81" t="s">
        <v>403</v>
      </c>
      <c r="AP291" s="82">
        <v>0</v>
      </c>
      <c r="AQ291" s="75">
        <v>0</v>
      </c>
      <c r="AR291" s="75">
        <v>0</v>
      </c>
      <c r="AS291" s="80">
        <v>0</v>
      </c>
      <c r="AT291" s="74">
        <v>2.7605507680679109</v>
      </c>
      <c r="AU291" s="75">
        <v>1.6292662375719518</v>
      </c>
      <c r="AV291" s="75">
        <v>5.3587161967556254</v>
      </c>
      <c r="AW291" s="75">
        <v>2.5277984483981628</v>
      </c>
      <c r="AX291" s="80">
        <v>12.276331650793651</v>
      </c>
      <c r="AY291" s="81">
        <v>0</v>
      </c>
      <c r="AZ291" s="83" t="s">
        <v>403</v>
      </c>
      <c r="BA291" s="80" t="s">
        <v>403</v>
      </c>
      <c r="BB291" s="84">
        <v>47.210830977731263</v>
      </c>
      <c r="BC291" s="85">
        <v>8.8101010100729962</v>
      </c>
      <c r="BD291" s="86">
        <v>0.87219999999893005</v>
      </c>
      <c r="BE291" s="84">
        <v>49.738629426129428</v>
      </c>
      <c r="BF291" s="87">
        <v>6.3067947837633813</v>
      </c>
      <c r="BG291" s="88">
        <v>0.91889999999956817</v>
      </c>
      <c r="BH291" s="89">
        <v>0</v>
      </c>
      <c r="BI291" s="90">
        <v>0</v>
      </c>
      <c r="BJ291" s="90">
        <v>0.22680000000126321</v>
      </c>
      <c r="BK291" s="91">
        <v>0.22680000000126321</v>
      </c>
      <c r="BL291" s="92">
        <v>41.85211478097564</v>
      </c>
      <c r="BM291" s="95">
        <v>0</v>
      </c>
      <c r="BN291" t="s">
        <v>402</v>
      </c>
      <c r="BO291">
        <v>0.85994999999999999</v>
      </c>
    </row>
    <row r="292" spans="1:67">
      <c r="A292" s="61" t="str">
        <f t="shared" si="5"/>
        <v>UK</v>
      </c>
      <c r="B292" s="62" t="s">
        <v>64</v>
      </c>
      <c r="C292" s="62" t="s">
        <v>176</v>
      </c>
      <c r="D292" s="63" t="s">
        <v>97</v>
      </c>
      <c r="E292" s="64">
        <v>43831</v>
      </c>
      <c r="F292" s="64">
        <v>43921</v>
      </c>
      <c r="G292" s="65">
        <v>43995</v>
      </c>
      <c r="H292" s="66" t="s">
        <v>132</v>
      </c>
      <c r="I292" s="67">
        <v>3</v>
      </c>
      <c r="J292" s="68">
        <v>2020</v>
      </c>
      <c r="K292" s="69">
        <v>1</v>
      </c>
      <c r="L292" s="70">
        <v>3</v>
      </c>
      <c r="M292" s="71" t="s">
        <v>140</v>
      </c>
      <c r="N292" s="71" t="s">
        <v>18</v>
      </c>
      <c r="O292" s="71" t="s">
        <v>114</v>
      </c>
      <c r="P292" s="71" t="s">
        <v>102</v>
      </c>
      <c r="Q292" s="61" t="s">
        <v>766</v>
      </c>
      <c r="R292" s="63" t="e">
        <v>#N/A</v>
      </c>
      <c r="S292" s="72" t="s">
        <v>809</v>
      </c>
      <c r="T292" s="61" t="s">
        <v>810</v>
      </c>
      <c r="U292" s="73" t="s">
        <v>811</v>
      </c>
      <c r="V292" s="62">
        <v>107252</v>
      </c>
      <c r="W292" s="62" t="s">
        <v>770</v>
      </c>
      <c r="X292" s="62" t="s">
        <v>402</v>
      </c>
      <c r="Y292" s="93">
        <v>1</v>
      </c>
      <c r="Z292" s="94">
        <v>1</v>
      </c>
      <c r="AA292" s="74">
        <v>0</v>
      </c>
      <c r="AB292" s="75">
        <v>0</v>
      </c>
      <c r="AC292" s="75">
        <v>0</v>
      </c>
      <c r="AD292" s="76">
        <v>0</v>
      </c>
      <c r="AE292" s="77">
        <v>3.9626173091000001</v>
      </c>
      <c r="AF292" s="75">
        <v>5.6947611285999997</v>
      </c>
      <c r="AG292" s="78">
        <v>0</v>
      </c>
      <c r="AH292" s="79">
        <v>0</v>
      </c>
      <c r="AI292" s="74">
        <v>0</v>
      </c>
      <c r="AJ292" s="75">
        <v>0</v>
      </c>
      <c r="AK292" s="75">
        <v>0</v>
      </c>
      <c r="AL292" s="80">
        <v>0</v>
      </c>
      <c r="AM292" s="74">
        <v>0</v>
      </c>
      <c r="AN292" s="74">
        <v>0</v>
      </c>
      <c r="AO292" s="81" t="s">
        <v>403</v>
      </c>
      <c r="AP292" s="82">
        <v>0</v>
      </c>
      <c r="AQ292" s="75">
        <v>0</v>
      </c>
      <c r="AR292" s="75">
        <v>0</v>
      </c>
      <c r="AS292" s="80">
        <v>0</v>
      </c>
      <c r="AT292" s="74">
        <v>0</v>
      </c>
      <c r="AU292" s="75">
        <v>0</v>
      </c>
      <c r="AV292" s="75">
        <v>0</v>
      </c>
      <c r="AW292" s="75">
        <v>0</v>
      </c>
      <c r="AX292" s="80">
        <v>0</v>
      </c>
      <c r="AY292" s="81">
        <v>0</v>
      </c>
      <c r="AZ292" s="83" t="s">
        <v>403</v>
      </c>
      <c r="BA292" s="80" t="s">
        <v>403</v>
      </c>
      <c r="BB292" s="84">
        <v>0</v>
      </c>
      <c r="BC292" s="85" t="s">
        <v>403</v>
      </c>
      <c r="BD292" s="86" t="s">
        <v>403</v>
      </c>
      <c r="BE292" s="84">
        <v>0</v>
      </c>
      <c r="BF292" s="87" t="s">
        <v>403</v>
      </c>
      <c r="BG292" s="88" t="s">
        <v>403</v>
      </c>
      <c r="BH292" s="89" t="s">
        <v>403</v>
      </c>
      <c r="BI292" s="90" t="s">
        <v>403</v>
      </c>
      <c r="BJ292" s="90" t="s">
        <v>403</v>
      </c>
      <c r="BK292" s="91">
        <v>0</v>
      </c>
      <c r="BL292" s="92">
        <v>0</v>
      </c>
      <c r="BM292" s="95">
        <v>0</v>
      </c>
      <c r="BN292" t="s">
        <v>402</v>
      </c>
      <c r="BO292">
        <v>0.85994999999999999</v>
      </c>
    </row>
    <row r="293" spans="1:67">
      <c r="A293" s="61" t="str">
        <f t="shared" si="5"/>
        <v>UK</v>
      </c>
      <c r="B293" s="62" t="s">
        <v>64</v>
      </c>
      <c r="C293" s="62" t="s">
        <v>176</v>
      </c>
      <c r="D293" s="63" t="s">
        <v>97</v>
      </c>
      <c r="E293" s="64">
        <v>43831</v>
      </c>
      <c r="F293" s="64">
        <v>43921</v>
      </c>
      <c r="G293" s="65">
        <v>43995</v>
      </c>
      <c r="H293" s="66" t="s">
        <v>132</v>
      </c>
      <c r="I293" s="67">
        <v>3</v>
      </c>
      <c r="J293" s="68">
        <v>2020</v>
      </c>
      <c r="K293" s="69">
        <v>1</v>
      </c>
      <c r="L293" s="70">
        <v>3</v>
      </c>
      <c r="M293" s="71" t="s">
        <v>140</v>
      </c>
      <c r="N293" s="71" t="s">
        <v>18</v>
      </c>
      <c r="O293" s="71" t="s">
        <v>114</v>
      </c>
      <c r="P293" s="71" t="s">
        <v>102</v>
      </c>
      <c r="Q293" s="61" t="s">
        <v>766</v>
      </c>
      <c r="R293" s="63" t="e">
        <v>#N/A</v>
      </c>
      <c r="S293" s="72" t="s">
        <v>809</v>
      </c>
      <c r="T293" s="61" t="s">
        <v>810</v>
      </c>
      <c r="U293" s="73" t="s">
        <v>812</v>
      </c>
      <c r="V293" s="62">
        <v>107832</v>
      </c>
      <c r="W293" s="62" t="s">
        <v>770</v>
      </c>
      <c r="X293" s="62" t="s">
        <v>402</v>
      </c>
      <c r="Y293" s="93">
        <v>1</v>
      </c>
      <c r="Z293" s="94">
        <v>1</v>
      </c>
      <c r="AA293" s="74">
        <v>1870</v>
      </c>
      <c r="AB293" s="75">
        <v>2769</v>
      </c>
      <c r="AC293" s="75">
        <v>0</v>
      </c>
      <c r="AD293" s="76">
        <v>0</v>
      </c>
      <c r="AE293" s="77">
        <v>6.4322769894</v>
      </c>
      <c r="AF293" s="75">
        <v>9.5233478419999997</v>
      </c>
      <c r="AG293" s="78">
        <v>0</v>
      </c>
      <c r="AH293" s="79">
        <v>0</v>
      </c>
      <c r="AI293" s="74">
        <v>0</v>
      </c>
      <c r="AJ293" s="75">
        <v>0</v>
      </c>
      <c r="AK293" s="75">
        <v>0</v>
      </c>
      <c r="AL293" s="80">
        <v>0</v>
      </c>
      <c r="AM293" s="74">
        <v>66</v>
      </c>
      <c r="AN293" s="74">
        <v>6</v>
      </c>
      <c r="AO293" s="81">
        <v>9.0909090909090912E-2</v>
      </c>
      <c r="AP293" s="82">
        <v>159</v>
      </c>
      <c r="AQ293" s="75">
        <v>62261.770947148092</v>
      </c>
      <c r="AR293" s="75">
        <v>96116.506622478046</v>
      </c>
      <c r="AS293" s="80">
        <v>158378.27756962614</v>
      </c>
      <c r="AT293" s="74">
        <v>0</v>
      </c>
      <c r="AU293" s="75">
        <v>0</v>
      </c>
      <c r="AV293" s="75">
        <v>0</v>
      </c>
      <c r="AW293" s="75">
        <v>0</v>
      </c>
      <c r="AX293" s="80">
        <v>0</v>
      </c>
      <c r="AY293" s="81">
        <v>16.695809355904863</v>
      </c>
      <c r="AZ293" s="83">
        <v>996.08979603538455</v>
      </c>
      <c r="BA293" s="80">
        <v>16630.525335968941</v>
      </c>
      <c r="BB293" s="84">
        <v>-158378.27756962614</v>
      </c>
      <c r="BC293" s="85" t="s">
        <v>403</v>
      </c>
      <c r="BD293" s="86" t="s">
        <v>403</v>
      </c>
      <c r="BE293" s="84">
        <v>-158378.27756962614</v>
      </c>
      <c r="BF293" s="87" t="s">
        <v>403</v>
      </c>
      <c r="BG293" s="88" t="s">
        <v>403</v>
      </c>
      <c r="BH293" s="89" t="s">
        <v>403</v>
      </c>
      <c r="BI293" s="90" t="s">
        <v>403</v>
      </c>
      <c r="BJ293" s="90" t="s">
        <v>403</v>
      </c>
      <c r="BK293" s="91">
        <v>0</v>
      </c>
      <c r="BL293" s="92">
        <v>-158378.27756962614</v>
      </c>
      <c r="BM293" s="95">
        <v>0</v>
      </c>
      <c r="BN293" t="s">
        <v>402</v>
      </c>
      <c r="BO293">
        <v>0.85994999999999999</v>
      </c>
    </row>
    <row r="294" spans="1:67">
      <c r="A294" s="61" t="str">
        <f t="shared" si="5"/>
        <v>UK</v>
      </c>
      <c r="B294" s="62" t="s">
        <v>64</v>
      </c>
      <c r="C294" s="62" t="s">
        <v>176</v>
      </c>
      <c r="D294" s="63" t="s">
        <v>97</v>
      </c>
      <c r="E294" s="64">
        <v>43831</v>
      </c>
      <c r="F294" s="64">
        <v>43921</v>
      </c>
      <c r="G294" s="65">
        <v>43995</v>
      </c>
      <c r="H294" s="66" t="s">
        <v>132</v>
      </c>
      <c r="I294" s="67">
        <v>3</v>
      </c>
      <c r="J294" s="68">
        <v>2020</v>
      </c>
      <c r="K294" s="69">
        <v>1</v>
      </c>
      <c r="L294" s="70">
        <v>3</v>
      </c>
      <c r="M294" s="71" t="s">
        <v>140</v>
      </c>
      <c r="N294" s="71" t="s">
        <v>18</v>
      </c>
      <c r="O294" s="71" t="s">
        <v>114</v>
      </c>
      <c r="P294" s="71" t="s">
        <v>102</v>
      </c>
      <c r="Q294" s="61" t="s">
        <v>766</v>
      </c>
      <c r="R294" s="63" t="s">
        <v>106</v>
      </c>
      <c r="S294" s="72" t="s">
        <v>809</v>
      </c>
      <c r="T294" s="61" t="s">
        <v>813</v>
      </c>
      <c r="U294" s="73" t="s">
        <v>814</v>
      </c>
      <c r="V294" s="62">
        <v>107330</v>
      </c>
      <c r="W294" s="62" t="s">
        <v>770</v>
      </c>
      <c r="X294" s="62" t="s">
        <v>402</v>
      </c>
      <c r="Y294" s="93">
        <v>1</v>
      </c>
      <c r="Z294" s="94">
        <v>1</v>
      </c>
      <c r="AA294" s="74">
        <v>0</v>
      </c>
      <c r="AB294" s="75">
        <v>0</v>
      </c>
      <c r="AC294" s="75">
        <v>0</v>
      </c>
      <c r="AD294" s="76">
        <v>0</v>
      </c>
      <c r="AE294" s="77">
        <v>0.93432835820000004</v>
      </c>
      <c r="AF294" s="75">
        <v>1.8686567164000001</v>
      </c>
      <c r="AG294" s="78">
        <v>37.719362811791385</v>
      </c>
      <c r="AH294" s="79">
        <v>45.263235374149659</v>
      </c>
      <c r="AI294" s="74">
        <v>0</v>
      </c>
      <c r="AJ294" s="75">
        <v>0</v>
      </c>
      <c r="AK294" s="75">
        <v>0</v>
      </c>
      <c r="AL294" s="80">
        <v>0</v>
      </c>
      <c r="AM294" s="74">
        <v>0</v>
      </c>
      <c r="AN294" s="74">
        <v>0</v>
      </c>
      <c r="AO294" s="81" t="s">
        <v>403</v>
      </c>
      <c r="AP294" s="82">
        <v>0</v>
      </c>
      <c r="AQ294" s="75">
        <v>0</v>
      </c>
      <c r="AR294" s="75">
        <v>0</v>
      </c>
      <c r="AS294" s="80">
        <v>0</v>
      </c>
      <c r="AT294" s="74">
        <v>1.9236875034595036</v>
      </c>
      <c r="AU294" s="75">
        <v>1.1353528206291064</v>
      </c>
      <c r="AV294" s="75">
        <v>3.7342169184254899</v>
      </c>
      <c r="AW294" s="75">
        <v>1.7614942433862435</v>
      </c>
      <c r="AX294" s="80">
        <v>8.5547514859003435</v>
      </c>
      <c r="AY294" s="81">
        <v>0</v>
      </c>
      <c r="AZ294" s="83" t="s">
        <v>403</v>
      </c>
      <c r="BA294" s="80" t="s">
        <v>403</v>
      </c>
      <c r="BB294" s="84">
        <v>32.898828244316533</v>
      </c>
      <c r="BC294" s="85">
        <v>8.8101010099295802</v>
      </c>
      <c r="BD294" s="86">
        <v>0.8721999999966088</v>
      </c>
      <c r="BE294" s="84">
        <v>34.660322487702771</v>
      </c>
      <c r="BF294" s="87">
        <v>6.3067947836393454</v>
      </c>
      <c r="BG294" s="88">
        <v>0.9188999999986126</v>
      </c>
      <c r="BH294" s="89">
        <v>0</v>
      </c>
      <c r="BI294" s="90">
        <v>0</v>
      </c>
      <c r="BJ294" s="90">
        <v>0.22680000000493267</v>
      </c>
      <c r="BK294" s="91">
        <v>0.22680000000493267</v>
      </c>
      <c r="BL294" s="92">
        <v>29.164611325891041</v>
      </c>
      <c r="BM294" s="95">
        <v>0</v>
      </c>
      <c r="BN294" t="s">
        <v>402</v>
      </c>
      <c r="BO294">
        <v>0.85994999999999999</v>
      </c>
    </row>
    <row r="295" spans="1:67">
      <c r="A295" s="61" t="str">
        <f t="shared" si="5"/>
        <v>UK</v>
      </c>
      <c r="B295" s="62" t="s">
        <v>64</v>
      </c>
      <c r="C295" s="62" t="s">
        <v>176</v>
      </c>
      <c r="D295" s="63" t="s">
        <v>97</v>
      </c>
      <c r="E295" s="64">
        <v>43831</v>
      </c>
      <c r="F295" s="64">
        <v>43921</v>
      </c>
      <c r="G295" s="65">
        <v>43995</v>
      </c>
      <c r="H295" s="66" t="s">
        <v>132</v>
      </c>
      <c r="I295" s="67">
        <v>3</v>
      </c>
      <c r="J295" s="68">
        <v>2020</v>
      </c>
      <c r="K295" s="69">
        <v>1</v>
      </c>
      <c r="L295" s="70">
        <v>3</v>
      </c>
      <c r="M295" s="71" t="s">
        <v>140</v>
      </c>
      <c r="N295" s="71" t="s">
        <v>18</v>
      </c>
      <c r="O295" s="71" t="s">
        <v>114</v>
      </c>
      <c r="P295" s="71" t="s">
        <v>102</v>
      </c>
      <c r="Q295" s="61" t="s">
        <v>766</v>
      </c>
      <c r="R295" s="63" t="s">
        <v>112</v>
      </c>
      <c r="S295" s="72" t="s">
        <v>809</v>
      </c>
      <c r="T295" s="61" t="s">
        <v>813</v>
      </c>
      <c r="U295" s="73" t="s">
        <v>815</v>
      </c>
      <c r="V295" s="62">
        <v>107327</v>
      </c>
      <c r="W295" s="62" t="s">
        <v>770</v>
      </c>
      <c r="X295" s="62" t="s">
        <v>402</v>
      </c>
      <c r="Y295" s="93">
        <v>1</v>
      </c>
      <c r="Z295" s="94">
        <v>1</v>
      </c>
      <c r="AA295" s="74">
        <v>0</v>
      </c>
      <c r="AB295" s="75">
        <v>0</v>
      </c>
      <c r="AC295" s="75">
        <v>0</v>
      </c>
      <c r="AD295" s="76">
        <v>0</v>
      </c>
      <c r="AE295" s="77">
        <v>75.982650273000004</v>
      </c>
      <c r="AF295" s="75">
        <v>77.333606556999996</v>
      </c>
      <c r="AG295" s="78">
        <v>8550.7679769754068</v>
      </c>
      <c r="AH295" s="79">
        <v>10260.921572417003</v>
      </c>
      <c r="AI295" s="74">
        <v>0</v>
      </c>
      <c r="AJ295" s="75">
        <v>0</v>
      </c>
      <c r="AK295" s="75">
        <v>0</v>
      </c>
      <c r="AL295" s="80">
        <v>0</v>
      </c>
      <c r="AM295" s="74">
        <v>0</v>
      </c>
      <c r="AN295" s="74">
        <v>0</v>
      </c>
      <c r="AO295" s="81" t="s">
        <v>403</v>
      </c>
      <c r="AP295" s="82">
        <v>0</v>
      </c>
      <c r="AQ295" s="75">
        <v>0</v>
      </c>
      <c r="AR295" s="75">
        <v>0</v>
      </c>
      <c r="AS295" s="80">
        <v>0</v>
      </c>
      <c r="AT295" s="74">
        <v>436.08916682365253</v>
      </c>
      <c r="AU295" s="75">
        <v>257.37811611140182</v>
      </c>
      <c r="AV295" s="75">
        <v>846.52602972265822</v>
      </c>
      <c r="AW295" s="75">
        <v>399.32086452700736</v>
      </c>
      <c r="AX295" s="80">
        <v>1939.3141771847199</v>
      </c>
      <c r="AY295" s="81">
        <v>0</v>
      </c>
      <c r="AZ295" s="83" t="s">
        <v>403</v>
      </c>
      <c r="BA295" s="80" t="s">
        <v>403</v>
      </c>
      <c r="BB295" s="84">
        <v>7457.9798295133451</v>
      </c>
      <c r="BC295" s="85">
        <v>8.8101010100737884</v>
      </c>
      <c r="BD295" s="86">
        <v>0.87219999999946152</v>
      </c>
      <c r="BE295" s="84">
        <v>7857.300694040352</v>
      </c>
      <c r="BF295" s="87">
        <v>6.3067947837784324</v>
      </c>
      <c r="BG295" s="88">
        <v>0.91889999999972527</v>
      </c>
      <c r="BH295" s="89">
        <v>0</v>
      </c>
      <c r="BI295" s="90">
        <v>0</v>
      </c>
      <c r="BJ295" s="90">
        <v>0.22680000000078329</v>
      </c>
      <c r="BK295" s="91">
        <v>0.22680000000078329</v>
      </c>
      <c r="BL295" s="92">
        <v>6611.4537997906864</v>
      </c>
      <c r="BM295" s="95">
        <v>0</v>
      </c>
      <c r="BN295" t="s">
        <v>402</v>
      </c>
      <c r="BO295">
        <v>0.85994999999999999</v>
      </c>
    </row>
    <row r="296" spans="1:67">
      <c r="A296" s="61" t="str">
        <f t="shared" si="5"/>
        <v>UK</v>
      </c>
      <c r="B296" s="62" t="s">
        <v>64</v>
      </c>
      <c r="C296" s="62" t="s">
        <v>176</v>
      </c>
      <c r="D296" s="63" t="s">
        <v>97</v>
      </c>
      <c r="E296" s="64">
        <v>43831</v>
      </c>
      <c r="F296" s="64">
        <v>43921</v>
      </c>
      <c r="G296" s="65">
        <v>43995</v>
      </c>
      <c r="H296" s="66" t="s">
        <v>132</v>
      </c>
      <c r="I296" s="67">
        <v>3</v>
      </c>
      <c r="J296" s="68">
        <v>2020</v>
      </c>
      <c r="K296" s="69">
        <v>1</v>
      </c>
      <c r="L296" s="70">
        <v>3</v>
      </c>
      <c r="M296" s="71" t="s">
        <v>140</v>
      </c>
      <c r="N296" s="71" t="s">
        <v>18</v>
      </c>
      <c r="O296" s="71" t="s">
        <v>114</v>
      </c>
      <c r="P296" s="71" t="s">
        <v>102</v>
      </c>
      <c r="Q296" s="61" t="s">
        <v>766</v>
      </c>
      <c r="R296" s="63" t="s">
        <v>112</v>
      </c>
      <c r="S296" s="72" t="s">
        <v>809</v>
      </c>
      <c r="T296" s="61" t="s">
        <v>813</v>
      </c>
      <c r="U296" s="73" t="s">
        <v>816</v>
      </c>
      <c r="V296" s="62">
        <v>107771</v>
      </c>
      <c r="W296" s="62" t="s">
        <v>770</v>
      </c>
      <c r="X296" s="62" t="s">
        <v>402</v>
      </c>
      <c r="Y296" s="93">
        <v>1</v>
      </c>
      <c r="Z296" s="94">
        <v>1</v>
      </c>
      <c r="AA296" s="74">
        <v>293</v>
      </c>
      <c r="AB296" s="75">
        <v>293</v>
      </c>
      <c r="AC296" s="75">
        <v>36526.939517413804</v>
      </c>
      <c r="AD296" s="76">
        <v>43832.327421361711</v>
      </c>
      <c r="AE296" s="77">
        <v>167.78129311999999</v>
      </c>
      <c r="AF296" s="75">
        <v>167.78129311999999</v>
      </c>
      <c r="AG296" s="78">
        <v>21464.755241583811</v>
      </c>
      <c r="AH296" s="79">
        <v>25757.706289900576</v>
      </c>
      <c r="AI296" s="74">
        <v>0</v>
      </c>
      <c r="AJ296" s="75">
        <v>0</v>
      </c>
      <c r="AK296" s="75">
        <v>0</v>
      </c>
      <c r="AL296" s="80">
        <v>0</v>
      </c>
      <c r="AM296" s="74">
        <v>9</v>
      </c>
      <c r="AN296" s="74">
        <v>0</v>
      </c>
      <c r="AO296" s="81">
        <v>0</v>
      </c>
      <c r="AP296" s="82">
        <v>16</v>
      </c>
      <c r="AQ296" s="75">
        <v>4977.4172982150121</v>
      </c>
      <c r="AR296" s="75">
        <v>4977.4172982150121</v>
      </c>
      <c r="AS296" s="80">
        <v>9954.8345964300242</v>
      </c>
      <c r="AT296" s="74">
        <v>1094.7025173440315</v>
      </c>
      <c r="AU296" s="75">
        <v>646.08913278678995</v>
      </c>
      <c r="AV296" s="75">
        <v>2125.0107689981974</v>
      </c>
      <c r="AW296" s="75">
        <v>1002.4040697947555</v>
      </c>
      <c r="AX296" s="80">
        <v>4868.2064889237745</v>
      </c>
      <c r="AY296" s="81">
        <v>9.5362240345570184E-2</v>
      </c>
      <c r="AZ296" s="83">
        <v>622.17716227687652</v>
      </c>
      <c r="BA296" s="80">
        <v>59.332208086572322</v>
      </c>
      <c r="BB296" s="84">
        <v>8766.7249252282109</v>
      </c>
      <c r="BC296" s="85">
        <v>4.1254967048290041</v>
      </c>
      <c r="BD296" s="86">
        <v>0.40842417379371637</v>
      </c>
      <c r="BE296" s="84">
        <v>9769.1289950229657</v>
      </c>
      <c r="BF296" s="87">
        <v>3.123707438439292</v>
      </c>
      <c r="BG296" s="88">
        <v>0.45512417379431225</v>
      </c>
      <c r="BH296" s="89">
        <v>0.46377582620389995</v>
      </c>
      <c r="BI296" s="90">
        <v>0</v>
      </c>
      <c r="BJ296" s="90">
        <v>0.22680000000617601</v>
      </c>
      <c r="BK296" s="91">
        <v>0.69057582621007596</v>
      </c>
      <c r="BL296" s="92">
        <v>6641.714156230013</v>
      </c>
      <c r="BM296" s="95">
        <v>0</v>
      </c>
      <c r="BN296" t="s">
        <v>402</v>
      </c>
      <c r="BO296">
        <v>0.85994999999999999</v>
      </c>
    </row>
    <row r="297" spans="1:67">
      <c r="A297" s="61" t="str">
        <f t="shared" si="5"/>
        <v>UK</v>
      </c>
      <c r="B297" s="62" t="s">
        <v>64</v>
      </c>
      <c r="C297" s="62" t="s">
        <v>176</v>
      </c>
      <c r="D297" s="63" t="s">
        <v>97</v>
      </c>
      <c r="E297" s="64">
        <v>43831</v>
      </c>
      <c r="F297" s="64">
        <v>43921</v>
      </c>
      <c r="G297" s="65">
        <v>43995</v>
      </c>
      <c r="H297" s="66" t="s">
        <v>132</v>
      </c>
      <c r="I297" s="67">
        <v>3</v>
      </c>
      <c r="J297" s="68">
        <v>2020</v>
      </c>
      <c r="K297" s="69">
        <v>1</v>
      </c>
      <c r="L297" s="70">
        <v>3</v>
      </c>
      <c r="M297" s="71" t="s">
        <v>140</v>
      </c>
      <c r="N297" s="71" t="s">
        <v>18</v>
      </c>
      <c r="O297" s="71" t="s">
        <v>114</v>
      </c>
      <c r="P297" s="71" t="s">
        <v>102</v>
      </c>
      <c r="Q297" s="61" t="s">
        <v>766</v>
      </c>
      <c r="R297" s="63" t="s">
        <v>106</v>
      </c>
      <c r="S297" s="72" t="s">
        <v>809</v>
      </c>
      <c r="T297" s="61" t="s">
        <v>813</v>
      </c>
      <c r="U297" s="73" t="s">
        <v>817</v>
      </c>
      <c r="V297" s="62">
        <v>107331</v>
      </c>
      <c r="W297" s="62" t="s">
        <v>770</v>
      </c>
      <c r="X297" s="62" t="s">
        <v>402</v>
      </c>
      <c r="Y297" s="93">
        <v>1</v>
      </c>
      <c r="Z297" s="94">
        <v>1</v>
      </c>
      <c r="AA297" s="74">
        <v>0</v>
      </c>
      <c r="AB297" s="75">
        <v>0</v>
      </c>
      <c r="AC297" s="75">
        <v>0</v>
      </c>
      <c r="AD297" s="76">
        <v>0</v>
      </c>
      <c r="AE297" s="77">
        <v>0</v>
      </c>
      <c r="AF297" s="75">
        <v>0</v>
      </c>
      <c r="AG297" s="78">
        <v>0</v>
      </c>
      <c r="AH297" s="79">
        <v>0</v>
      </c>
      <c r="AI297" s="74">
        <v>0</v>
      </c>
      <c r="AJ297" s="75">
        <v>0</v>
      </c>
      <c r="AK297" s="75">
        <v>0</v>
      </c>
      <c r="AL297" s="80">
        <v>0</v>
      </c>
      <c r="AM297" s="74">
        <v>0</v>
      </c>
      <c r="AN297" s="74">
        <v>0</v>
      </c>
      <c r="AO297" s="81" t="s">
        <v>403</v>
      </c>
      <c r="AP297" s="82">
        <v>0</v>
      </c>
      <c r="AQ297" s="75">
        <v>0</v>
      </c>
      <c r="AR297" s="75">
        <v>0</v>
      </c>
      <c r="AS297" s="80">
        <v>0</v>
      </c>
      <c r="AT297" s="74">
        <v>0</v>
      </c>
      <c r="AU297" s="75">
        <v>0</v>
      </c>
      <c r="AV297" s="75">
        <v>0</v>
      </c>
      <c r="AW297" s="75">
        <v>0</v>
      </c>
      <c r="AX297" s="80">
        <v>0</v>
      </c>
      <c r="AY297" s="81" t="s">
        <v>403</v>
      </c>
      <c r="AZ297" s="83" t="s">
        <v>403</v>
      </c>
      <c r="BA297" s="80" t="s">
        <v>403</v>
      </c>
      <c r="BB297" s="84">
        <v>0</v>
      </c>
      <c r="BC297" s="85" t="s">
        <v>403</v>
      </c>
      <c r="BD297" s="86" t="s">
        <v>403</v>
      </c>
      <c r="BE297" s="84">
        <v>0</v>
      </c>
      <c r="BF297" s="87" t="s">
        <v>403</v>
      </c>
      <c r="BG297" s="88" t="s">
        <v>403</v>
      </c>
      <c r="BH297" s="89" t="s">
        <v>403</v>
      </c>
      <c r="BI297" s="90" t="s">
        <v>403</v>
      </c>
      <c r="BJ297" s="90" t="s">
        <v>403</v>
      </c>
      <c r="BK297" s="91">
        <v>0</v>
      </c>
      <c r="BL297" s="92">
        <v>0</v>
      </c>
      <c r="BM297" s="95">
        <v>0</v>
      </c>
      <c r="BN297" t="s">
        <v>402</v>
      </c>
      <c r="BO297">
        <v>0.85994999999999999</v>
      </c>
    </row>
    <row r="298" spans="1:67">
      <c r="A298" s="61" t="str">
        <f t="shared" si="5"/>
        <v>UK</v>
      </c>
      <c r="B298" s="62" t="s">
        <v>64</v>
      </c>
      <c r="C298" s="62" t="s">
        <v>176</v>
      </c>
      <c r="D298" s="63" t="s">
        <v>97</v>
      </c>
      <c r="E298" s="64">
        <v>43831</v>
      </c>
      <c r="F298" s="64">
        <v>43921</v>
      </c>
      <c r="G298" s="65">
        <v>43995</v>
      </c>
      <c r="H298" s="66" t="s">
        <v>132</v>
      </c>
      <c r="I298" s="67">
        <v>3</v>
      </c>
      <c r="J298" s="68">
        <v>2020</v>
      </c>
      <c r="K298" s="69">
        <v>1</v>
      </c>
      <c r="L298" s="70">
        <v>3</v>
      </c>
      <c r="M298" s="71" t="s">
        <v>140</v>
      </c>
      <c r="N298" s="71" t="s">
        <v>18</v>
      </c>
      <c r="O298" s="71" t="s">
        <v>114</v>
      </c>
      <c r="P298" s="71" t="s">
        <v>102</v>
      </c>
      <c r="Q298" s="61" t="s">
        <v>766</v>
      </c>
      <c r="R298" s="63" t="s">
        <v>106</v>
      </c>
      <c r="S298" s="72" t="s">
        <v>809</v>
      </c>
      <c r="T298" s="61" t="s">
        <v>813</v>
      </c>
      <c r="U298" s="73" t="s">
        <v>818</v>
      </c>
      <c r="V298" s="62">
        <v>107773</v>
      </c>
      <c r="W298" s="62" t="s">
        <v>770</v>
      </c>
      <c r="X298" s="62" t="s">
        <v>402</v>
      </c>
      <c r="Y298" s="93">
        <v>1</v>
      </c>
      <c r="Z298" s="94">
        <v>1</v>
      </c>
      <c r="AA298" s="74">
        <v>17</v>
      </c>
      <c r="AB298" s="75">
        <v>17</v>
      </c>
      <c r="AC298" s="75">
        <v>1888.7047814407815</v>
      </c>
      <c r="AD298" s="76">
        <v>2266.4457376591663</v>
      </c>
      <c r="AE298" s="77">
        <v>19.177647714999999</v>
      </c>
      <c r="AF298" s="75">
        <v>19.177647714999999</v>
      </c>
      <c r="AG298" s="78">
        <v>2391.1006299203441</v>
      </c>
      <c r="AH298" s="79">
        <v>2869.3207558578988</v>
      </c>
      <c r="AI298" s="74">
        <v>0</v>
      </c>
      <c r="AJ298" s="75">
        <v>0</v>
      </c>
      <c r="AK298" s="75">
        <v>0</v>
      </c>
      <c r="AL298" s="80">
        <v>0</v>
      </c>
      <c r="AM298" s="74">
        <v>0</v>
      </c>
      <c r="AN298" s="74">
        <v>0</v>
      </c>
      <c r="AO298" s="81" t="s">
        <v>403</v>
      </c>
      <c r="AP298" s="82">
        <v>4</v>
      </c>
      <c r="AQ298" s="75">
        <v>1630.5018017326588</v>
      </c>
      <c r="AR298" s="75">
        <v>1630.5018017326588</v>
      </c>
      <c r="AS298" s="80">
        <v>3261.0036034653176</v>
      </c>
      <c r="AT298" s="74">
        <v>121.94613212396069</v>
      </c>
      <c r="AU298" s="75">
        <v>71.972128959823252</v>
      </c>
      <c r="AV298" s="75">
        <v>236.71896235827666</v>
      </c>
      <c r="AW298" s="75">
        <v>111.66439941624513</v>
      </c>
      <c r="AX298" s="80">
        <v>542.30162285830568</v>
      </c>
      <c r="AY298" s="81">
        <v>0.20857615383514203</v>
      </c>
      <c r="AZ298" s="83">
        <v>815.2509008663294</v>
      </c>
      <c r="BA298" s="80">
        <v>170.04189731333364</v>
      </c>
      <c r="BB298" s="84">
        <v>-1175.4856340450024</v>
      </c>
      <c r="BC298" s="85">
        <v>-4.9657434382712964</v>
      </c>
      <c r="BD298" s="86">
        <v>-0.49160860038088899</v>
      </c>
      <c r="BE298" s="84">
        <v>-1063.8212346287573</v>
      </c>
      <c r="BF298" s="87">
        <v>-3.0535936883153338</v>
      </c>
      <c r="BG298" s="88">
        <v>-0.44490860038132185</v>
      </c>
      <c r="BH298" s="89">
        <v>1.3638086003824745</v>
      </c>
      <c r="BI298" s="90">
        <v>0</v>
      </c>
      <c r="BJ298" s="90">
        <v>0.22679999999680969</v>
      </c>
      <c r="BK298" s="91">
        <v>1.5906086003792843</v>
      </c>
      <c r="BL298" s="92">
        <v>-1412.2045964032791</v>
      </c>
      <c r="BM298" s="95">
        <v>0</v>
      </c>
      <c r="BN298" t="s">
        <v>402</v>
      </c>
      <c r="BO298">
        <v>0.85994999999999999</v>
      </c>
    </row>
    <row r="299" spans="1:67">
      <c r="A299" s="61" t="str">
        <f t="shared" si="5"/>
        <v>UK</v>
      </c>
      <c r="B299" s="62" t="s">
        <v>64</v>
      </c>
      <c r="C299" s="62" t="s">
        <v>176</v>
      </c>
      <c r="D299" s="63" t="s">
        <v>97</v>
      </c>
      <c r="E299" s="64">
        <v>43831</v>
      </c>
      <c r="F299" s="64">
        <v>43921</v>
      </c>
      <c r="G299" s="65">
        <v>43995</v>
      </c>
      <c r="H299" s="66" t="s">
        <v>132</v>
      </c>
      <c r="I299" s="67">
        <v>3</v>
      </c>
      <c r="J299" s="68">
        <v>2020</v>
      </c>
      <c r="K299" s="69">
        <v>1</v>
      </c>
      <c r="L299" s="70">
        <v>3</v>
      </c>
      <c r="M299" s="71" t="s">
        <v>140</v>
      </c>
      <c r="N299" s="71" t="s">
        <v>18</v>
      </c>
      <c r="O299" s="71" t="s">
        <v>114</v>
      </c>
      <c r="P299" s="71" t="s">
        <v>102</v>
      </c>
      <c r="Q299" s="61" t="s">
        <v>766</v>
      </c>
      <c r="R299" s="63" t="s">
        <v>112</v>
      </c>
      <c r="S299" s="72" t="s">
        <v>809</v>
      </c>
      <c r="T299" s="61" t="s">
        <v>813</v>
      </c>
      <c r="U299" s="73" t="s">
        <v>819</v>
      </c>
      <c r="V299" s="62">
        <v>107828</v>
      </c>
      <c r="W299" s="62" t="s">
        <v>770</v>
      </c>
      <c r="X299" s="62" t="s">
        <v>402</v>
      </c>
      <c r="Y299" s="93">
        <v>1</v>
      </c>
      <c r="Z299" s="94">
        <v>1</v>
      </c>
      <c r="AA299" s="74">
        <v>1</v>
      </c>
      <c r="AB299" s="75">
        <v>1</v>
      </c>
      <c r="AC299" s="75">
        <v>58.220440947729514</v>
      </c>
      <c r="AD299" s="76">
        <v>69.864529136577701</v>
      </c>
      <c r="AE299" s="77">
        <v>0.55969945359999995</v>
      </c>
      <c r="AF299" s="75">
        <v>0.55969945359999995</v>
      </c>
      <c r="AG299" s="78">
        <v>32.585948984243267</v>
      </c>
      <c r="AH299" s="79">
        <v>39.103138780161636</v>
      </c>
      <c r="AI299" s="74">
        <v>0</v>
      </c>
      <c r="AJ299" s="75">
        <v>0</v>
      </c>
      <c r="AK299" s="75">
        <v>0</v>
      </c>
      <c r="AL299" s="80">
        <v>0</v>
      </c>
      <c r="AM299" s="74">
        <v>0</v>
      </c>
      <c r="AN299" s="74">
        <v>0</v>
      </c>
      <c r="AO299" s="81" t="s">
        <v>403</v>
      </c>
      <c r="AP299" s="82">
        <v>0</v>
      </c>
      <c r="AQ299" s="75">
        <v>0</v>
      </c>
      <c r="AR299" s="75">
        <v>0</v>
      </c>
      <c r="AS299" s="80">
        <v>0</v>
      </c>
      <c r="AT299" s="74">
        <v>1.6618833982208268</v>
      </c>
      <c r="AU299" s="75">
        <v>0.98083706436420715</v>
      </c>
      <c r="AV299" s="75">
        <v>3.2260089493575208</v>
      </c>
      <c r="AW299" s="75">
        <v>1.5217638175475319</v>
      </c>
      <c r="AX299" s="80">
        <v>7.3904932294900867</v>
      </c>
      <c r="AY299" s="81">
        <v>0</v>
      </c>
      <c r="AZ299" s="83" t="s">
        <v>403</v>
      </c>
      <c r="BA299" s="80" t="s">
        <v>403</v>
      </c>
      <c r="BB299" s="84">
        <v>28.421464704110701</v>
      </c>
      <c r="BC299" s="85">
        <v>8.8101010103431392</v>
      </c>
      <c r="BD299" s="86">
        <v>0.87220000000164866</v>
      </c>
      <c r="BE299" s="84">
        <v>29.943228521658234</v>
      </c>
      <c r="BF299" s="87">
        <v>6.3067947839419096</v>
      </c>
      <c r="BG299" s="88">
        <v>0.91890000000113847</v>
      </c>
      <c r="BH299" s="89">
        <v>0</v>
      </c>
      <c r="BI299" s="90">
        <v>0</v>
      </c>
      <c r="BJ299" s="90">
        <v>0.22679999999581765</v>
      </c>
      <c r="BK299" s="91">
        <v>0.22679999999581765</v>
      </c>
      <c r="BL299" s="92">
        <v>25.19545575475318</v>
      </c>
      <c r="BM299" s="95">
        <v>0</v>
      </c>
      <c r="BN299" t="s">
        <v>402</v>
      </c>
      <c r="BO299">
        <v>0.85994999999999999</v>
      </c>
    </row>
    <row r="300" spans="1:67">
      <c r="A300" s="61" t="str">
        <f t="shared" si="5"/>
        <v>UK</v>
      </c>
      <c r="B300" s="62" t="s">
        <v>64</v>
      </c>
      <c r="C300" s="62" t="s">
        <v>176</v>
      </c>
      <c r="D300" s="63" t="s">
        <v>97</v>
      </c>
      <c r="E300" s="64">
        <v>43831</v>
      </c>
      <c r="F300" s="64">
        <v>43921</v>
      </c>
      <c r="G300" s="65">
        <v>43995</v>
      </c>
      <c r="H300" s="66" t="s">
        <v>132</v>
      </c>
      <c r="I300" s="67">
        <v>3</v>
      </c>
      <c r="J300" s="68">
        <v>2020</v>
      </c>
      <c r="K300" s="69">
        <v>1</v>
      </c>
      <c r="L300" s="70">
        <v>3</v>
      </c>
      <c r="M300" s="71" t="s">
        <v>140</v>
      </c>
      <c r="N300" s="71" t="s">
        <v>18</v>
      </c>
      <c r="O300" s="71" t="s">
        <v>114</v>
      </c>
      <c r="P300" s="71" t="s">
        <v>102</v>
      </c>
      <c r="Q300" s="61" t="s">
        <v>766</v>
      </c>
      <c r="R300" s="63" t="s">
        <v>106</v>
      </c>
      <c r="S300" s="72" t="s">
        <v>809</v>
      </c>
      <c r="T300" s="61" t="s">
        <v>813</v>
      </c>
      <c r="U300" s="73" t="s">
        <v>820</v>
      </c>
      <c r="V300" s="62">
        <v>107820</v>
      </c>
      <c r="W300" s="62" t="s">
        <v>770</v>
      </c>
      <c r="X300" s="62" t="s">
        <v>402</v>
      </c>
      <c r="Y300" s="93">
        <v>1</v>
      </c>
      <c r="Z300" s="94">
        <v>1</v>
      </c>
      <c r="AA300" s="74">
        <v>2</v>
      </c>
      <c r="AB300" s="75">
        <v>2</v>
      </c>
      <c r="AC300" s="75">
        <v>5.8142915285772432</v>
      </c>
      <c r="AD300" s="76">
        <v>6.9771498342926916</v>
      </c>
      <c r="AE300" s="77">
        <v>2</v>
      </c>
      <c r="AF300" s="75">
        <v>2</v>
      </c>
      <c r="AG300" s="78">
        <v>5.8142915285772432</v>
      </c>
      <c r="AH300" s="79">
        <v>6.9771498342926916</v>
      </c>
      <c r="AI300" s="74">
        <v>0</v>
      </c>
      <c r="AJ300" s="75">
        <v>0</v>
      </c>
      <c r="AK300" s="75">
        <v>0</v>
      </c>
      <c r="AL300" s="80">
        <v>0</v>
      </c>
      <c r="AM300" s="74">
        <v>0</v>
      </c>
      <c r="AN300" s="74">
        <v>0</v>
      </c>
      <c r="AO300" s="81" t="s">
        <v>403</v>
      </c>
      <c r="AP300" s="82">
        <v>0</v>
      </c>
      <c r="AQ300" s="75">
        <v>0</v>
      </c>
      <c r="AR300" s="75">
        <v>0</v>
      </c>
      <c r="AS300" s="80">
        <v>0</v>
      </c>
      <c r="AT300" s="74">
        <v>0.29652886795743938</v>
      </c>
      <c r="AU300" s="75">
        <v>0.17501017501017502</v>
      </c>
      <c r="AV300" s="75">
        <v>0.57561486132914708</v>
      </c>
      <c r="AW300" s="75">
        <v>0.27152741438455724</v>
      </c>
      <c r="AX300" s="80">
        <v>1.3186813186813187</v>
      </c>
      <c r="AY300" s="81">
        <v>0</v>
      </c>
      <c r="AZ300" s="83" t="s">
        <v>403</v>
      </c>
      <c r="BA300" s="80" t="s">
        <v>403</v>
      </c>
      <c r="BB300" s="84">
        <v>5.0712250712250713</v>
      </c>
      <c r="BC300" s="85">
        <v>8.8101010101010093</v>
      </c>
      <c r="BD300" s="86">
        <v>0.87219999999999998</v>
      </c>
      <c r="BE300" s="84">
        <v>5.3427524856096289</v>
      </c>
      <c r="BF300" s="87">
        <v>6.3067947838023333</v>
      </c>
      <c r="BG300" s="88">
        <v>0.91890000000000005</v>
      </c>
      <c r="BH300" s="89">
        <v>0</v>
      </c>
      <c r="BI300" s="90">
        <v>0</v>
      </c>
      <c r="BJ300" s="90">
        <v>0.22679999999999997</v>
      </c>
      <c r="BK300" s="91">
        <v>0.22679999999999997</v>
      </c>
      <c r="BL300" s="92">
        <v>4.4956102098959247</v>
      </c>
      <c r="BM300" s="95">
        <v>0</v>
      </c>
      <c r="BN300" t="s">
        <v>402</v>
      </c>
      <c r="BO300">
        <v>0.85994999999999999</v>
      </c>
    </row>
    <row r="301" spans="1:67">
      <c r="A301" s="61" t="str">
        <f t="shared" si="5"/>
        <v>UK</v>
      </c>
      <c r="B301" s="62" t="s">
        <v>64</v>
      </c>
      <c r="C301" s="62" t="s">
        <v>176</v>
      </c>
      <c r="D301" s="63" t="s">
        <v>97</v>
      </c>
      <c r="E301" s="64">
        <v>43831</v>
      </c>
      <c r="F301" s="64">
        <v>43921</v>
      </c>
      <c r="G301" s="65">
        <v>43995</v>
      </c>
      <c r="H301" s="66" t="s">
        <v>132</v>
      </c>
      <c r="I301" s="67">
        <v>3</v>
      </c>
      <c r="J301" s="68">
        <v>2020</v>
      </c>
      <c r="K301" s="69">
        <v>1</v>
      </c>
      <c r="L301" s="70">
        <v>3</v>
      </c>
      <c r="M301" s="71" t="s">
        <v>140</v>
      </c>
      <c r="N301" s="71" t="s">
        <v>18</v>
      </c>
      <c r="O301" s="71" t="s">
        <v>114</v>
      </c>
      <c r="P301" s="71" t="s">
        <v>102</v>
      </c>
      <c r="Q301" s="61" t="s">
        <v>766</v>
      </c>
      <c r="R301" s="63" t="s">
        <v>106</v>
      </c>
      <c r="S301" s="72" t="s">
        <v>809</v>
      </c>
      <c r="T301" s="61" t="s">
        <v>813</v>
      </c>
      <c r="U301" s="73" t="s">
        <v>821</v>
      </c>
      <c r="V301" s="62">
        <v>107821</v>
      </c>
      <c r="W301" s="62" t="s">
        <v>770</v>
      </c>
      <c r="X301" s="62" t="s">
        <v>402</v>
      </c>
      <c r="Y301" s="93">
        <v>1</v>
      </c>
      <c r="Z301" s="94">
        <v>1</v>
      </c>
      <c r="AA301" s="74">
        <v>6</v>
      </c>
      <c r="AB301" s="75">
        <v>8</v>
      </c>
      <c r="AC301" s="75">
        <v>263.76533940345365</v>
      </c>
      <c r="AD301" s="76">
        <v>316.51840729112155</v>
      </c>
      <c r="AE301" s="77">
        <v>4</v>
      </c>
      <c r="AF301" s="75">
        <v>5</v>
      </c>
      <c r="AG301" s="78">
        <v>146.02108783068783</v>
      </c>
      <c r="AH301" s="79">
        <v>175.22530538984827</v>
      </c>
      <c r="AI301" s="74">
        <v>0</v>
      </c>
      <c r="AJ301" s="75">
        <v>0</v>
      </c>
      <c r="AK301" s="75">
        <v>0</v>
      </c>
      <c r="AL301" s="80">
        <v>0</v>
      </c>
      <c r="AM301" s="74">
        <v>0</v>
      </c>
      <c r="AN301" s="74">
        <v>0</v>
      </c>
      <c r="AO301" s="81" t="s">
        <v>403</v>
      </c>
      <c r="AP301" s="82">
        <v>0</v>
      </c>
      <c r="AQ301" s="75">
        <v>0</v>
      </c>
      <c r="AR301" s="75">
        <v>0</v>
      </c>
      <c r="AS301" s="80">
        <v>0</v>
      </c>
      <c r="AT301" s="74">
        <v>7.4470754792720504</v>
      </c>
      <c r="AU301" s="75">
        <v>4.3952347436478867</v>
      </c>
      <c r="AV301" s="75">
        <v>14.45608769463341</v>
      </c>
      <c r="AW301" s="75">
        <v>6.8191848015582304</v>
      </c>
      <c r="AX301" s="80">
        <v>33.117582719111581</v>
      </c>
      <c r="AY301" s="81">
        <v>0</v>
      </c>
      <c r="AZ301" s="83" t="s">
        <v>403</v>
      </c>
      <c r="BA301" s="80" t="s">
        <v>403</v>
      </c>
      <c r="BB301" s="84">
        <v>127.35959280620966</v>
      </c>
      <c r="BC301" s="85">
        <v>8.8101010104891557</v>
      </c>
      <c r="BD301" s="86">
        <v>0.87220000000194309</v>
      </c>
      <c r="BE301" s="84">
        <v>134.1787776077679</v>
      </c>
      <c r="BF301" s="87">
        <v>6.3067947840285683</v>
      </c>
      <c r="BG301" s="88">
        <v>0.91890000000101935</v>
      </c>
      <c r="BH301" s="89">
        <v>0</v>
      </c>
      <c r="BI301" s="90">
        <v>0</v>
      </c>
      <c r="BJ301" s="90">
        <v>0.22679999999391581</v>
      </c>
      <c r="BK301" s="91">
        <v>0.22679999999391581</v>
      </c>
      <c r="BL301" s="92">
        <v>112.90350511157625</v>
      </c>
      <c r="BM301" s="95">
        <v>0</v>
      </c>
      <c r="BN301" t="s">
        <v>402</v>
      </c>
      <c r="BO301">
        <v>0.85994999999999999</v>
      </c>
    </row>
    <row r="302" spans="1:67">
      <c r="A302" s="61" t="str">
        <f t="shared" si="5"/>
        <v>UK</v>
      </c>
      <c r="B302" s="62" t="s">
        <v>64</v>
      </c>
      <c r="C302" s="62" t="s">
        <v>176</v>
      </c>
      <c r="D302" s="63" t="s">
        <v>97</v>
      </c>
      <c r="E302" s="64">
        <v>43831</v>
      </c>
      <c r="F302" s="64">
        <v>43921</v>
      </c>
      <c r="G302" s="65">
        <v>43995</v>
      </c>
      <c r="H302" s="66" t="s">
        <v>132</v>
      </c>
      <c r="I302" s="67">
        <v>3</v>
      </c>
      <c r="J302" s="68">
        <v>2020</v>
      </c>
      <c r="K302" s="69">
        <v>1</v>
      </c>
      <c r="L302" s="70">
        <v>3</v>
      </c>
      <c r="M302" s="71" t="s">
        <v>140</v>
      </c>
      <c r="N302" s="71" t="s">
        <v>18</v>
      </c>
      <c r="O302" s="71" t="s">
        <v>114</v>
      </c>
      <c r="P302" s="71" t="s">
        <v>102</v>
      </c>
      <c r="Q302" s="61" t="s">
        <v>766</v>
      </c>
      <c r="R302" s="63" t="s">
        <v>106</v>
      </c>
      <c r="S302" s="72" t="s">
        <v>809</v>
      </c>
      <c r="T302" s="61" t="s">
        <v>813</v>
      </c>
      <c r="U302" s="73" t="s">
        <v>822</v>
      </c>
      <c r="V302" s="62">
        <v>107822</v>
      </c>
      <c r="W302" s="62" t="s">
        <v>770</v>
      </c>
      <c r="X302" s="62" t="s">
        <v>402</v>
      </c>
      <c r="Y302" s="93">
        <v>1</v>
      </c>
      <c r="Z302" s="94">
        <v>1</v>
      </c>
      <c r="AA302" s="74">
        <v>1</v>
      </c>
      <c r="AB302" s="75">
        <v>1</v>
      </c>
      <c r="AC302" s="75">
        <v>9.9812006422466411</v>
      </c>
      <c r="AD302" s="76">
        <v>11.977440770975058</v>
      </c>
      <c r="AE302" s="77">
        <v>1.4888888889</v>
      </c>
      <c r="AF302" s="75">
        <v>1.4888888889</v>
      </c>
      <c r="AG302" s="78">
        <v>76.671987876039296</v>
      </c>
      <c r="AH302" s="79">
        <v>92.006385450316884</v>
      </c>
      <c r="AI302" s="74">
        <v>0</v>
      </c>
      <c r="AJ302" s="75">
        <v>0</v>
      </c>
      <c r="AK302" s="75">
        <v>0</v>
      </c>
      <c r="AL302" s="80">
        <v>0</v>
      </c>
      <c r="AM302" s="74">
        <v>0</v>
      </c>
      <c r="AN302" s="74">
        <v>0</v>
      </c>
      <c r="AO302" s="81" t="s">
        <v>403</v>
      </c>
      <c r="AP302" s="82">
        <v>0</v>
      </c>
      <c r="AQ302" s="75">
        <v>0</v>
      </c>
      <c r="AR302" s="75">
        <v>0</v>
      </c>
      <c r="AS302" s="80">
        <v>0</v>
      </c>
      <c r="AT302" s="74">
        <v>3.9102713817082386</v>
      </c>
      <c r="AU302" s="75">
        <v>2.3078268350485494</v>
      </c>
      <c r="AV302" s="75">
        <v>7.5905267996976571</v>
      </c>
      <c r="AW302" s="75">
        <v>3.5805818338275484</v>
      </c>
      <c r="AX302" s="80">
        <v>17.389206850281994</v>
      </c>
      <c r="AY302" s="81">
        <v>0</v>
      </c>
      <c r="AZ302" s="83" t="s">
        <v>403</v>
      </c>
      <c r="BA302" s="80" t="s">
        <v>403</v>
      </c>
      <c r="BB302" s="84">
        <v>66.873307825454958</v>
      </c>
      <c r="BC302" s="85">
        <v>8.8101010101326072</v>
      </c>
      <c r="BD302" s="86">
        <v>0.87219999999965414</v>
      </c>
      <c r="BE302" s="84">
        <v>70.45388965928251</v>
      </c>
      <c r="BF302" s="87">
        <v>6.3067947838091838</v>
      </c>
      <c r="BG302" s="88">
        <v>0.9188999999998696</v>
      </c>
      <c r="BH302" s="89">
        <v>0</v>
      </c>
      <c r="BI302" s="90">
        <v>0</v>
      </c>
      <c r="BJ302" s="90">
        <v>0.22679999999995151</v>
      </c>
      <c r="BK302" s="91">
        <v>0.22679999999995151</v>
      </c>
      <c r="BL302" s="92">
        <v>59.282781025757302</v>
      </c>
      <c r="BM302" s="95">
        <v>0</v>
      </c>
      <c r="BN302" t="s">
        <v>402</v>
      </c>
      <c r="BO302">
        <v>0.85994999999999999</v>
      </c>
    </row>
    <row r="303" spans="1:67">
      <c r="A303" s="61" t="str">
        <f t="shared" si="5"/>
        <v>UK</v>
      </c>
      <c r="B303" s="62" t="s">
        <v>64</v>
      </c>
      <c r="C303" s="62" t="s">
        <v>176</v>
      </c>
      <c r="D303" s="63" t="s">
        <v>97</v>
      </c>
      <c r="E303" s="64">
        <v>43831</v>
      </c>
      <c r="F303" s="64">
        <v>43921</v>
      </c>
      <c r="G303" s="65">
        <v>43995</v>
      </c>
      <c r="H303" s="66" t="s">
        <v>132</v>
      </c>
      <c r="I303" s="67">
        <v>3</v>
      </c>
      <c r="J303" s="68">
        <v>2020</v>
      </c>
      <c r="K303" s="69">
        <v>1</v>
      </c>
      <c r="L303" s="70">
        <v>3</v>
      </c>
      <c r="M303" s="71" t="s">
        <v>140</v>
      </c>
      <c r="N303" s="71" t="s">
        <v>18</v>
      </c>
      <c r="O303" s="71" t="s">
        <v>114</v>
      </c>
      <c r="P303" s="71" t="s">
        <v>102</v>
      </c>
      <c r="Q303" s="61" t="s">
        <v>766</v>
      </c>
      <c r="R303" s="63" t="s">
        <v>106</v>
      </c>
      <c r="S303" s="72" t="s">
        <v>809</v>
      </c>
      <c r="T303" s="61" t="s">
        <v>813</v>
      </c>
      <c r="U303" s="73" t="s">
        <v>823</v>
      </c>
      <c r="V303" s="62">
        <v>107823</v>
      </c>
      <c r="W303" s="62" t="s">
        <v>770</v>
      </c>
      <c r="X303" s="62" t="s">
        <v>402</v>
      </c>
      <c r="Y303" s="93">
        <v>1</v>
      </c>
      <c r="Z303" s="94">
        <v>1</v>
      </c>
      <c r="AA303" s="74">
        <v>1</v>
      </c>
      <c r="AB303" s="75">
        <v>1</v>
      </c>
      <c r="AC303" s="75">
        <v>239.19026477120764</v>
      </c>
      <c r="AD303" s="76">
        <v>287.02831772777483</v>
      </c>
      <c r="AE303" s="77">
        <v>1</v>
      </c>
      <c r="AF303" s="75">
        <v>1</v>
      </c>
      <c r="AG303" s="78">
        <v>239.19026477120764</v>
      </c>
      <c r="AH303" s="79">
        <v>287.02831772777483</v>
      </c>
      <c r="AI303" s="74">
        <v>0</v>
      </c>
      <c r="AJ303" s="75">
        <v>0</v>
      </c>
      <c r="AK303" s="75">
        <v>0</v>
      </c>
      <c r="AL303" s="80">
        <v>0</v>
      </c>
      <c r="AM303" s="74">
        <v>0</v>
      </c>
      <c r="AN303" s="74">
        <v>0</v>
      </c>
      <c r="AO303" s="81" t="s">
        <v>403</v>
      </c>
      <c r="AP303" s="82">
        <v>0</v>
      </c>
      <c r="AQ303" s="75">
        <v>0</v>
      </c>
      <c r="AR303" s="75">
        <v>0</v>
      </c>
      <c r="AS303" s="80">
        <v>0</v>
      </c>
      <c r="AT303" s="74">
        <v>12.198703503692075</v>
      </c>
      <c r="AU303" s="75">
        <v>7.1996269697075412</v>
      </c>
      <c r="AV303" s="75">
        <v>23.679836212570496</v>
      </c>
      <c r="AW303" s="75">
        <v>11.17018536496308</v>
      </c>
      <c r="AX303" s="80">
        <v>54.2483520509332</v>
      </c>
      <c r="AY303" s="81">
        <v>0</v>
      </c>
      <c r="AZ303" s="83" t="s">
        <v>403</v>
      </c>
      <c r="BA303" s="80" t="s">
        <v>403</v>
      </c>
      <c r="BB303" s="84">
        <v>208.62174893284492</v>
      </c>
      <c r="BC303" s="85">
        <v>8.810101009993371</v>
      </c>
      <c r="BD303" s="86">
        <v>0.87219999999748155</v>
      </c>
      <c r="BE303" s="84">
        <v>219.79193429780801</v>
      </c>
      <c r="BF303" s="87">
        <v>6.3067947837225775</v>
      </c>
      <c r="BG303" s="88">
        <v>0.91889999999809902</v>
      </c>
      <c r="BH303" s="89">
        <v>0</v>
      </c>
      <c r="BI303" s="90">
        <v>0</v>
      </c>
      <c r="BJ303" s="90">
        <v>0.22680000000344205</v>
      </c>
      <c r="BK303" s="91">
        <v>0.22680000000344205</v>
      </c>
      <c r="BL303" s="92">
        <v>184.94191272027444</v>
      </c>
      <c r="BM303" s="95">
        <v>0</v>
      </c>
      <c r="BN303" t="s">
        <v>402</v>
      </c>
      <c r="BO303">
        <v>0.85994999999999999</v>
      </c>
    </row>
    <row r="304" spans="1:67">
      <c r="A304" s="61" t="str">
        <f t="shared" si="5"/>
        <v>UK</v>
      </c>
      <c r="B304" s="62" t="s">
        <v>64</v>
      </c>
      <c r="C304" s="62" t="s">
        <v>176</v>
      </c>
      <c r="D304" s="63" t="s">
        <v>97</v>
      </c>
      <c r="E304" s="64">
        <v>43831</v>
      </c>
      <c r="F304" s="64">
        <v>43921</v>
      </c>
      <c r="G304" s="65">
        <v>43995</v>
      </c>
      <c r="H304" s="66" t="s">
        <v>132</v>
      </c>
      <c r="I304" s="67">
        <v>3</v>
      </c>
      <c r="J304" s="68">
        <v>2020</v>
      </c>
      <c r="K304" s="69">
        <v>1</v>
      </c>
      <c r="L304" s="70">
        <v>3</v>
      </c>
      <c r="M304" s="71" t="s">
        <v>140</v>
      </c>
      <c r="N304" s="71" t="s">
        <v>18</v>
      </c>
      <c r="O304" s="71" t="s">
        <v>114</v>
      </c>
      <c r="P304" s="71" t="s">
        <v>102</v>
      </c>
      <c r="Q304" s="61" t="s">
        <v>766</v>
      </c>
      <c r="R304" s="63" t="s">
        <v>106</v>
      </c>
      <c r="S304" s="72" t="s">
        <v>809</v>
      </c>
      <c r="T304" s="61" t="s">
        <v>813</v>
      </c>
      <c r="U304" s="73" t="s">
        <v>824</v>
      </c>
      <c r="V304" s="62">
        <v>107825</v>
      </c>
      <c r="W304" s="62" t="s">
        <v>770</v>
      </c>
      <c r="X304" s="62" t="s">
        <v>402</v>
      </c>
      <c r="Y304" s="93">
        <v>1</v>
      </c>
      <c r="Z304" s="94">
        <v>1</v>
      </c>
      <c r="AA304" s="74">
        <v>0</v>
      </c>
      <c r="AB304" s="75">
        <v>0</v>
      </c>
      <c r="AC304" s="75">
        <v>0</v>
      </c>
      <c r="AD304" s="76">
        <v>0</v>
      </c>
      <c r="AE304" s="77">
        <v>0</v>
      </c>
      <c r="AF304" s="75">
        <v>0</v>
      </c>
      <c r="AG304" s="78">
        <v>0</v>
      </c>
      <c r="AH304" s="79">
        <v>0</v>
      </c>
      <c r="AI304" s="74">
        <v>0</v>
      </c>
      <c r="AJ304" s="75">
        <v>0</v>
      </c>
      <c r="AK304" s="75">
        <v>0</v>
      </c>
      <c r="AL304" s="80">
        <v>0</v>
      </c>
      <c r="AM304" s="74">
        <v>0</v>
      </c>
      <c r="AN304" s="74">
        <v>0</v>
      </c>
      <c r="AO304" s="81" t="s">
        <v>403</v>
      </c>
      <c r="AP304" s="82">
        <v>0</v>
      </c>
      <c r="AQ304" s="75">
        <v>0</v>
      </c>
      <c r="AR304" s="75">
        <v>0</v>
      </c>
      <c r="AS304" s="80">
        <v>0</v>
      </c>
      <c r="AT304" s="74">
        <v>0</v>
      </c>
      <c r="AU304" s="75">
        <v>0</v>
      </c>
      <c r="AV304" s="75">
        <v>0</v>
      </c>
      <c r="AW304" s="75">
        <v>0</v>
      </c>
      <c r="AX304" s="80">
        <v>0</v>
      </c>
      <c r="AY304" s="81" t="s">
        <v>403</v>
      </c>
      <c r="AZ304" s="83" t="s">
        <v>403</v>
      </c>
      <c r="BA304" s="80" t="s">
        <v>403</v>
      </c>
      <c r="BB304" s="84">
        <v>0</v>
      </c>
      <c r="BC304" s="85" t="s">
        <v>403</v>
      </c>
      <c r="BD304" s="86" t="s">
        <v>403</v>
      </c>
      <c r="BE304" s="84">
        <v>0</v>
      </c>
      <c r="BF304" s="87" t="s">
        <v>403</v>
      </c>
      <c r="BG304" s="88" t="s">
        <v>403</v>
      </c>
      <c r="BH304" s="89" t="s">
        <v>403</v>
      </c>
      <c r="BI304" s="90" t="s">
        <v>403</v>
      </c>
      <c r="BJ304" s="90" t="s">
        <v>403</v>
      </c>
      <c r="BK304" s="91">
        <v>0</v>
      </c>
      <c r="BL304" s="92">
        <v>0</v>
      </c>
      <c r="BM304" s="95">
        <v>0</v>
      </c>
      <c r="BN304" t="s">
        <v>402</v>
      </c>
      <c r="BO304">
        <v>0.85994999999999999</v>
      </c>
    </row>
    <row r="305" spans="1:67">
      <c r="A305" s="61" t="str">
        <f t="shared" si="5"/>
        <v>UK</v>
      </c>
      <c r="B305" s="62" t="s">
        <v>64</v>
      </c>
      <c r="C305" s="62" t="s">
        <v>176</v>
      </c>
      <c r="D305" s="63" t="s">
        <v>97</v>
      </c>
      <c r="E305" s="64">
        <v>43831</v>
      </c>
      <c r="F305" s="64">
        <v>43921</v>
      </c>
      <c r="G305" s="65">
        <v>43995</v>
      </c>
      <c r="H305" s="66" t="s">
        <v>132</v>
      </c>
      <c r="I305" s="67">
        <v>3</v>
      </c>
      <c r="J305" s="68">
        <v>2020</v>
      </c>
      <c r="K305" s="69">
        <v>1</v>
      </c>
      <c r="L305" s="70">
        <v>3</v>
      </c>
      <c r="M305" s="71" t="s">
        <v>140</v>
      </c>
      <c r="N305" s="71" t="s">
        <v>18</v>
      </c>
      <c r="O305" s="71" t="s">
        <v>114</v>
      </c>
      <c r="P305" s="71" t="s">
        <v>102</v>
      </c>
      <c r="Q305" s="61" t="s">
        <v>74</v>
      </c>
      <c r="R305" s="63" t="s">
        <v>106</v>
      </c>
      <c r="S305" s="72" t="s">
        <v>444</v>
      </c>
      <c r="T305" s="61" t="s">
        <v>825</v>
      </c>
      <c r="U305" s="73" t="s">
        <v>826</v>
      </c>
      <c r="V305" s="62">
        <v>107433</v>
      </c>
      <c r="W305" s="62" t="s">
        <v>495</v>
      </c>
      <c r="X305" s="62" t="s">
        <v>402</v>
      </c>
      <c r="Y305" s="93">
        <v>1</v>
      </c>
      <c r="Z305" s="94">
        <v>1</v>
      </c>
      <c r="AA305" s="74">
        <v>34</v>
      </c>
      <c r="AB305" s="75">
        <v>42</v>
      </c>
      <c r="AC305" s="75">
        <v>2037.9091807663237</v>
      </c>
      <c r="AD305" s="76">
        <v>2445.4910169195882</v>
      </c>
      <c r="AE305" s="77">
        <v>41.427469625000001</v>
      </c>
      <c r="AF305" s="75">
        <v>50.146092600000003</v>
      </c>
      <c r="AG305" s="78">
        <v>2399.4119926739922</v>
      </c>
      <c r="AH305" s="79">
        <v>2879.2943911855341</v>
      </c>
      <c r="AI305" s="74">
        <v>1151.7177564742137</v>
      </c>
      <c r="AJ305" s="75">
        <v>0</v>
      </c>
      <c r="AK305" s="75">
        <v>0</v>
      </c>
      <c r="AL305" s="80">
        <v>1151.7177564742137</v>
      </c>
      <c r="AM305" s="74">
        <v>2</v>
      </c>
      <c r="AN305" s="74">
        <v>1</v>
      </c>
      <c r="AO305" s="81">
        <v>0.5</v>
      </c>
      <c r="AP305" s="82">
        <v>3</v>
      </c>
      <c r="AQ305" s="75">
        <v>508.71562442002437</v>
      </c>
      <c r="AR305" s="75">
        <v>2037.944065120065</v>
      </c>
      <c r="AS305" s="80">
        <v>2546.6596895400894</v>
      </c>
      <c r="AT305" s="74">
        <v>63.632406045700328</v>
      </c>
      <c r="AU305" s="75">
        <v>72.2223009791267</v>
      </c>
      <c r="AV305" s="75">
        <v>123.5217293796151</v>
      </c>
      <c r="AW305" s="75">
        <v>58.267320830280831</v>
      </c>
      <c r="AX305" s="80">
        <v>317.64375723472295</v>
      </c>
      <c r="AY305" s="81">
        <v>5.9825199620837453E-2</v>
      </c>
      <c r="AZ305" s="83">
        <v>848.88656318002984</v>
      </c>
      <c r="BA305" s="80">
        <v>50.784808097691929</v>
      </c>
      <c r="BB305" s="84">
        <v>-1493.0874811954191</v>
      </c>
      <c r="BC305" s="85">
        <v>-12.087650397176391</v>
      </c>
      <c r="BD305" s="86">
        <v>-0.6222722424303081</v>
      </c>
      <c r="BE305" s="84">
        <v>-1434.8201603651382</v>
      </c>
      <c r="BF305" s="87">
        <v>-7.8927754928499647</v>
      </c>
      <c r="BG305" s="88">
        <v>-0.59798824243023074</v>
      </c>
      <c r="BH305" s="89">
        <v>1.0613682424342636</v>
      </c>
      <c r="BI305" s="90">
        <v>0.47999999999612297</v>
      </c>
      <c r="BJ305" s="90">
        <v>0.13238399999857015</v>
      </c>
      <c r="BK305" s="91">
        <v>1.6737522424289568</v>
      </c>
      <c r="BL305" s="92">
        <v>-1616.609210575034</v>
      </c>
      <c r="BM305" s="95">
        <v>0</v>
      </c>
      <c r="BN305" t="s">
        <v>402</v>
      </c>
      <c r="BO305">
        <v>0.85994999999999999</v>
      </c>
    </row>
    <row r="306" spans="1:67">
      <c r="A306" s="61" t="str">
        <f t="shared" si="5"/>
        <v>UK</v>
      </c>
      <c r="B306" s="62" t="s">
        <v>64</v>
      </c>
      <c r="C306" s="62" t="s">
        <v>176</v>
      </c>
      <c r="D306" s="63" t="s">
        <v>97</v>
      </c>
      <c r="E306" s="64">
        <v>43831</v>
      </c>
      <c r="F306" s="64">
        <v>43921</v>
      </c>
      <c r="G306" s="65">
        <v>43995</v>
      </c>
      <c r="H306" s="66" t="s">
        <v>132</v>
      </c>
      <c r="I306" s="67">
        <v>3</v>
      </c>
      <c r="J306" s="68">
        <v>2020</v>
      </c>
      <c r="K306" s="69">
        <v>1</v>
      </c>
      <c r="L306" s="70">
        <v>3</v>
      </c>
      <c r="M306" s="71" t="s">
        <v>140</v>
      </c>
      <c r="N306" s="71" t="s">
        <v>18</v>
      </c>
      <c r="O306" s="71" t="s">
        <v>114</v>
      </c>
      <c r="P306" s="71" t="s">
        <v>102</v>
      </c>
      <c r="Q306" s="61" t="s">
        <v>74</v>
      </c>
      <c r="R306" s="63" t="s">
        <v>106</v>
      </c>
      <c r="S306" s="72" t="s">
        <v>444</v>
      </c>
      <c r="T306" s="61" t="s">
        <v>825</v>
      </c>
      <c r="U306" s="73" t="s">
        <v>827</v>
      </c>
      <c r="V306" s="62">
        <v>106483</v>
      </c>
      <c r="W306" s="62" t="s">
        <v>495</v>
      </c>
      <c r="X306" s="62" t="s">
        <v>402</v>
      </c>
      <c r="Y306" s="93">
        <v>1</v>
      </c>
      <c r="Z306" s="94">
        <v>1</v>
      </c>
      <c r="AA306" s="74">
        <v>0</v>
      </c>
      <c r="AB306" s="75">
        <v>0</v>
      </c>
      <c r="AC306" s="75">
        <v>0</v>
      </c>
      <c r="AD306" s="76">
        <v>0</v>
      </c>
      <c r="AE306" s="77">
        <v>0.30904109590000001</v>
      </c>
      <c r="AF306" s="75">
        <v>0.30904109590000001</v>
      </c>
      <c r="AG306" s="78">
        <v>93.735937180068603</v>
      </c>
      <c r="AH306" s="79">
        <v>112.48312461654747</v>
      </c>
      <c r="AI306" s="74">
        <v>44.993249845921277</v>
      </c>
      <c r="AJ306" s="75">
        <v>0</v>
      </c>
      <c r="AK306" s="75">
        <v>0</v>
      </c>
      <c r="AL306" s="80">
        <v>44.993249845921277</v>
      </c>
      <c r="AM306" s="74">
        <v>0</v>
      </c>
      <c r="AN306" s="74">
        <v>0</v>
      </c>
      <c r="AO306" s="81" t="s">
        <v>403</v>
      </c>
      <c r="AP306" s="82">
        <v>0</v>
      </c>
      <c r="AQ306" s="75">
        <v>0</v>
      </c>
      <c r="AR306" s="75">
        <v>0</v>
      </c>
      <c r="AS306" s="80">
        <v>0</v>
      </c>
      <c r="AT306" s="74">
        <v>2.4858770540147681</v>
      </c>
      <c r="AU306" s="75">
        <v>2.8214517091691378</v>
      </c>
      <c r="AV306" s="75">
        <v>4.8255260460491893</v>
      </c>
      <c r="AW306" s="75">
        <v>2.2762834984592129</v>
      </c>
      <c r="AX306" s="80">
        <v>12.409138307692308</v>
      </c>
      <c r="AY306" s="81">
        <v>0</v>
      </c>
      <c r="AZ306" s="83" t="s">
        <v>403</v>
      </c>
      <c r="BA306" s="80" t="s">
        <v>403</v>
      </c>
      <c r="BB306" s="84">
        <v>41.159075072504201</v>
      </c>
      <c r="BC306" s="85">
        <v>8.5294483295147554</v>
      </c>
      <c r="BD306" s="86">
        <v>0.43909600000517196</v>
      </c>
      <c r="BE306" s="84">
        <v>43.435358570963416</v>
      </c>
      <c r="BF306" s="87">
        <v>6.1160973550115214</v>
      </c>
      <c r="BG306" s="88">
        <v>0.46338000000494184</v>
      </c>
      <c r="BH306" s="89">
        <v>0</v>
      </c>
      <c r="BI306" s="90">
        <v>0.47999999999454157</v>
      </c>
      <c r="BJ306" s="90">
        <v>0.13238400000049186</v>
      </c>
      <c r="BK306" s="91">
        <v>0.61238399999503346</v>
      </c>
      <c r="BL306" s="92">
        <v>36.333549026455017</v>
      </c>
      <c r="BM306" s="95">
        <v>0</v>
      </c>
      <c r="BN306" t="s">
        <v>402</v>
      </c>
      <c r="BO306">
        <v>0.85994999999999999</v>
      </c>
    </row>
    <row r="307" spans="1:67">
      <c r="A307" s="61" t="str">
        <f t="shared" si="5"/>
        <v>UK</v>
      </c>
      <c r="B307" s="62" t="s">
        <v>64</v>
      </c>
      <c r="C307" s="62" t="s">
        <v>176</v>
      </c>
      <c r="D307" s="63" t="s">
        <v>97</v>
      </c>
      <c r="E307" s="64">
        <v>43831</v>
      </c>
      <c r="F307" s="64">
        <v>43921</v>
      </c>
      <c r="G307" s="65">
        <v>43995</v>
      </c>
      <c r="H307" s="66" t="s">
        <v>132</v>
      </c>
      <c r="I307" s="67">
        <v>3</v>
      </c>
      <c r="J307" s="68">
        <v>2020</v>
      </c>
      <c r="K307" s="69">
        <v>1</v>
      </c>
      <c r="L307" s="70">
        <v>3</v>
      </c>
      <c r="M307" s="71" t="s">
        <v>140</v>
      </c>
      <c r="N307" s="71" t="s">
        <v>18</v>
      </c>
      <c r="O307" s="71" t="s">
        <v>114</v>
      </c>
      <c r="P307" s="71" t="s">
        <v>102</v>
      </c>
      <c r="Q307" s="61" t="s">
        <v>74</v>
      </c>
      <c r="R307" s="63" t="s">
        <v>106</v>
      </c>
      <c r="S307" s="72" t="s">
        <v>444</v>
      </c>
      <c r="T307" s="61" t="s">
        <v>825</v>
      </c>
      <c r="U307" s="73" t="s">
        <v>828</v>
      </c>
      <c r="V307" s="62">
        <v>107480</v>
      </c>
      <c r="W307" s="62" t="s">
        <v>495</v>
      </c>
      <c r="X307" s="62" t="s">
        <v>402</v>
      </c>
      <c r="Y307" s="93">
        <v>1</v>
      </c>
      <c r="Z307" s="94">
        <v>1</v>
      </c>
      <c r="AA307" s="74">
        <v>205</v>
      </c>
      <c r="AB307" s="75">
        <v>229</v>
      </c>
      <c r="AC307" s="75">
        <v>8521.8132836792847</v>
      </c>
      <c r="AD307" s="76">
        <v>10226.175940461655</v>
      </c>
      <c r="AE307" s="77">
        <v>191.16040555999999</v>
      </c>
      <c r="AF307" s="75">
        <v>209.79387745</v>
      </c>
      <c r="AG307" s="78">
        <v>8856.6848780743057</v>
      </c>
      <c r="AH307" s="79">
        <v>10628.021853596139</v>
      </c>
      <c r="AI307" s="74">
        <v>4251.2087414384559</v>
      </c>
      <c r="AJ307" s="75">
        <v>0</v>
      </c>
      <c r="AK307" s="75">
        <v>0</v>
      </c>
      <c r="AL307" s="80">
        <v>4251.2087414384559</v>
      </c>
      <c r="AM307" s="74">
        <v>3</v>
      </c>
      <c r="AN307" s="74">
        <v>0</v>
      </c>
      <c r="AO307" s="81">
        <v>0</v>
      </c>
      <c r="AP307" s="82">
        <v>8</v>
      </c>
      <c r="AQ307" s="75">
        <v>1725.4840596546312</v>
      </c>
      <c r="AR307" s="75">
        <v>1909.1110190127333</v>
      </c>
      <c r="AS307" s="80">
        <v>3634.5950786673648</v>
      </c>
      <c r="AT307" s="74">
        <v>234.87928296994014</v>
      </c>
      <c r="AU307" s="75">
        <v>266.58621482644338</v>
      </c>
      <c r="AV307" s="75">
        <v>455.94213751962326</v>
      </c>
      <c r="AW307" s="75">
        <v>215.07573557764988</v>
      </c>
      <c r="AX307" s="80">
        <v>1172.4833708936567</v>
      </c>
      <c r="AY307" s="81">
        <v>3.8132666678543245E-2</v>
      </c>
      <c r="AZ307" s="83">
        <v>454.32438483342059</v>
      </c>
      <c r="BA307" s="80">
        <v>17.324600330787035</v>
      </c>
      <c r="BB307" s="84">
        <v>254.33982459445178</v>
      </c>
      <c r="BC307" s="85">
        <v>0.55783355751694541</v>
      </c>
      <c r="BD307" s="86">
        <v>2.871727154074296E-2</v>
      </c>
      <c r="BE307" s="84">
        <v>469.41556017210132</v>
      </c>
      <c r="BF307" s="87">
        <v>0.6995574618681627</v>
      </c>
      <c r="BG307" s="88">
        <v>5.3001271540572818E-2</v>
      </c>
      <c r="BH307" s="89">
        <v>0.41037872846364931</v>
      </c>
      <c r="BI307" s="90">
        <v>0.47999999999579857</v>
      </c>
      <c r="BJ307" s="90">
        <v>0.13238399999939796</v>
      </c>
      <c r="BK307" s="91">
        <v>1.0227627284588459</v>
      </c>
      <c r="BL307" s="92">
        <v>-201.60231292517165</v>
      </c>
      <c r="BM307" s="95">
        <v>0</v>
      </c>
      <c r="BN307" t="s">
        <v>402</v>
      </c>
      <c r="BO307">
        <v>0.85994999999999999</v>
      </c>
    </row>
    <row r="308" spans="1:67">
      <c r="A308" s="61" t="str">
        <f t="shared" si="5"/>
        <v>UK</v>
      </c>
      <c r="B308" s="62" t="s">
        <v>64</v>
      </c>
      <c r="C308" s="62" t="s">
        <v>176</v>
      </c>
      <c r="D308" s="63" t="s">
        <v>97</v>
      </c>
      <c r="E308" s="64">
        <v>43831</v>
      </c>
      <c r="F308" s="64">
        <v>43921</v>
      </c>
      <c r="G308" s="65">
        <v>43995</v>
      </c>
      <c r="H308" s="66" t="s">
        <v>132</v>
      </c>
      <c r="I308" s="67">
        <v>3</v>
      </c>
      <c r="J308" s="68">
        <v>2020</v>
      </c>
      <c r="K308" s="69">
        <v>1</v>
      </c>
      <c r="L308" s="70">
        <v>3</v>
      </c>
      <c r="M308" s="71" t="s">
        <v>140</v>
      </c>
      <c r="N308" s="71" t="s">
        <v>18</v>
      </c>
      <c r="O308" s="71" t="s">
        <v>114</v>
      </c>
      <c r="P308" s="71" t="s">
        <v>102</v>
      </c>
      <c r="Q308" s="61" t="s">
        <v>74</v>
      </c>
      <c r="R308" s="63" t="s">
        <v>106</v>
      </c>
      <c r="S308" s="72" t="s">
        <v>444</v>
      </c>
      <c r="T308" s="61" t="s">
        <v>825</v>
      </c>
      <c r="U308" s="73" t="s">
        <v>829</v>
      </c>
      <c r="V308" s="62">
        <v>107482</v>
      </c>
      <c r="W308" s="62" t="s">
        <v>495</v>
      </c>
      <c r="X308" s="62" t="s">
        <v>402</v>
      </c>
      <c r="Y308" s="93">
        <v>1</v>
      </c>
      <c r="Z308" s="94">
        <v>1</v>
      </c>
      <c r="AA308" s="74">
        <v>25</v>
      </c>
      <c r="AB308" s="75">
        <v>28</v>
      </c>
      <c r="AC308" s="75">
        <v>2144.5045254956685</v>
      </c>
      <c r="AD308" s="76">
        <v>2573.4054305482878</v>
      </c>
      <c r="AE308" s="77">
        <v>25.229771039999999</v>
      </c>
      <c r="AF308" s="75">
        <v>27.229771039999999</v>
      </c>
      <c r="AG308" s="78">
        <v>2220.7007293447296</v>
      </c>
      <c r="AH308" s="79">
        <v>2664.8408751671609</v>
      </c>
      <c r="AI308" s="74">
        <v>1065.9363500668644</v>
      </c>
      <c r="AJ308" s="75">
        <v>0</v>
      </c>
      <c r="AK308" s="75">
        <v>0</v>
      </c>
      <c r="AL308" s="80">
        <v>1065.9363500668644</v>
      </c>
      <c r="AM308" s="74">
        <v>0</v>
      </c>
      <c r="AN308" s="74">
        <v>0</v>
      </c>
      <c r="AO308" s="81" t="s">
        <v>403</v>
      </c>
      <c r="AP308" s="82">
        <v>3</v>
      </c>
      <c r="AQ308" s="75">
        <v>0</v>
      </c>
      <c r="AR308" s="75">
        <v>0</v>
      </c>
      <c r="AS308" s="80">
        <v>0</v>
      </c>
      <c r="AT308" s="74">
        <v>58.892983340891917</v>
      </c>
      <c r="AU308" s="75">
        <v>66.843091951857659</v>
      </c>
      <c r="AV308" s="75">
        <v>114.32167354497355</v>
      </c>
      <c r="AW308" s="75">
        <v>53.927496510262223</v>
      </c>
      <c r="AX308" s="80">
        <v>293.98524534798537</v>
      </c>
      <c r="AY308" s="81">
        <v>0.11017353012601755</v>
      </c>
      <c r="AZ308" s="83">
        <v>0</v>
      </c>
      <c r="BA308" s="80">
        <v>0</v>
      </c>
      <c r="BB308" s="84">
        <v>975.10080747485335</v>
      </c>
      <c r="BC308" s="85">
        <v>8.5294483297714656</v>
      </c>
      <c r="BD308" s="86">
        <v>0.43909600001013194</v>
      </c>
      <c r="BE308" s="84">
        <v>1029.0283039851156</v>
      </c>
      <c r="BF308" s="87">
        <v>6.1160973551744018</v>
      </c>
      <c r="BG308" s="88">
        <v>0.46338000000961627</v>
      </c>
      <c r="BH308" s="89">
        <v>0</v>
      </c>
      <c r="BI308" s="90">
        <v>0.47999999999162168</v>
      </c>
      <c r="BJ308" s="90">
        <v>0.13238399999748399</v>
      </c>
      <c r="BK308" s="91">
        <v>0.61238399998910564</v>
      </c>
      <c r="BL308" s="92">
        <v>860.77913392987966</v>
      </c>
      <c r="BM308" s="95">
        <v>0</v>
      </c>
      <c r="BN308" t="s">
        <v>402</v>
      </c>
      <c r="BO308">
        <v>0.85994999999999999</v>
      </c>
    </row>
    <row r="309" spans="1:67">
      <c r="A309" s="61" t="str">
        <f t="shared" si="5"/>
        <v>UK</v>
      </c>
      <c r="B309" s="62" t="s">
        <v>64</v>
      </c>
      <c r="C309" s="62" t="s">
        <v>176</v>
      </c>
      <c r="D309" s="63" t="s">
        <v>97</v>
      </c>
      <c r="E309" s="64">
        <v>43831</v>
      </c>
      <c r="F309" s="64">
        <v>43921</v>
      </c>
      <c r="G309" s="65">
        <v>43995</v>
      </c>
      <c r="H309" s="66" t="s">
        <v>132</v>
      </c>
      <c r="I309" s="67">
        <v>3</v>
      </c>
      <c r="J309" s="68">
        <v>2020</v>
      </c>
      <c r="K309" s="69">
        <v>1</v>
      </c>
      <c r="L309" s="70">
        <v>3</v>
      </c>
      <c r="M309" s="71" t="s">
        <v>140</v>
      </c>
      <c r="N309" s="71" t="s">
        <v>18</v>
      </c>
      <c r="O309" s="71" t="s">
        <v>114</v>
      </c>
      <c r="P309" s="71" t="s">
        <v>102</v>
      </c>
      <c r="Q309" s="61" t="s">
        <v>74</v>
      </c>
      <c r="R309" s="63" t="s">
        <v>106</v>
      </c>
      <c r="S309" s="72" t="s">
        <v>444</v>
      </c>
      <c r="T309" s="61" t="s">
        <v>825</v>
      </c>
      <c r="U309" s="73" t="s">
        <v>830</v>
      </c>
      <c r="V309" s="62">
        <v>106486</v>
      </c>
      <c r="W309" s="62" t="s">
        <v>495</v>
      </c>
      <c r="X309" s="62" t="s">
        <v>402</v>
      </c>
      <c r="Y309" s="93">
        <v>1</v>
      </c>
      <c r="Z309" s="94">
        <v>1</v>
      </c>
      <c r="AA309" s="74">
        <v>0</v>
      </c>
      <c r="AB309" s="75">
        <v>0</v>
      </c>
      <c r="AC309" s="75">
        <v>0</v>
      </c>
      <c r="AD309" s="76">
        <v>0</v>
      </c>
      <c r="AE309" s="77">
        <v>0.12051282050000001</v>
      </c>
      <c r="AF309" s="75">
        <v>0.12051282050000001</v>
      </c>
      <c r="AG309" s="78">
        <v>119.11843414151986</v>
      </c>
      <c r="AH309" s="79">
        <v>142.94212096052095</v>
      </c>
      <c r="AI309" s="74">
        <v>57.176848385371244</v>
      </c>
      <c r="AJ309" s="75">
        <v>0</v>
      </c>
      <c r="AK309" s="75">
        <v>0</v>
      </c>
      <c r="AL309" s="80">
        <v>57.176848385371244</v>
      </c>
      <c r="AM309" s="74">
        <v>0</v>
      </c>
      <c r="AN309" s="74">
        <v>0</v>
      </c>
      <c r="AO309" s="81" t="s">
        <v>403</v>
      </c>
      <c r="AP309" s="82">
        <v>0</v>
      </c>
      <c r="AQ309" s="75">
        <v>0</v>
      </c>
      <c r="AR309" s="75">
        <v>0</v>
      </c>
      <c r="AS309" s="80">
        <v>0</v>
      </c>
      <c r="AT309" s="74">
        <v>3.1590208733065879</v>
      </c>
      <c r="AU309" s="75">
        <v>3.5854648674922958</v>
      </c>
      <c r="AV309" s="75">
        <v>6.1322169893598462</v>
      </c>
      <c r="AW309" s="75">
        <v>2.8926720545380546</v>
      </c>
      <c r="AX309" s="80">
        <v>15.769374784696785</v>
      </c>
      <c r="AY309" s="81">
        <v>0</v>
      </c>
      <c r="AZ309" s="83" t="s">
        <v>403</v>
      </c>
      <c r="BA309" s="80" t="s">
        <v>403</v>
      </c>
      <c r="BB309" s="84">
        <v>52.304427960811665</v>
      </c>
      <c r="BC309" s="85">
        <v>8.5294483302802728</v>
      </c>
      <c r="BD309" s="86">
        <v>0.43909600002524263</v>
      </c>
      <c r="BE309" s="84">
        <v>55.197100015349726</v>
      </c>
      <c r="BF309" s="87">
        <v>6.1160973555315632</v>
      </c>
      <c r="BG309" s="88">
        <v>0.46338000002394469</v>
      </c>
      <c r="BH309" s="89">
        <v>0</v>
      </c>
      <c r="BI309" s="90">
        <v>0.47999999997852316</v>
      </c>
      <c r="BJ309" s="90">
        <v>0.13238399999417236</v>
      </c>
      <c r="BK309" s="91">
        <v>0.61238399997269555</v>
      </c>
      <c r="BL309" s="92">
        <v>46.172210971451833</v>
      </c>
      <c r="BM309" s="95">
        <v>0</v>
      </c>
      <c r="BN309" t="s">
        <v>402</v>
      </c>
      <c r="BO309">
        <v>0.85994999999999999</v>
      </c>
    </row>
    <row r="310" spans="1:67">
      <c r="A310" s="61" t="str">
        <f t="shared" si="5"/>
        <v>UK</v>
      </c>
      <c r="B310" s="62" t="s">
        <v>64</v>
      </c>
      <c r="C310" s="62" t="s">
        <v>176</v>
      </c>
      <c r="D310" s="63" t="s">
        <v>97</v>
      </c>
      <c r="E310" s="64">
        <v>43831</v>
      </c>
      <c r="F310" s="64">
        <v>43921</v>
      </c>
      <c r="G310" s="65">
        <v>43995</v>
      </c>
      <c r="H310" s="66" t="s">
        <v>132</v>
      </c>
      <c r="I310" s="67">
        <v>3</v>
      </c>
      <c r="J310" s="68">
        <v>2020</v>
      </c>
      <c r="K310" s="69">
        <v>1</v>
      </c>
      <c r="L310" s="70">
        <v>3</v>
      </c>
      <c r="M310" s="71" t="s">
        <v>140</v>
      </c>
      <c r="N310" s="71" t="s">
        <v>18</v>
      </c>
      <c r="O310" s="71" t="s">
        <v>114</v>
      </c>
      <c r="P310" s="71" t="s">
        <v>102</v>
      </c>
      <c r="Q310" s="61" t="s">
        <v>74</v>
      </c>
      <c r="R310" s="63" t="s">
        <v>106</v>
      </c>
      <c r="S310" s="72" t="s">
        <v>444</v>
      </c>
      <c r="T310" s="61" t="s">
        <v>825</v>
      </c>
      <c r="U310" s="73" t="s">
        <v>831</v>
      </c>
      <c r="V310" s="62">
        <v>107483</v>
      </c>
      <c r="W310" s="62" t="s">
        <v>495</v>
      </c>
      <c r="X310" s="62" t="s">
        <v>402</v>
      </c>
      <c r="Y310" s="93">
        <v>1</v>
      </c>
      <c r="Z310" s="94">
        <v>1</v>
      </c>
      <c r="AA310" s="74">
        <v>564</v>
      </c>
      <c r="AB310" s="75">
        <v>622</v>
      </c>
      <c r="AC310" s="75">
        <v>58791.208791208788</v>
      </c>
      <c r="AD310" s="76">
        <v>70549.450549450543</v>
      </c>
      <c r="AE310" s="77">
        <v>445.04092362</v>
      </c>
      <c r="AF310" s="75">
        <v>491.44629961999999</v>
      </c>
      <c r="AG310" s="78">
        <v>52005.84338508053</v>
      </c>
      <c r="AH310" s="79">
        <v>62407.012062329202</v>
      </c>
      <c r="AI310" s="74">
        <v>24962.804824699109</v>
      </c>
      <c r="AJ310" s="75">
        <v>0</v>
      </c>
      <c r="AK310" s="75">
        <v>0</v>
      </c>
      <c r="AL310" s="80">
        <v>24962.804824699109</v>
      </c>
      <c r="AM310" s="74">
        <v>14</v>
      </c>
      <c r="AN310" s="74">
        <v>8</v>
      </c>
      <c r="AO310" s="81">
        <v>0.5714285714285714</v>
      </c>
      <c r="AP310" s="82">
        <v>57</v>
      </c>
      <c r="AQ310" s="75">
        <v>7136.321853828711</v>
      </c>
      <c r="AR310" s="75">
        <v>14607.599772079773</v>
      </c>
      <c r="AS310" s="80">
        <v>21743.921625908486</v>
      </c>
      <c r="AT310" s="74">
        <v>1379.1949665678239</v>
      </c>
      <c r="AU310" s="75">
        <v>1565.3758859236002</v>
      </c>
      <c r="AV310" s="75">
        <v>2677.260817489389</v>
      </c>
      <c r="AW310" s="75">
        <v>1262.9099008081866</v>
      </c>
      <c r="AX310" s="80">
        <v>6884.7415707889995</v>
      </c>
      <c r="AY310" s="81">
        <v>0.11598418798569446</v>
      </c>
      <c r="AZ310" s="83">
        <v>381.47230922646469</v>
      </c>
      <c r="BA310" s="80">
        <v>44.244756024659246</v>
      </c>
      <c r="BB310" s="84">
        <v>1091.6361811733223</v>
      </c>
      <c r="BC310" s="85">
        <v>0.40774368116925119</v>
      </c>
      <c r="BD310" s="86">
        <v>2.0990644706792537E-2</v>
      </c>
      <c r="BE310" s="84">
        <v>2354.5460819815125</v>
      </c>
      <c r="BF310" s="87">
        <v>0.59757463580127268</v>
      </c>
      <c r="BG310" s="88">
        <v>4.5274644707655798E-2</v>
      </c>
      <c r="BH310" s="89">
        <v>0.41810535529448595</v>
      </c>
      <c r="BI310" s="90">
        <v>0.47999999999731674</v>
      </c>
      <c r="BJ310" s="90">
        <v>0.13238400000189399</v>
      </c>
      <c r="BK310" s="91">
        <v>1.0304893552936967</v>
      </c>
      <c r="BL310" s="92">
        <v>-1585.6246363160608</v>
      </c>
      <c r="BM310" s="95">
        <v>0</v>
      </c>
      <c r="BN310" t="s">
        <v>402</v>
      </c>
      <c r="BO310">
        <v>0.85994999999999999</v>
      </c>
    </row>
    <row r="311" spans="1:67">
      <c r="A311" s="61" t="str">
        <f t="shared" si="5"/>
        <v>UK</v>
      </c>
      <c r="B311" s="62" t="s">
        <v>64</v>
      </c>
      <c r="C311" s="62" t="s">
        <v>176</v>
      </c>
      <c r="D311" s="63" t="s">
        <v>97</v>
      </c>
      <c r="E311" s="64">
        <v>43831</v>
      </c>
      <c r="F311" s="64">
        <v>43921</v>
      </c>
      <c r="G311" s="65">
        <v>43995</v>
      </c>
      <c r="H311" s="66" t="s">
        <v>132</v>
      </c>
      <c r="I311" s="67">
        <v>3</v>
      </c>
      <c r="J311" s="68">
        <v>2020</v>
      </c>
      <c r="K311" s="69">
        <v>1</v>
      </c>
      <c r="L311" s="70">
        <v>3</v>
      </c>
      <c r="M311" s="71" t="s">
        <v>140</v>
      </c>
      <c r="N311" s="71" t="s">
        <v>18</v>
      </c>
      <c r="O311" s="71" t="s">
        <v>114</v>
      </c>
      <c r="P311" s="71" t="s">
        <v>102</v>
      </c>
      <c r="Q311" s="61" t="s">
        <v>74</v>
      </c>
      <c r="R311" s="63" t="s">
        <v>106</v>
      </c>
      <c r="S311" s="72" t="s">
        <v>444</v>
      </c>
      <c r="T311" s="61" t="s">
        <v>825</v>
      </c>
      <c r="U311" s="73" t="s">
        <v>832</v>
      </c>
      <c r="V311" s="62">
        <v>107484</v>
      </c>
      <c r="W311" s="62" t="s">
        <v>495</v>
      </c>
      <c r="X311" s="62" t="s">
        <v>402</v>
      </c>
      <c r="Y311" s="93">
        <v>1</v>
      </c>
      <c r="Z311" s="94">
        <v>1</v>
      </c>
      <c r="AA311" s="74">
        <v>2</v>
      </c>
      <c r="AB311" s="75">
        <v>3</v>
      </c>
      <c r="AC311" s="75">
        <v>311.0645967788825</v>
      </c>
      <c r="AD311" s="76">
        <v>373.27751613465898</v>
      </c>
      <c r="AE311" s="77">
        <v>2.2764705882</v>
      </c>
      <c r="AF311" s="75">
        <v>2.2764705882</v>
      </c>
      <c r="AG311" s="78">
        <v>221.03998294086864</v>
      </c>
      <c r="AH311" s="79">
        <v>265.24797953369381</v>
      </c>
      <c r="AI311" s="74">
        <v>106.09919181347752</v>
      </c>
      <c r="AJ311" s="75">
        <v>0</v>
      </c>
      <c r="AK311" s="75">
        <v>0</v>
      </c>
      <c r="AL311" s="80">
        <v>106.09919181347752</v>
      </c>
      <c r="AM311" s="74">
        <v>1</v>
      </c>
      <c r="AN311" s="74">
        <v>0</v>
      </c>
      <c r="AO311" s="81">
        <v>0</v>
      </c>
      <c r="AP311" s="82">
        <v>2</v>
      </c>
      <c r="AQ311" s="75">
        <v>78.283620786092229</v>
      </c>
      <c r="AR311" s="75">
        <v>78.283620786092229</v>
      </c>
      <c r="AS311" s="80">
        <v>156.56724157218446</v>
      </c>
      <c r="AT311" s="74">
        <v>5.8619803476946331</v>
      </c>
      <c r="AU311" s="75">
        <v>6.653303486598058</v>
      </c>
      <c r="AV311" s="75">
        <v>11.379138321995464</v>
      </c>
      <c r="AW311" s="75">
        <v>5.3677349458689463</v>
      </c>
      <c r="AX311" s="80">
        <v>29.262157102157104</v>
      </c>
      <c r="AY311" s="81">
        <v>0.87855297158984835</v>
      </c>
      <c r="AZ311" s="83">
        <v>78.283620786092229</v>
      </c>
      <c r="BA311" s="80">
        <v>68.776307668434143</v>
      </c>
      <c r="BB311" s="84">
        <v>-59.509469224955012</v>
      </c>
      <c r="BC311" s="85">
        <v>-5.2296990809862427</v>
      </c>
      <c r="BD311" s="86">
        <v>-0.26922490869389293</v>
      </c>
      <c r="BE311" s="84">
        <v>-54.141734279086052</v>
      </c>
      <c r="BF311" s="87">
        <v>-3.2329458408799616</v>
      </c>
      <c r="BG311" s="88">
        <v>-0.24494090869329166</v>
      </c>
      <c r="BH311" s="89">
        <v>0.70832090868405662</v>
      </c>
      <c r="BI311" s="90">
        <v>0.48000000000841736</v>
      </c>
      <c r="BJ311" s="90">
        <v>0.13238400000232153</v>
      </c>
      <c r="BK311" s="91">
        <v>1.3207049086947955</v>
      </c>
      <c r="BL311" s="92">
        <v>-70.888607546950482</v>
      </c>
      <c r="BM311" s="95">
        <v>0</v>
      </c>
      <c r="BN311" t="s">
        <v>402</v>
      </c>
      <c r="BO311">
        <v>0.85994999999999999</v>
      </c>
    </row>
    <row r="312" spans="1:67">
      <c r="A312" s="61" t="str">
        <f t="shared" si="5"/>
        <v>UK</v>
      </c>
      <c r="B312" s="62" t="s">
        <v>64</v>
      </c>
      <c r="C312" s="62" t="s">
        <v>176</v>
      </c>
      <c r="D312" s="63" t="s">
        <v>97</v>
      </c>
      <c r="E312" s="64">
        <v>43831</v>
      </c>
      <c r="F312" s="64">
        <v>43921</v>
      </c>
      <c r="G312" s="65">
        <v>43995</v>
      </c>
      <c r="H312" s="66" t="s">
        <v>132</v>
      </c>
      <c r="I312" s="67">
        <v>3</v>
      </c>
      <c r="J312" s="68">
        <v>2020</v>
      </c>
      <c r="K312" s="69">
        <v>1</v>
      </c>
      <c r="L312" s="70">
        <v>3</v>
      </c>
      <c r="M312" s="71" t="s">
        <v>140</v>
      </c>
      <c r="N312" s="71" t="s">
        <v>18</v>
      </c>
      <c r="O312" s="71" t="s">
        <v>114</v>
      </c>
      <c r="P312" s="71" t="s">
        <v>102</v>
      </c>
      <c r="Q312" s="61" t="s">
        <v>74</v>
      </c>
      <c r="R312" s="63" t="s">
        <v>106</v>
      </c>
      <c r="S312" s="72" t="s">
        <v>444</v>
      </c>
      <c r="T312" s="61" t="s">
        <v>825</v>
      </c>
      <c r="U312" s="73" t="s">
        <v>833</v>
      </c>
      <c r="V312" s="62">
        <v>107485</v>
      </c>
      <c r="W312" s="62" t="s">
        <v>495</v>
      </c>
      <c r="X312" s="62" t="s">
        <v>402</v>
      </c>
      <c r="Y312" s="93">
        <v>1</v>
      </c>
      <c r="Z312" s="94">
        <v>1</v>
      </c>
      <c r="AA312" s="74">
        <v>96</v>
      </c>
      <c r="AB312" s="75">
        <v>101</v>
      </c>
      <c r="AC312" s="75">
        <v>14350.640540729113</v>
      </c>
      <c r="AD312" s="76">
        <v>17220.76864934008</v>
      </c>
      <c r="AE312" s="77">
        <v>65.470643467000002</v>
      </c>
      <c r="AF312" s="75">
        <v>69.272327677000007</v>
      </c>
      <c r="AG312" s="78">
        <v>10137.761113669399</v>
      </c>
      <c r="AH312" s="79">
        <v>12165.313336821908</v>
      </c>
      <c r="AI312" s="74">
        <v>4866.1253346124777</v>
      </c>
      <c r="AJ312" s="75">
        <v>0</v>
      </c>
      <c r="AK312" s="75">
        <v>0</v>
      </c>
      <c r="AL312" s="80">
        <v>4866.1253346124777</v>
      </c>
      <c r="AM312" s="74">
        <v>4</v>
      </c>
      <c r="AN312" s="74">
        <v>1</v>
      </c>
      <c r="AO312" s="81">
        <v>0.25</v>
      </c>
      <c r="AP312" s="82">
        <v>7</v>
      </c>
      <c r="AQ312" s="75">
        <v>606.02361445432882</v>
      </c>
      <c r="AR312" s="75">
        <v>749.05518605732902</v>
      </c>
      <c r="AS312" s="80">
        <v>1355.0788005116578</v>
      </c>
      <c r="AT312" s="74">
        <v>268.85342473399618</v>
      </c>
      <c r="AU312" s="75">
        <v>305.1466095238095</v>
      </c>
      <c r="AV312" s="75">
        <v>521.89194213617066</v>
      </c>
      <c r="AW312" s="75">
        <v>246.18539088319091</v>
      </c>
      <c r="AX312" s="80">
        <v>1342.0773672771672</v>
      </c>
      <c r="AY312" s="81">
        <v>0.10105045167009971</v>
      </c>
      <c r="AZ312" s="83">
        <v>193.58268578737969</v>
      </c>
      <c r="BA312" s="80">
        <v>19.561617834325709</v>
      </c>
      <c r="BB312" s="84">
        <v>3096.3715534042685</v>
      </c>
      <c r="BC312" s="85">
        <v>5.9329744405143003</v>
      </c>
      <c r="BD312" s="86">
        <v>0.30542952420029212</v>
      </c>
      <c r="BE312" s="84">
        <v>3342.5569442874594</v>
      </c>
      <c r="BF312" s="87">
        <v>4.3518494825874532</v>
      </c>
      <c r="BG312" s="88">
        <v>0.32971352420017802</v>
      </c>
      <c r="BH312" s="89">
        <v>0.13366647579459309</v>
      </c>
      <c r="BI312" s="90">
        <v>0.48000000000504706</v>
      </c>
      <c r="BJ312" s="90">
        <v>0.13238400000050873</v>
      </c>
      <c r="BK312" s="91">
        <v>0.74605047580014894</v>
      </c>
      <c r="BL312" s="92">
        <v>2574.479611268097</v>
      </c>
      <c r="BM312" s="95">
        <v>0</v>
      </c>
      <c r="BN312" t="s">
        <v>402</v>
      </c>
      <c r="BO312">
        <v>0.85994999999999999</v>
      </c>
    </row>
    <row r="313" spans="1:67">
      <c r="A313" s="61" t="str">
        <f t="shared" si="5"/>
        <v>UK</v>
      </c>
      <c r="B313" s="62" t="s">
        <v>64</v>
      </c>
      <c r="C313" s="62" t="s">
        <v>176</v>
      </c>
      <c r="D313" s="63" t="s">
        <v>97</v>
      </c>
      <c r="E313" s="64">
        <v>43831</v>
      </c>
      <c r="F313" s="64">
        <v>43921</v>
      </c>
      <c r="G313" s="65">
        <v>43995</v>
      </c>
      <c r="H313" s="66" t="s">
        <v>132</v>
      </c>
      <c r="I313" s="67">
        <v>3</v>
      </c>
      <c r="J313" s="68">
        <v>2020</v>
      </c>
      <c r="K313" s="69">
        <v>1</v>
      </c>
      <c r="L313" s="70">
        <v>3</v>
      </c>
      <c r="M313" s="71" t="s">
        <v>140</v>
      </c>
      <c r="N313" s="71" t="s">
        <v>18</v>
      </c>
      <c r="O313" s="71" t="s">
        <v>114</v>
      </c>
      <c r="P313" s="71" t="s">
        <v>102</v>
      </c>
      <c r="Q313" s="61" t="s">
        <v>74</v>
      </c>
      <c r="R313" s="63" t="s">
        <v>106</v>
      </c>
      <c r="S313" s="72" t="s">
        <v>444</v>
      </c>
      <c r="T313" s="61" t="s">
        <v>825</v>
      </c>
      <c r="U313" s="73" t="s">
        <v>834</v>
      </c>
      <c r="V313" s="62">
        <v>106489</v>
      </c>
      <c r="W313" s="62" t="s">
        <v>495</v>
      </c>
      <c r="X313" s="62" t="s">
        <v>402</v>
      </c>
      <c r="Y313" s="93">
        <v>1</v>
      </c>
      <c r="Z313" s="94">
        <v>1</v>
      </c>
      <c r="AA313" s="74">
        <v>0</v>
      </c>
      <c r="AB313" s="75">
        <v>0</v>
      </c>
      <c r="AC313" s="75">
        <v>0</v>
      </c>
      <c r="AD313" s="76">
        <v>0</v>
      </c>
      <c r="AE313" s="77">
        <v>0.54504338640000005</v>
      </c>
      <c r="AF313" s="75">
        <v>0.54504338640000005</v>
      </c>
      <c r="AG313" s="78">
        <v>225.81939679051109</v>
      </c>
      <c r="AH313" s="79">
        <v>270.98327614396186</v>
      </c>
      <c r="AI313" s="74">
        <v>108.39331045874761</v>
      </c>
      <c r="AJ313" s="75">
        <v>0</v>
      </c>
      <c r="AK313" s="75">
        <v>0</v>
      </c>
      <c r="AL313" s="80">
        <v>108.39331045874761</v>
      </c>
      <c r="AM313" s="74">
        <v>0</v>
      </c>
      <c r="AN313" s="74">
        <v>0</v>
      </c>
      <c r="AO313" s="81" t="s">
        <v>403</v>
      </c>
      <c r="AP313" s="82">
        <v>0</v>
      </c>
      <c r="AQ313" s="75">
        <v>0</v>
      </c>
      <c r="AR313" s="75">
        <v>0</v>
      </c>
      <c r="AS313" s="80">
        <v>0</v>
      </c>
      <c r="AT313" s="74">
        <v>5.9887304028141166</v>
      </c>
      <c r="AU313" s="75">
        <v>6.797163843362986</v>
      </c>
      <c r="AV313" s="75">
        <v>11.625182546659691</v>
      </c>
      <c r="AW313" s="75">
        <v>5.4837982316413747</v>
      </c>
      <c r="AX313" s="80">
        <v>29.894875024478168</v>
      </c>
      <c r="AY313" s="81">
        <v>0</v>
      </c>
      <c r="AZ313" s="83" t="s">
        <v>403</v>
      </c>
      <c r="BA313" s="80" t="s">
        <v>403</v>
      </c>
      <c r="BB313" s="84">
        <v>99.156393853945019</v>
      </c>
      <c r="BC313" s="85">
        <v>8.5294483296037367</v>
      </c>
      <c r="BD313" s="86">
        <v>0.43909600000362575</v>
      </c>
      <c r="BE313" s="84">
        <v>104.64019208558639</v>
      </c>
      <c r="BF313" s="87">
        <v>6.1160973550393587</v>
      </c>
      <c r="BG313" s="88">
        <v>0.46338000000353985</v>
      </c>
      <c r="BH313" s="89">
        <v>0</v>
      </c>
      <c r="BI313" s="90">
        <v>0.47999999999691029</v>
      </c>
      <c r="BJ313" s="90">
        <v>0.13238399999895115</v>
      </c>
      <c r="BK313" s="91">
        <v>0.61238399999586146</v>
      </c>
      <c r="BL313" s="92">
        <v>87.531211307285304</v>
      </c>
      <c r="BM313" s="95">
        <v>0</v>
      </c>
      <c r="BN313" t="s">
        <v>402</v>
      </c>
      <c r="BO313">
        <v>0.85994999999999999</v>
      </c>
    </row>
    <row r="314" spans="1:67">
      <c r="A314" s="61" t="str">
        <f t="shared" si="5"/>
        <v>UK</v>
      </c>
      <c r="B314" s="62" t="s">
        <v>64</v>
      </c>
      <c r="C314" s="62" t="s">
        <v>176</v>
      </c>
      <c r="D314" s="63" t="s">
        <v>97</v>
      </c>
      <c r="E314" s="64">
        <v>43831</v>
      </c>
      <c r="F314" s="64">
        <v>43921</v>
      </c>
      <c r="G314" s="65">
        <v>43995</v>
      </c>
      <c r="H314" s="66" t="s">
        <v>132</v>
      </c>
      <c r="I314" s="67">
        <v>3</v>
      </c>
      <c r="J314" s="68">
        <v>2020</v>
      </c>
      <c r="K314" s="69">
        <v>1</v>
      </c>
      <c r="L314" s="70">
        <v>3</v>
      </c>
      <c r="M314" s="71" t="s">
        <v>140</v>
      </c>
      <c r="N314" s="71" t="s">
        <v>18</v>
      </c>
      <c r="O314" s="71" t="s">
        <v>114</v>
      </c>
      <c r="P314" s="71" t="s">
        <v>102</v>
      </c>
      <c r="Q314" s="61" t="s">
        <v>74</v>
      </c>
      <c r="R314" s="63" t="s">
        <v>106</v>
      </c>
      <c r="S314" s="72" t="s">
        <v>444</v>
      </c>
      <c r="T314" s="61" t="s">
        <v>825</v>
      </c>
      <c r="U314" s="73" t="s">
        <v>835</v>
      </c>
      <c r="V314" s="62">
        <v>107524</v>
      </c>
      <c r="W314" s="62" t="s">
        <v>495</v>
      </c>
      <c r="X314" s="62" t="s">
        <v>402</v>
      </c>
      <c r="Y314" s="93">
        <v>1</v>
      </c>
      <c r="Z314" s="94">
        <v>1</v>
      </c>
      <c r="AA314" s="74">
        <v>94</v>
      </c>
      <c r="AB314" s="75">
        <v>112</v>
      </c>
      <c r="AC314" s="75">
        <v>8311.2390262224544</v>
      </c>
      <c r="AD314" s="76">
        <v>9973.4868315599742</v>
      </c>
      <c r="AE314" s="77">
        <v>104.32803541</v>
      </c>
      <c r="AF314" s="75">
        <v>130.08186685999999</v>
      </c>
      <c r="AG314" s="78">
        <v>9126.6400839583694</v>
      </c>
      <c r="AH314" s="79">
        <v>10951.968100819815</v>
      </c>
      <c r="AI314" s="74">
        <v>4380.7872403046686</v>
      </c>
      <c r="AJ314" s="75">
        <v>0</v>
      </c>
      <c r="AK314" s="75">
        <v>0</v>
      </c>
      <c r="AL314" s="80">
        <v>4380.7872403046686</v>
      </c>
      <c r="AM314" s="74">
        <v>0</v>
      </c>
      <c r="AN314" s="74">
        <v>0</v>
      </c>
      <c r="AO314" s="81" t="s">
        <v>403</v>
      </c>
      <c r="AP314" s="82">
        <v>5</v>
      </c>
      <c r="AQ314" s="75">
        <v>0</v>
      </c>
      <c r="AR314" s="75">
        <v>0</v>
      </c>
      <c r="AS314" s="80">
        <v>0</v>
      </c>
      <c r="AT314" s="74">
        <v>242.03849502878074</v>
      </c>
      <c r="AU314" s="75">
        <v>274.71186652712368</v>
      </c>
      <c r="AV314" s="75">
        <v>469.83943152508863</v>
      </c>
      <c r="AW314" s="75">
        <v>221.63132779812781</v>
      </c>
      <c r="AX314" s="80">
        <v>1208.2211208791209</v>
      </c>
      <c r="AY314" s="81">
        <v>3.8437332740475096E-2</v>
      </c>
      <c r="AZ314" s="83">
        <v>0</v>
      </c>
      <c r="BA314" s="80">
        <v>0</v>
      </c>
      <c r="BB314" s="84">
        <v>4007.4711542996683</v>
      </c>
      <c r="BC314" s="85">
        <v>8.5294483293824523</v>
      </c>
      <c r="BD314" s="86">
        <v>0.43909599999932991</v>
      </c>
      <c r="BE314" s="84">
        <v>4229.1024820977964</v>
      </c>
      <c r="BF314" s="87">
        <v>6.1160973549150075</v>
      </c>
      <c r="BG314" s="88">
        <v>0.46337999999925134</v>
      </c>
      <c r="BH314" s="89">
        <v>0</v>
      </c>
      <c r="BI314" s="90">
        <v>0.48000000000050963</v>
      </c>
      <c r="BJ314" s="90">
        <v>0.13238400000047948</v>
      </c>
      <c r="BK314" s="91">
        <v>0.61238400000098914</v>
      </c>
      <c r="BL314" s="92">
        <v>3537.6317227745803</v>
      </c>
      <c r="BM314" s="95">
        <v>0</v>
      </c>
      <c r="BN314" t="s">
        <v>402</v>
      </c>
      <c r="BO314">
        <v>0.85994999999999999</v>
      </c>
    </row>
    <row r="315" spans="1:67">
      <c r="A315" s="61" t="str">
        <f t="shared" si="5"/>
        <v>UK</v>
      </c>
      <c r="B315" s="62" t="s">
        <v>64</v>
      </c>
      <c r="C315" s="62" t="s">
        <v>176</v>
      </c>
      <c r="D315" s="63" t="s">
        <v>97</v>
      </c>
      <c r="E315" s="64">
        <v>43831</v>
      </c>
      <c r="F315" s="64">
        <v>43921</v>
      </c>
      <c r="G315" s="65">
        <v>43995</v>
      </c>
      <c r="H315" s="66" t="s">
        <v>132</v>
      </c>
      <c r="I315" s="67">
        <v>3</v>
      </c>
      <c r="J315" s="68">
        <v>2020</v>
      </c>
      <c r="K315" s="69">
        <v>1</v>
      </c>
      <c r="L315" s="70">
        <v>3</v>
      </c>
      <c r="M315" s="71" t="s">
        <v>140</v>
      </c>
      <c r="N315" s="71" t="s">
        <v>18</v>
      </c>
      <c r="O315" s="71" t="s">
        <v>114</v>
      </c>
      <c r="P315" s="71" t="s">
        <v>102</v>
      </c>
      <c r="Q315" s="61" t="s">
        <v>74</v>
      </c>
      <c r="R315" s="63" t="s">
        <v>106</v>
      </c>
      <c r="S315" s="72" t="s">
        <v>444</v>
      </c>
      <c r="T315" s="61" t="s">
        <v>825</v>
      </c>
      <c r="U315" s="73" t="s">
        <v>836</v>
      </c>
      <c r="V315" s="62">
        <v>106490</v>
      </c>
      <c r="W315" s="62" t="s">
        <v>495</v>
      </c>
      <c r="X315" s="62" t="s">
        <v>402</v>
      </c>
      <c r="Y315" s="93">
        <v>1</v>
      </c>
      <c r="Z315" s="94">
        <v>1</v>
      </c>
      <c r="AA315" s="74">
        <v>0</v>
      </c>
      <c r="AB315" s="75">
        <v>0</v>
      </c>
      <c r="AC315" s="75">
        <v>0</v>
      </c>
      <c r="AD315" s="76">
        <v>0</v>
      </c>
      <c r="AE315" s="77">
        <v>14.918066620999999</v>
      </c>
      <c r="AF315" s="75">
        <v>15.595782415</v>
      </c>
      <c r="AG315" s="78">
        <v>11442.347299377872</v>
      </c>
      <c r="AH315" s="79">
        <v>13730.816759113901</v>
      </c>
      <c r="AI315" s="74">
        <v>5492.3267037618471</v>
      </c>
      <c r="AJ315" s="75">
        <v>0</v>
      </c>
      <c r="AK315" s="75">
        <v>0</v>
      </c>
      <c r="AL315" s="80">
        <v>5492.3267037618471</v>
      </c>
      <c r="AM315" s="74">
        <v>0</v>
      </c>
      <c r="AN315" s="74">
        <v>0</v>
      </c>
      <c r="AO315" s="81" t="s">
        <v>403</v>
      </c>
      <c r="AP315" s="82">
        <v>0</v>
      </c>
      <c r="AQ315" s="75">
        <v>0</v>
      </c>
      <c r="AR315" s="75">
        <v>0</v>
      </c>
      <c r="AS315" s="80">
        <v>0</v>
      </c>
      <c r="AT315" s="74">
        <v>303.45105037502185</v>
      </c>
      <c r="AU315" s="75">
        <v>344.41465371242515</v>
      </c>
      <c r="AV315" s="75">
        <v>589.05203897901038</v>
      </c>
      <c r="AW315" s="75">
        <v>277.86596182336183</v>
      </c>
      <c r="AX315" s="80">
        <v>1514.7837048898193</v>
      </c>
      <c r="AY315" s="81">
        <v>0</v>
      </c>
      <c r="AZ315" s="83" t="s">
        <v>403</v>
      </c>
      <c r="BA315" s="80" t="s">
        <v>403</v>
      </c>
      <c r="BB315" s="84">
        <v>5024.288929705217</v>
      </c>
      <c r="BC315" s="85">
        <v>8.5294483292404788</v>
      </c>
      <c r="BD315" s="86">
        <v>0.43909599999454579</v>
      </c>
      <c r="BE315" s="84">
        <v>5302.1548915285784</v>
      </c>
      <c r="BF315" s="87">
        <v>6.1160973547915622</v>
      </c>
      <c r="BG315" s="88">
        <v>0.46337999999500629</v>
      </c>
      <c r="BH315" s="89">
        <v>0</v>
      </c>
      <c r="BI315" s="90">
        <v>0.48000000000528459</v>
      </c>
      <c r="BJ315" s="90">
        <v>0.13238400000078474</v>
      </c>
      <c r="BK315" s="91">
        <v>0.6123840000060693</v>
      </c>
      <c r="BL315" s="92">
        <v>4435.2368907262062</v>
      </c>
      <c r="BM315" s="95">
        <v>0</v>
      </c>
      <c r="BN315" t="s">
        <v>402</v>
      </c>
      <c r="BO315">
        <v>0.85994999999999999</v>
      </c>
    </row>
    <row r="316" spans="1:67">
      <c r="A316" s="61" t="str">
        <f t="shared" si="5"/>
        <v>UK</v>
      </c>
      <c r="B316" s="62" t="s">
        <v>64</v>
      </c>
      <c r="C316" s="62" t="s">
        <v>176</v>
      </c>
      <c r="D316" s="63" t="s">
        <v>97</v>
      </c>
      <c r="E316" s="64">
        <v>43831</v>
      </c>
      <c r="F316" s="64">
        <v>43921</v>
      </c>
      <c r="G316" s="65">
        <v>43995</v>
      </c>
      <c r="H316" s="66" t="s">
        <v>132</v>
      </c>
      <c r="I316" s="67">
        <v>3</v>
      </c>
      <c r="J316" s="68">
        <v>2020</v>
      </c>
      <c r="K316" s="69">
        <v>1</v>
      </c>
      <c r="L316" s="70">
        <v>3</v>
      </c>
      <c r="M316" s="71" t="s">
        <v>140</v>
      </c>
      <c r="N316" s="71" t="s">
        <v>18</v>
      </c>
      <c r="O316" s="71" t="s">
        <v>114</v>
      </c>
      <c r="P316" s="71" t="s">
        <v>102</v>
      </c>
      <c r="Q316" s="61" t="s">
        <v>74</v>
      </c>
      <c r="R316" s="63" t="s">
        <v>106</v>
      </c>
      <c r="S316" s="72" t="s">
        <v>444</v>
      </c>
      <c r="T316" s="61" t="s">
        <v>825</v>
      </c>
      <c r="U316" s="73" t="s">
        <v>837</v>
      </c>
      <c r="V316" s="62">
        <v>107434</v>
      </c>
      <c r="W316" s="62" t="s">
        <v>495</v>
      </c>
      <c r="X316" s="62" t="s">
        <v>402</v>
      </c>
      <c r="Y316" s="93">
        <v>1</v>
      </c>
      <c r="Z316" s="94">
        <v>1</v>
      </c>
      <c r="AA316" s="74">
        <v>1930</v>
      </c>
      <c r="AB316" s="75">
        <v>2190</v>
      </c>
      <c r="AC316" s="75">
        <v>341289.80360486079</v>
      </c>
      <c r="AD316" s="76">
        <v>409547.7643235072</v>
      </c>
      <c r="AE316" s="77">
        <v>1833.3422998999999</v>
      </c>
      <c r="AF316" s="75">
        <v>2017.0025344999999</v>
      </c>
      <c r="AG316" s="78">
        <v>386529.97544043255</v>
      </c>
      <c r="AH316" s="79">
        <v>463835.97052154195</v>
      </c>
      <c r="AI316" s="74">
        <v>185534.38820861679</v>
      </c>
      <c r="AJ316" s="75">
        <v>0</v>
      </c>
      <c r="AK316" s="75">
        <v>0</v>
      </c>
      <c r="AL316" s="80">
        <v>185534.38820861679</v>
      </c>
      <c r="AM316" s="74">
        <v>87</v>
      </c>
      <c r="AN316" s="74">
        <v>27</v>
      </c>
      <c r="AO316" s="81">
        <v>0.31034482758620691</v>
      </c>
      <c r="AP316" s="82">
        <v>316</v>
      </c>
      <c r="AQ316" s="75">
        <v>45158.06760393046</v>
      </c>
      <c r="AR316" s="75">
        <v>64827.299610442467</v>
      </c>
      <c r="AS316" s="80">
        <v>109985.36721437293</v>
      </c>
      <c r="AT316" s="74">
        <v>10250.77494854352</v>
      </c>
      <c r="AU316" s="75">
        <v>11634.552260015118</v>
      </c>
      <c r="AV316" s="75">
        <v>19898.563135065993</v>
      </c>
      <c r="AW316" s="75">
        <v>9386.4939234839239</v>
      </c>
      <c r="AX316" s="80">
        <v>51170.384267108559</v>
      </c>
      <c r="AY316" s="81">
        <v>0.15666812242173711</v>
      </c>
      <c r="AZ316" s="83">
        <v>348.05495953915488</v>
      </c>
      <c r="BA316" s="80">
        <v>54.529117010573074</v>
      </c>
      <c r="BB316" s="84">
        <v>59738.398885400267</v>
      </c>
      <c r="BC316" s="85">
        <v>3.0021463600116443</v>
      </c>
      <c r="BD316" s="86">
        <v>0.15455049460868125</v>
      </c>
      <c r="BE316" s="84">
        <v>69124.892808884208</v>
      </c>
      <c r="BF316" s="87">
        <v>2.3604151656826926</v>
      </c>
      <c r="BG316" s="88">
        <v>0.17883449460839274</v>
      </c>
      <c r="BH316" s="89">
        <v>0.28454550540110074</v>
      </c>
      <c r="BI316" s="90">
        <v>0.47999999999277976</v>
      </c>
      <c r="BJ316" s="90">
        <v>0.13238399999586664</v>
      </c>
      <c r="BK316" s="91">
        <v>0.89692950538974725</v>
      </c>
      <c r="BL316" s="92">
        <v>39839.835750334256</v>
      </c>
      <c r="BM316" s="95">
        <v>0</v>
      </c>
      <c r="BN316" t="s">
        <v>402</v>
      </c>
      <c r="BO316">
        <v>0.85994999999999999</v>
      </c>
    </row>
    <row r="317" spans="1:67">
      <c r="A317" s="61" t="str">
        <f t="shared" si="5"/>
        <v>UK</v>
      </c>
      <c r="B317" s="62" t="s">
        <v>64</v>
      </c>
      <c r="C317" s="62" t="s">
        <v>176</v>
      </c>
      <c r="D317" s="63" t="s">
        <v>97</v>
      </c>
      <c r="E317" s="64">
        <v>43831</v>
      </c>
      <c r="F317" s="64">
        <v>43921</v>
      </c>
      <c r="G317" s="65">
        <v>43995</v>
      </c>
      <c r="H317" s="66" t="s">
        <v>132</v>
      </c>
      <c r="I317" s="67">
        <v>3</v>
      </c>
      <c r="J317" s="68">
        <v>2020</v>
      </c>
      <c r="K317" s="69">
        <v>1</v>
      </c>
      <c r="L317" s="70">
        <v>3</v>
      </c>
      <c r="M317" s="71" t="s">
        <v>140</v>
      </c>
      <c r="N317" s="71" t="s">
        <v>18</v>
      </c>
      <c r="O317" s="71" t="s">
        <v>114</v>
      </c>
      <c r="P317" s="71" t="s">
        <v>102</v>
      </c>
      <c r="Q317" s="61" t="s">
        <v>74</v>
      </c>
      <c r="R317" s="63" t="s">
        <v>106</v>
      </c>
      <c r="S317" s="72" t="s">
        <v>444</v>
      </c>
      <c r="T317" s="61" t="s">
        <v>825</v>
      </c>
      <c r="U317" s="73" t="s">
        <v>838</v>
      </c>
      <c r="V317" s="62">
        <v>106491</v>
      </c>
      <c r="W317" s="62" t="s">
        <v>495</v>
      </c>
      <c r="X317" s="62" t="s">
        <v>402</v>
      </c>
      <c r="Y317" s="93">
        <v>1</v>
      </c>
      <c r="Z317" s="94">
        <v>1</v>
      </c>
      <c r="AA317" s="74">
        <v>0</v>
      </c>
      <c r="AB317" s="75">
        <v>0</v>
      </c>
      <c r="AC317" s="75">
        <v>0</v>
      </c>
      <c r="AD317" s="76">
        <v>0</v>
      </c>
      <c r="AE317" s="77">
        <v>4.3946202026999996</v>
      </c>
      <c r="AF317" s="75">
        <v>4.4982120394000003</v>
      </c>
      <c r="AG317" s="78">
        <v>2435.7676186987615</v>
      </c>
      <c r="AH317" s="79">
        <v>2922.9211423919996</v>
      </c>
      <c r="AI317" s="74">
        <v>1169.1684570033142</v>
      </c>
      <c r="AJ317" s="75">
        <v>0</v>
      </c>
      <c r="AK317" s="75">
        <v>0</v>
      </c>
      <c r="AL317" s="80">
        <v>1169.1684570033142</v>
      </c>
      <c r="AM317" s="74">
        <v>0</v>
      </c>
      <c r="AN317" s="74">
        <v>0</v>
      </c>
      <c r="AO317" s="81" t="s">
        <v>403</v>
      </c>
      <c r="AP317" s="82">
        <v>0</v>
      </c>
      <c r="AQ317" s="75">
        <v>0</v>
      </c>
      <c r="AR317" s="75">
        <v>0</v>
      </c>
      <c r="AS317" s="80">
        <v>0</v>
      </c>
      <c r="AT317" s="74">
        <v>64.596557247514383</v>
      </c>
      <c r="AU317" s="75">
        <v>73.316605322402467</v>
      </c>
      <c r="AV317" s="75">
        <v>125.39331700680273</v>
      </c>
      <c r="AW317" s="75">
        <v>59.150180852375136</v>
      </c>
      <c r="AX317" s="80">
        <v>322.45666042909465</v>
      </c>
      <c r="AY317" s="81">
        <v>0</v>
      </c>
      <c r="AZ317" s="83" t="s">
        <v>403</v>
      </c>
      <c r="BA317" s="80" t="s">
        <v>403</v>
      </c>
      <c r="BB317" s="84">
        <v>1069.5358182731554</v>
      </c>
      <c r="BC317" s="85">
        <v>8.5294483294921672</v>
      </c>
      <c r="BD317" s="86">
        <v>0.43909599998891685</v>
      </c>
      <c r="BE317" s="84">
        <v>1128.6859991255305</v>
      </c>
      <c r="BF317" s="87">
        <v>6.1160973549271969</v>
      </c>
      <c r="BG317" s="88">
        <v>0.46337999998887353</v>
      </c>
      <c r="BH317" s="89">
        <v>0</v>
      </c>
      <c r="BI317" s="90">
        <v>0.48000000001145787</v>
      </c>
      <c r="BJ317" s="90">
        <v>0.13238399999806133</v>
      </c>
      <c r="BK317" s="91">
        <v>0.6123840000095192</v>
      </c>
      <c r="BL317" s="92">
        <v>944.14250126635261</v>
      </c>
      <c r="BM317" s="95">
        <v>0</v>
      </c>
      <c r="BN317" t="s">
        <v>402</v>
      </c>
      <c r="BO317">
        <v>0.85994999999999999</v>
      </c>
    </row>
    <row r="318" spans="1:67">
      <c r="A318" s="61" t="str">
        <f t="shared" si="5"/>
        <v>UK</v>
      </c>
      <c r="B318" s="62" t="s">
        <v>64</v>
      </c>
      <c r="C318" s="62" t="s">
        <v>176</v>
      </c>
      <c r="D318" s="63" t="s">
        <v>97</v>
      </c>
      <c r="E318" s="64">
        <v>43831</v>
      </c>
      <c r="F318" s="64">
        <v>43921</v>
      </c>
      <c r="G318" s="65">
        <v>43995</v>
      </c>
      <c r="H318" s="66" t="s">
        <v>132</v>
      </c>
      <c r="I318" s="67">
        <v>3</v>
      </c>
      <c r="J318" s="68">
        <v>2020</v>
      </c>
      <c r="K318" s="69">
        <v>1</v>
      </c>
      <c r="L318" s="70">
        <v>3</v>
      </c>
      <c r="M318" s="71" t="s">
        <v>140</v>
      </c>
      <c r="N318" s="71" t="s">
        <v>18</v>
      </c>
      <c r="O318" s="71" t="s">
        <v>114</v>
      </c>
      <c r="P318" s="71" t="s">
        <v>102</v>
      </c>
      <c r="Q318" s="61" t="s">
        <v>74</v>
      </c>
      <c r="R318" s="63" t="s">
        <v>106</v>
      </c>
      <c r="S318" s="72" t="s">
        <v>444</v>
      </c>
      <c r="T318" s="61" t="s">
        <v>825</v>
      </c>
      <c r="U318" s="73" t="s">
        <v>839</v>
      </c>
      <c r="V318" s="62">
        <v>107435</v>
      </c>
      <c r="W318" s="62" t="s">
        <v>495</v>
      </c>
      <c r="X318" s="62" t="s">
        <v>402</v>
      </c>
      <c r="Y318" s="93">
        <v>1</v>
      </c>
      <c r="Z318" s="94">
        <v>1</v>
      </c>
      <c r="AA318" s="74">
        <v>648</v>
      </c>
      <c r="AB318" s="75">
        <v>662</v>
      </c>
      <c r="AC318" s="75">
        <v>146431.91462294318</v>
      </c>
      <c r="AD318" s="76">
        <v>175718.29755218327</v>
      </c>
      <c r="AE318" s="77">
        <v>628.53450119000001</v>
      </c>
      <c r="AF318" s="75">
        <v>649.06547291000004</v>
      </c>
      <c r="AG318" s="78">
        <v>188915.87003895573</v>
      </c>
      <c r="AH318" s="79">
        <v>226699.04404907263</v>
      </c>
      <c r="AI318" s="74">
        <v>90679.617619629062</v>
      </c>
      <c r="AJ318" s="75">
        <v>0</v>
      </c>
      <c r="AK318" s="75">
        <v>0</v>
      </c>
      <c r="AL318" s="80">
        <v>90679.617619629062</v>
      </c>
      <c r="AM318" s="74">
        <v>52</v>
      </c>
      <c r="AN318" s="74">
        <v>18</v>
      </c>
      <c r="AO318" s="81">
        <v>0.34615384615384615</v>
      </c>
      <c r="AP318" s="82">
        <v>162</v>
      </c>
      <c r="AQ318" s="75">
        <v>53659.107808593522</v>
      </c>
      <c r="AR318" s="75">
        <v>75662.734671783241</v>
      </c>
      <c r="AS318" s="80">
        <v>129321.84248037677</v>
      </c>
      <c r="AT318" s="74">
        <v>5010.0488735391591</v>
      </c>
      <c r="AU318" s="75">
        <v>5686.3676882376876</v>
      </c>
      <c r="AV318" s="75">
        <v>9725.3889897087047</v>
      </c>
      <c r="AW318" s="75">
        <v>4587.6329880807025</v>
      </c>
      <c r="AX318" s="80">
        <v>25009.438539566254</v>
      </c>
      <c r="AY318" s="81">
        <v>0.24958961269915378</v>
      </c>
      <c r="AZ318" s="83">
        <v>798.28297827393067</v>
      </c>
      <c r="BA318" s="80">
        <v>199.24313937171735</v>
      </c>
      <c r="BB318" s="84">
        <v>-46369.639610907674</v>
      </c>
      <c r="BC318" s="85">
        <v>-4.7678956245323958</v>
      </c>
      <c r="BD318" s="86">
        <v>-0.24545126675353393</v>
      </c>
      <c r="BE318" s="84">
        <v>-41782.006622826972</v>
      </c>
      <c r="BF318" s="87">
        <v>-2.9191603763106948</v>
      </c>
      <c r="BG318" s="88">
        <v>-0.22116726675324438</v>
      </c>
      <c r="BH318" s="89">
        <v>0.68454726674741373</v>
      </c>
      <c r="BI318" s="90">
        <v>0.48000000000492449</v>
      </c>
      <c r="BJ318" s="90">
        <v>0.13238400000174225</v>
      </c>
      <c r="BK318" s="91">
        <v>1.2969312667540804</v>
      </c>
      <c r="BL318" s="92">
        <v>-56095.028600616351</v>
      </c>
      <c r="BM318" s="95">
        <v>0</v>
      </c>
      <c r="BN318" t="s">
        <v>402</v>
      </c>
      <c r="BO318">
        <v>0.85994999999999999</v>
      </c>
    </row>
    <row r="319" spans="1:67">
      <c r="A319" s="61" t="str">
        <f t="shared" si="5"/>
        <v>UK</v>
      </c>
      <c r="B319" s="62" t="s">
        <v>64</v>
      </c>
      <c r="C319" s="62" t="s">
        <v>176</v>
      </c>
      <c r="D319" s="63" t="s">
        <v>97</v>
      </c>
      <c r="E319" s="64">
        <v>43831</v>
      </c>
      <c r="F319" s="64">
        <v>43921</v>
      </c>
      <c r="G319" s="65">
        <v>43995</v>
      </c>
      <c r="H319" s="66" t="s">
        <v>132</v>
      </c>
      <c r="I319" s="67">
        <v>3</v>
      </c>
      <c r="J319" s="68">
        <v>2020</v>
      </c>
      <c r="K319" s="69">
        <v>1</v>
      </c>
      <c r="L319" s="70">
        <v>3</v>
      </c>
      <c r="M319" s="71" t="s">
        <v>140</v>
      </c>
      <c r="N319" s="71" t="s">
        <v>18</v>
      </c>
      <c r="O319" s="71" t="s">
        <v>114</v>
      </c>
      <c r="P319" s="71" t="s">
        <v>102</v>
      </c>
      <c r="Q319" s="61" t="s">
        <v>74</v>
      </c>
      <c r="R319" s="63" t="s">
        <v>106</v>
      </c>
      <c r="S319" s="72" t="s">
        <v>444</v>
      </c>
      <c r="T319" s="61" t="s">
        <v>825</v>
      </c>
      <c r="U319" s="73" t="s">
        <v>840</v>
      </c>
      <c r="V319" s="62">
        <v>106492</v>
      </c>
      <c r="W319" s="62" t="s">
        <v>495</v>
      </c>
      <c r="X319" s="62" t="s">
        <v>402</v>
      </c>
      <c r="Y319" s="93">
        <v>1</v>
      </c>
      <c r="Z319" s="94">
        <v>1</v>
      </c>
      <c r="AA319" s="74">
        <v>0</v>
      </c>
      <c r="AB319" s="75">
        <v>0</v>
      </c>
      <c r="AC319" s="75">
        <v>0</v>
      </c>
      <c r="AD319" s="76">
        <v>0</v>
      </c>
      <c r="AE319" s="77">
        <v>10.477630602</v>
      </c>
      <c r="AF319" s="75">
        <v>11.060364513</v>
      </c>
      <c r="AG319" s="78">
        <v>7141.1298947613232</v>
      </c>
      <c r="AH319" s="79">
        <v>8569.3558737135882</v>
      </c>
      <c r="AI319" s="74">
        <v>3427.7423495552066</v>
      </c>
      <c r="AJ319" s="75">
        <v>0</v>
      </c>
      <c r="AK319" s="75">
        <v>0</v>
      </c>
      <c r="AL319" s="80">
        <v>3427.7423495552066</v>
      </c>
      <c r="AM319" s="74">
        <v>0</v>
      </c>
      <c r="AN319" s="74">
        <v>0</v>
      </c>
      <c r="AO319" s="81" t="s">
        <v>403</v>
      </c>
      <c r="AP319" s="82">
        <v>0</v>
      </c>
      <c r="AQ319" s="75">
        <v>0</v>
      </c>
      <c r="AR319" s="75">
        <v>0</v>
      </c>
      <c r="AS319" s="80">
        <v>0</v>
      </c>
      <c r="AT319" s="74">
        <v>189.38276481190766</v>
      </c>
      <c r="AU319" s="75">
        <v>214.94800983778129</v>
      </c>
      <c r="AV319" s="75">
        <v>367.62536698645266</v>
      </c>
      <c r="AW319" s="75">
        <v>173.4151983603698</v>
      </c>
      <c r="AX319" s="80">
        <v>945.37133999651144</v>
      </c>
      <c r="AY319" s="81">
        <v>0</v>
      </c>
      <c r="AZ319" s="83" t="s">
        <v>403</v>
      </c>
      <c r="BA319" s="80" t="s">
        <v>403</v>
      </c>
      <c r="BB319" s="84">
        <v>3135.641572196058</v>
      </c>
      <c r="BC319" s="85">
        <v>8.5294483291508261</v>
      </c>
      <c r="BD319" s="86">
        <v>0.43909599998962912</v>
      </c>
      <c r="BE319" s="84">
        <v>3309.0567705564276</v>
      </c>
      <c r="BF319" s="87">
        <v>6.116097354798578</v>
      </c>
      <c r="BG319" s="88">
        <v>0.46337999998906698</v>
      </c>
      <c r="BH319" s="89">
        <v>0</v>
      </c>
      <c r="BI319" s="90">
        <v>0.48000000000977039</v>
      </c>
      <c r="BJ319" s="90">
        <v>0.13238400000118028</v>
      </c>
      <c r="BK319" s="91">
        <v>0.61238400001095061</v>
      </c>
      <c r="BL319" s="92">
        <v>2768.0162052096048</v>
      </c>
      <c r="BM319" s="95">
        <v>0</v>
      </c>
      <c r="BN319" t="s">
        <v>402</v>
      </c>
      <c r="BO319">
        <v>0.85994999999999999</v>
      </c>
    </row>
    <row r="320" spans="1:67">
      <c r="A320" s="61" t="str">
        <f t="shared" si="5"/>
        <v>UK</v>
      </c>
      <c r="B320" s="62" t="s">
        <v>64</v>
      </c>
      <c r="C320" s="62" t="s">
        <v>176</v>
      </c>
      <c r="D320" s="63" t="s">
        <v>97</v>
      </c>
      <c r="E320" s="64">
        <v>43831</v>
      </c>
      <c r="F320" s="64">
        <v>43921</v>
      </c>
      <c r="G320" s="65">
        <v>43995</v>
      </c>
      <c r="H320" s="66" t="s">
        <v>132</v>
      </c>
      <c r="I320" s="67">
        <v>3</v>
      </c>
      <c r="J320" s="68">
        <v>2020</v>
      </c>
      <c r="K320" s="69">
        <v>1</v>
      </c>
      <c r="L320" s="70">
        <v>3</v>
      </c>
      <c r="M320" s="71" t="s">
        <v>140</v>
      </c>
      <c r="N320" s="71" t="s">
        <v>18</v>
      </c>
      <c r="O320" s="71" t="s">
        <v>114</v>
      </c>
      <c r="P320" s="71" t="s">
        <v>102</v>
      </c>
      <c r="Q320" s="61" t="s">
        <v>74</v>
      </c>
      <c r="R320" s="63" t="s">
        <v>106</v>
      </c>
      <c r="S320" s="72" t="s">
        <v>444</v>
      </c>
      <c r="T320" s="61" t="s">
        <v>825</v>
      </c>
      <c r="U320" s="73" t="s">
        <v>841</v>
      </c>
      <c r="V320" s="62">
        <v>107436</v>
      </c>
      <c r="W320" s="62" t="s">
        <v>495</v>
      </c>
      <c r="X320" s="62" t="s">
        <v>402</v>
      </c>
      <c r="Y320" s="93">
        <v>1</v>
      </c>
      <c r="Z320" s="94">
        <v>1</v>
      </c>
      <c r="AA320" s="74">
        <v>556</v>
      </c>
      <c r="AB320" s="75">
        <v>680</v>
      </c>
      <c r="AC320" s="75">
        <v>105861.96874585732</v>
      </c>
      <c r="AD320" s="76">
        <v>127034.36249781965</v>
      </c>
      <c r="AE320" s="77">
        <v>687.13446394000005</v>
      </c>
      <c r="AF320" s="75">
        <v>865.27009634000001</v>
      </c>
      <c r="AG320" s="78">
        <v>150268.74864817722</v>
      </c>
      <c r="AH320" s="79">
        <v>180322.49837781268</v>
      </c>
      <c r="AI320" s="74">
        <v>72128.999351125065</v>
      </c>
      <c r="AJ320" s="75">
        <v>0</v>
      </c>
      <c r="AK320" s="75">
        <v>0</v>
      </c>
      <c r="AL320" s="80">
        <v>72128.999351125065</v>
      </c>
      <c r="AM320" s="74">
        <v>23</v>
      </c>
      <c r="AN320" s="74">
        <v>3</v>
      </c>
      <c r="AO320" s="81">
        <v>0.13043478260869565</v>
      </c>
      <c r="AP320" s="82">
        <v>102</v>
      </c>
      <c r="AQ320" s="75">
        <v>5521.8211412291412</v>
      </c>
      <c r="AR320" s="75">
        <v>7176.0454315948609</v>
      </c>
      <c r="AS320" s="80">
        <v>12697.866572824001</v>
      </c>
      <c r="AT320" s="74">
        <v>3985.1272141403574</v>
      </c>
      <c r="AU320" s="75">
        <v>4523.08933426362</v>
      </c>
      <c r="AV320" s="75">
        <v>7735.8351804174663</v>
      </c>
      <c r="AW320" s="75">
        <v>3649.1262922262922</v>
      </c>
      <c r="AX320" s="80">
        <v>19893.178021047737</v>
      </c>
      <c r="AY320" s="81">
        <v>0.11788226639456176</v>
      </c>
      <c r="AZ320" s="83">
        <v>124.48888796886276</v>
      </c>
      <c r="BA320" s="80">
        <v>14.675032254708233</v>
      </c>
      <c r="BB320" s="84">
        <v>53284.53988359787</v>
      </c>
      <c r="BC320" s="85">
        <v>6.888013852529153</v>
      </c>
      <c r="BD320" s="86">
        <v>0.35459495312862727</v>
      </c>
      <c r="BE320" s="84">
        <v>56933.666175824168</v>
      </c>
      <c r="BF320" s="87">
        <v>5.0007781152906547</v>
      </c>
      <c r="BG320" s="88">
        <v>0.37887895312898634</v>
      </c>
      <c r="BH320" s="89">
        <v>8.4501046871385044E-2</v>
      </c>
      <c r="BI320" s="90">
        <v>0.48</v>
      </c>
      <c r="BJ320" s="90">
        <v>0.13238400000004955</v>
      </c>
      <c r="BK320" s="91">
        <v>0.6968850468714346</v>
      </c>
      <c r="BL320" s="92">
        <v>45548.70470318041</v>
      </c>
      <c r="BM320" s="95">
        <v>0</v>
      </c>
      <c r="BN320" t="s">
        <v>402</v>
      </c>
      <c r="BO320">
        <v>0.85994999999999999</v>
      </c>
    </row>
    <row r="321" spans="1:67">
      <c r="A321" s="61" t="str">
        <f t="shared" si="5"/>
        <v>UK</v>
      </c>
      <c r="B321" s="62" t="s">
        <v>64</v>
      </c>
      <c r="C321" s="62" t="s">
        <v>176</v>
      </c>
      <c r="D321" s="63" t="s">
        <v>97</v>
      </c>
      <c r="E321" s="64">
        <v>43831</v>
      </c>
      <c r="F321" s="64">
        <v>43921</v>
      </c>
      <c r="G321" s="65">
        <v>43995</v>
      </c>
      <c r="H321" s="66" t="s">
        <v>132</v>
      </c>
      <c r="I321" s="67">
        <v>3</v>
      </c>
      <c r="J321" s="68">
        <v>2020</v>
      </c>
      <c r="K321" s="69">
        <v>1</v>
      </c>
      <c r="L321" s="70">
        <v>3</v>
      </c>
      <c r="M321" s="71" t="s">
        <v>140</v>
      </c>
      <c r="N321" s="71" t="s">
        <v>18</v>
      </c>
      <c r="O321" s="71" t="s">
        <v>114</v>
      </c>
      <c r="P321" s="71" t="s">
        <v>102</v>
      </c>
      <c r="Q321" s="61" t="s">
        <v>74</v>
      </c>
      <c r="R321" s="63" t="s">
        <v>106</v>
      </c>
      <c r="S321" s="72" t="s">
        <v>444</v>
      </c>
      <c r="T321" s="61" t="s">
        <v>825</v>
      </c>
      <c r="U321" s="73" t="s">
        <v>842</v>
      </c>
      <c r="V321" s="62">
        <v>107437</v>
      </c>
      <c r="W321" s="62" t="s">
        <v>495</v>
      </c>
      <c r="X321" s="62" t="s">
        <v>402</v>
      </c>
      <c r="Y321" s="93">
        <v>1</v>
      </c>
      <c r="Z321" s="94">
        <v>1</v>
      </c>
      <c r="AA321" s="74">
        <v>13</v>
      </c>
      <c r="AB321" s="75">
        <v>15</v>
      </c>
      <c r="AC321" s="75">
        <v>1140.5701881853595</v>
      </c>
      <c r="AD321" s="76">
        <v>1368.6842258270831</v>
      </c>
      <c r="AE321" s="77">
        <v>12.848061211999999</v>
      </c>
      <c r="AF321" s="75">
        <v>14.828477878999999</v>
      </c>
      <c r="AG321" s="78">
        <v>1145.815513460085</v>
      </c>
      <c r="AH321" s="79">
        <v>1374.9786161986162</v>
      </c>
      <c r="AI321" s="74">
        <v>549.99144645618935</v>
      </c>
      <c r="AJ321" s="75">
        <v>0</v>
      </c>
      <c r="AK321" s="75">
        <v>0</v>
      </c>
      <c r="AL321" s="80">
        <v>549.99144645618935</v>
      </c>
      <c r="AM321" s="74">
        <v>0</v>
      </c>
      <c r="AN321" s="74">
        <v>0</v>
      </c>
      <c r="AO321" s="81" t="s">
        <v>403</v>
      </c>
      <c r="AP321" s="82">
        <v>0</v>
      </c>
      <c r="AQ321" s="75">
        <v>0</v>
      </c>
      <c r="AR321" s="75">
        <v>0</v>
      </c>
      <c r="AS321" s="80">
        <v>0</v>
      </c>
      <c r="AT321" s="74">
        <v>30.387027416710275</v>
      </c>
      <c r="AU321" s="75">
        <v>34.489046955055528</v>
      </c>
      <c r="AV321" s="75">
        <v>58.986582632711205</v>
      </c>
      <c r="AW321" s="75">
        <v>27.824983929298217</v>
      </c>
      <c r="AX321" s="80">
        <v>151.68764093377524</v>
      </c>
      <c r="AY321" s="81">
        <v>0</v>
      </c>
      <c r="AZ321" s="83" t="s">
        <v>403</v>
      </c>
      <c r="BA321" s="80" t="s">
        <v>403</v>
      </c>
      <c r="BB321" s="84">
        <v>503.12300870283161</v>
      </c>
      <c r="BC321" s="85">
        <v>8.5294483295566117</v>
      </c>
      <c r="BD321" s="86">
        <v>0.43909600000398158</v>
      </c>
      <c r="BE321" s="84">
        <v>530.94799263212985</v>
      </c>
      <c r="BF321" s="87">
        <v>6.1160973549863797</v>
      </c>
      <c r="BG321" s="88">
        <v>0.46338000000435992</v>
      </c>
      <c r="BH321" s="89">
        <v>0</v>
      </c>
      <c r="BI321" s="90">
        <v>0.47999999999594051</v>
      </c>
      <c r="BJ321" s="90">
        <v>0.13238399999989123</v>
      </c>
      <c r="BK321" s="91">
        <v>0.61238399999583171</v>
      </c>
      <c r="BL321" s="92">
        <v>444.13642607012036</v>
      </c>
      <c r="BM321" s="95">
        <v>0</v>
      </c>
      <c r="BN321" t="s">
        <v>402</v>
      </c>
      <c r="BO321">
        <v>0.85994999999999999</v>
      </c>
    </row>
    <row r="322" spans="1:67">
      <c r="A322" s="61" t="str">
        <f t="shared" si="5"/>
        <v>UK</v>
      </c>
      <c r="B322" s="62" t="s">
        <v>64</v>
      </c>
      <c r="C322" s="62" t="s">
        <v>176</v>
      </c>
      <c r="D322" s="63" t="s">
        <v>97</v>
      </c>
      <c r="E322" s="64">
        <v>43831</v>
      </c>
      <c r="F322" s="64">
        <v>43921</v>
      </c>
      <c r="G322" s="65">
        <v>43995</v>
      </c>
      <c r="H322" s="66" t="s">
        <v>132</v>
      </c>
      <c r="I322" s="67">
        <v>3</v>
      </c>
      <c r="J322" s="68">
        <v>2020</v>
      </c>
      <c r="K322" s="69">
        <v>1</v>
      </c>
      <c r="L322" s="70">
        <v>3</v>
      </c>
      <c r="M322" s="71" t="s">
        <v>140</v>
      </c>
      <c r="N322" s="71" t="s">
        <v>18</v>
      </c>
      <c r="O322" s="71" t="s">
        <v>114</v>
      </c>
      <c r="P322" s="71" t="s">
        <v>102</v>
      </c>
      <c r="Q322" s="61" t="s">
        <v>74</v>
      </c>
      <c r="R322" s="63" t="s">
        <v>106</v>
      </c>
      <c r="S322" s="72" t="s">
        <v>444</v>
      </c>
      <c r="T322" s="61" t="s">
        <v>825</v>
      </c>
      <c r="U322" s="73" t="s">
        <v>843</v>
      </c>
      <c r="V322" s="62">
        <v>106494</v>
      </c>
      <c r="W322" s="62" t="s">
        <v>495</v>
      </c>
      <c r="X322" s="62" t="s">
        <v>402</v>
      </c>
      <c r="Y322" s="93">
        <v>1</v>
      </c>
      <c r="Z322" s="94">
        <v>1</v>
      </c>
      <c r="AA322" s="74">
        <v>0</v>
      </c>
      <c r="AB322" s="75">
        <v>0</v>
      </c>
      <c r="AC322" s="75">
        <v>0</v>
      </c>
      <c r="AD322" s="76">
        <v>0</v>
      </c>
      <c r="AE322" s="77">
        <v>0.23114754100000001</v>
      </c>
      <c r="AF322" s="75">
        <v>0.46229508200000002</v>
      </c>
      <c r="AG322" s="78">
        <v>201.14589201697774</v>
      </c>
      <c r="AH322" s="79">
        <v>241.37507041107042</v>
      </c>
      <c r="AI322" s="74">
        <v>96.55002816559103</v>
      </c>
      <c r="AJ322" s="75">
        <v>0</v>
      </c>
      <c r="AK322" s="75">
        <v>0</v>
      </c>
      <c r="AL322" s="80">
        <v>96.55002816559103</v>
      </c>
      <c r="AM322" s="74">
        <v>0</v>
      </c>
      <c r="AN322" s="74">
        <v>0</v>
      </c>
      <c r="AO322" s="81" t="s">
        <v>403</v>
      </c>
      <c r="AP322" s="82">
        <v>0</v>
      </c>
      <c r="AQ322" s="75">
        <v>0</v>
      </c>
      <c r="AR322" s="75">
        <v>0</v>
      </c>
      <c r="AS322" s="80">
        <v>0</v>
      </c>
      <c r="AT322" s="74">
        <v>5.3343890562241993</v>
      </c>
      <c r="AU322" s="75">
        <v>6.0544913496133503</v>
      </c>
      <c r="AV322" s="75">
        <v>10.354990520844236</v>
      </c>
      <c r="AW322" s="75">
        <v>4.884626841676841</v>
      </c>
      <c r="AX322" s="80">
        <v>26.628497768358628</v>
      </c>
      <c r="AY322" s="81">
        <v>0</v>
      </c>
      <c r="AZ322" s="83" t="s">
        <v>403</v>
      </c>
      <c r="BA322" s="80" t="s">
        <v>403</v>
      </c>
      <c r="BB322" s="84">
        <v>88.322356603872322</v>
      </c>
      <c r="BC322" s="85">
        <v>8.529448329873647</v>
      </c>
      <c r="BD322" s="86">
        <v>0.43909600001384796</v>
      </c>
      <c r="BE322" s="84">
        <v>93.206983445549156</v>
      </c>
      <c r="BF322" s="87">
        <v>6.1160973552245412</v>
      </c>
      <c r="BG322" s="88">
        <v>0.46338000001353252</v>
      </c>
      <c r="BH322" s="89">
        <v>0</v>
      </c>
      <c r="BI322" s="90">
        <v>0.47999999998728143</v>
      </c>
      <c r="BJ322" s="90">
        <v>0.1323839999979271</v>
      </c>
      <c r="BK322" s="91">
        <v>0.61238399998520854</v>
      </c>
      <c r="BL322" s="92">
        <v>77.967366083028082</v>
      </c>
      <c r="BM322" s="95">
        <v>0</v>
      </c>
      <c r="BN322" t="s">
        <v>402</v>
      </c>
      <c r="BO322">
        <v>0.85994999999999999</v>
      </c>
    </row>
    <row r="323" spans="1:67">
      <c r="A323" s="61" t="str">
        <f t="shared" si="5"/>
        <v>UK</v>
      </c>
      <c r="B323" s="62" t="s">
        <v>64</v>
      </c>
      <c r="C323" s="62" t="s">
        <v>176</v>
      </c>
      <c r="D323" s="63" t="s">
        <v>97</v>
      </c>
      <c r="E323" s="64">
        <v>43831</v>
      </c>
      <c r="F323" s="64">
        <v>43921</v>
      </c>
      <c r="G323" s="65">
        <v>43995</v>
      </c>
      <c r="H323" s="66" t="s">
        <v>132</v>
      </c>
      <c r="I323" s="67">
        <v>3</v>
      </c>
      <c r="J323" s="68">
        <v>2020</v>
      </c>
      <c r="K323" s="69">
        <v>1</v>
      </c>
      <c r="L323" s="70">
        <v>3</v>
      </c>
      <c r="M323" s="71" t="s">
        <v>140</v>
      </c>
      <c r="N323" s="71" t="s">
        <v>18</v>
      </c>
      <c r="O323" s="71" t="s">
        <v>114</v>
      </c>
      <c r="P323" s="71" t="s">
        <v>102</v>
      </c>
      <c r="Q323" s="61" t="s">
        <v>74</v>
      </c>
      <c r="R323" s="63" t="s">
        <v>106</v>
      </c>
      <c r="S323" s="72" t="s">
        <v>444</v>
      </c>
      <c r="T323" s="61" t="s">
        <v>825</v>
      </c>
      <c r="U323" s="73" t="s">
        <v>844</v>
      </c>
      <c r="V323" s="62">
        <v>107438</v>
      </c>
      <c r="W323" s="62" t="s">
        <v>495</v>
      </c>
      <c r="X323" s="62" t="s">
        <v>402</v>
      </c>
      <c r="Y323" s="93">
        <v>1</v>
      </c>
      <c r="Z323" s="94">
        <v>1</v>
      </c>
      <c r="AA323" s="74">
        <v>172</v>
      </c>
      <c r="AB323" s="75">
        <v>191</v>
      </c>
      <c r="AC323" s="75">
        <v>15972.827877202164</v>
      </c>
      <c r="AD323" s="76">
        <v>19167.393453107739</v>
      </c>
      <c r="AE323" s="77">
        <v>180.25163112999999</v>
      </c>
      <c r="AF323" s="75">
        <v>201.25277568000001</v>
      </c>
      <c r="AG323" s="78">
        <v>20632.294653177509</v>
      </c>
      <c r="AH323" s="79">
        <v>24758.753584510727</v>
      </c>
      <c r="AI323" s="74">
        <v>9903.5014336880049</v>
      </c>
      <c r="AJ323" s="75">
        <v>0</v>
      </c>
      <c r="AK323" s="75">
        <v>0</v>
      </c>
      <c r="AL323" s="80">
        <v>9903.5014336880049</v>
      </c>
      <c r="AM323" s="74">
        <v>0</v>
      </c>
      <c r="AN323" s="74">
        <v>0</v>
      </c>
      <c r="AO323" s="81" t="s">
        <v>403</v>
      </c>
      <c r="AP323" s="82">
        <v>15</v>
      </c>
      <c r="AQ323" s="75">
        <v>0</v>
      </c>
      <c r="AR323" s="75">
        <v>0</v>
      </c>
      <c r="AS323" s="80">
        <v>0</v>
      </c>
      <c r="AT323" s="74">
        <v>547.16845421245421</v>
      </c>
      <c r="AU323" s="75">
        <v>621.03206907378342</v>
      </c>
      <c r="AV323" s="75">
        <v>1062.1505287633001</v>
      </c>
      <c r="AW323" s="75">
        <v>501.03464336298623</v>
      </c>
      <c r="AX323" s="80">
        <v>2731.3856954125235</v>
      </c>
      <c r="AY323" s="81">
        <v>7.4533133514891742E-2</v>
      </c>
      <c r="AZ323" s="83">
        <v>0</v>
      </c>
      <c r="BA323" s="80">
        <v>0</v>
      </c>
      <c r="BB323" s="84">
        <v>9059.5580528402807</v>
      </c>
      <c r="BC323" s="85">
        <v>8.5294483291258612</v>
      </c>
      <c r="BD323" s="86">
        <v>0.43909599999072568</v>
      </c>
      <c r="BE323" s="84">
        <v>9560.5926962032663</v>
      </c>
      <c r="BF323" s="87">
        <v>6.1160973547354542</v>
      </c>
      <c r="BG323" s="88">
        <v>0.46337999999097884</v>
      </c>
      <c r="BH323" s="89">
        <v>0</v>
      </c>
      <c r="BI323" s="90">
        <v>0.48000000000789056</v>
      </c>
      <c r="BJ323" s="90">
        <v>0.13238400000224271</v>
      </c>
      <c r="BK323" s="91">
        <v>0.61238400001013327</v>
      </c>
      <c r="BL323" s="92">
        <v>7997.4075240769798</v>
      </c>
      <c r="BM323" s="95">
        <v>0</v>
      </c>
      <c r="BN323" t="s">
        <v>402</v>
      </c>
      <c r="BO323">
        <v>0.85994999999999999</v>
      </c>
    </row>
    <row r="324" spans="1:67">
      <c r="A324" s="61" t="str">
        <f t="shared" si="5"/>
        <v>UK</v>
      </c>
      <c r="B324" s="62" t="s">
        <v>64</v>
      </c>
      <c r="C324" s="62" t="s">
        <v>176</v>
      </c>
      <c r="D324" s="63" t="s">
        <v>97</v>
      </c>
      <c r="E324" s="64">
        <v>43831</v>
      </c>
      <c r="F324" s="64">
        <v>43921</v>
      </c>
      <c r="G324" s="65">
        <v>43995</v>
      </c>
      <c r="H324" s="66" t="s">
        <v>132</v>
      </c>
      <c r="I324" s="67">
        <v>3</v>
      </c>
      <c r="J324" s="68">
        <v>2020</v>
      </c>
      <c r="K324" s="69">
        <v>1</v>
      </c>
      <c r="L324" s="70">
        <v>3</v>
      </c>
      <c r="M324" s="71" t="s">
        <v>140</v>
      </c>
      <c r="N324" s="71" t="s">
        <v>18</v>
      </c>
      <c r="O324" s="71" t="s">
        <v>114</v>
      </c>
      <c r="P324" s="71" t="s">
        <v>102</v>
      </c>
      <c r="Q324" s="61" t="s">
        <v>74</v>
      </c>
      <c r="R324" s="63" t="s">
        <v>112</v>
      </c>
      <c r="S324" s="72" t="s">
        <v>444</v>
      </c>
      <c r="T324" s="61" t="s">
        <v>845</v>
      </c>
      <c r="U324" s="73" t="s">
        <v>846</v>
      </c>
      <c r="V324" s="62">
        <v>106497</v>
      </c>
      <c r="W324" s="62" t="s">
        <v>495</v>
      </c>
      <c r="X324" s="62" t="s">
        <v>402</v>
      </c>
      <c r="Y324" s="93">
        <v>1</v>
      </c>
      <c r="Z324" s="94">
        <v>1</v>
      </c>
      <c r="AA324" s="74">
        <v>0</v>
      </c>
      <c r="AB324" s="75">
        <v>0</v>
      </c>
      <c r="AC324" s="75">
        <v>0</v>
      </c>
      <c r="AD324" s="76">
        <v>0</v>
      </c>
      <c r="AE324" s="77">
        <v>0</v>
      </c>
      <c r="AF324" s="75">
        <v>0</v>
      </c>
      <c r="AG324" s="78">
        <v>0</v>
      </c>
      <c r="AH324" s="79">
        <v>0</v>
      </c>
      <c r="AI324" s="74">
        <v>0</v>
      </c>
      <c r="AJ324" s="75">
        <v>0</v>
      </c>
      <c r="AK324" s="75">
        <v>0</v>
      </c>
      <c r="AL324" s="80">
        <v>0</v>
      </c>
      <c r="AM324" s="74">
        <v>0</v>
      </c>
      <c r="AN324" s="74">
        <v>0</v>
      </c>
      <c r="AO324" s="81" t="s">
        <v>403</v>
      </c>
      <c r="AP324" s="82">
        <v>0</v>
      </c>
      <c r="AQ324" s="75">
        <v>0</v>
      </c>
      <c r="AR324" s="75">
        <v>0</v>
      </c>
      <c r="AS324" s="80">
        <v>0</v>
      </c>
      <c r="AT324" s="74">
        <v>0</v>
      </c>
      <c r="AU324" s="75">
        <v>0</v>
      </c>
      <c r="AV324" s="75">
        <v>0</v>
      </c>
      <c r="AW324" s="75">
        <v>0</v>
      </c>
      <c r="AX324" s="80">
        <v>0</v>
      </c>
      <c r="AY324" s="81" t="s">
        <v>403</v>
      </c>
      <c r="AZ324" s="83" t="s">
        <v>403</v>
      </c>
      <c r="BA324" s="80" t="s">
        <v>403</v>
      </c>
      <c r="BB324" s="84">
        <v>0</v>
      </c>
      <c r="BC324" s="85" t="s">
        <v>403</v>
      </c>
      <c r="BD324" s="86" t="s">
        <v>403</v>
      </c>
      <c r="BE324" s="84">
        <v>0</v>
      </c>
      <c r="BF324" s="87" t="s">
        <v>403</v>
      </c>
      <c r="BG324" s="88" t="s">
        <v>403</v>
      </c>
      <c r="BH324" s="89" t="s">
        <v>403</v>
      </c>
      <c r="BI324" s="90" t="s">
        <v>403</v>
      </c>
      <c r="BJ324" s="90" t="s">
        <v>403</v>
      </c>
      <c r="BK324" s="91">
        <v>0</v>
      </c>
      <c r="BL324" s="92">
        <v>0</v>
      </c>
      <c r="BM324" s="95">
        <v>0</v>
      </c>
      <c r="BN324" t="s">
        <v>402</v>
      </c>
      <c r="BO324">
        <v>0.85994999999999999</v>
      </c>
    </row>
    <row r="325" spans="1:67">
      <c r="A325" s="61" t="str">
        <f t="shared" si="5"/>
        <v>UK</v>
      </c>
      <c r="B325" s="62" t="s">
        <v>64</v>
      </c>
      <c r="C325" s="62" t="s">
        <v>176</v>
      </c>
      <c r="D325" s="63" t="s">
        <v>97</v>
      </c>
      <c r="E325" s="64">
        <v>43831</v>
      </c>
      <c r="F325" s="64">
        <v>43921</v>
      </c>
      <c r="G325" s="65">
        <v>43995</v>
      </c>
      <c r="H325" s="66" t="s">
        <v>132</v>
      </c>
      <c r="I325" s="67">
        <v>3</v>
      </c>
      <c r="J325" s="68">
        <v>2020</v>
      </c>
      <c r="K325" s="69">
        <v>1</v>
      </c>
      <c r="L325" s="70">
        <v>3</v>
      </c>
      <c r="M325" s="71" t="s">
        <v>140</v>
      </c>
      <c r="N325" s="71" t="s">
        <v>18</v>
      </c>
      <c r="O325" s="71" t="s">
        <v>114</v>
      </c>
      <c r="P325" s="71" t="s">
        <v>102</v>
      </c>
      <c r="Q325" s="61" t="s">
        <v>74</v>
      </c>
      <c r="R325" s="63" t="s">
        <v>112</v>
      </c>
      <c r="S325" s="72" t="s">
        <v>444</v>
      </c>
      <c r="T325" s="61" t="s">
        <v>845</v>
      </c>
      <c r="U325" s="73" t="s">
        <v>847</v>
      </c>
      <c r="V325" s="62">
        <v>107487</v>
      </c>
      <c r="W325" s="62" t="s">
        <v>495</v>
      </c>
      <c r="X325" s="62" t="s">
        <v>402</v>
      </c>
      <c r="Y325" s="93">
        <v>1</v>
      </c>
      <c r="Z325" s="94">
        <v>1</v>
      </c>
      <c r="AA325" s="74">
        <v>41</v>
      </c>
      <c r="AB325" s="75">
        <v>43</v>
      </c>
      <c r="AC325" s="75">
        <v>5240.6147644630501</v>
      </c>
      <c r="AD325" s="76">
        <v>6288.7377173091463</v>
      </c>
      <c r="AE325" s="77">
        <v>84.649163008000002</v>
      </c>
      <c r="AF325" s="75">
        <v>88.560593733999994</v>
      </c>
      <c r="AG325" s="78">
        <v>10696.245272748416</v>
      </c>
      <c r="AH325" s="79">
        <v>12835.494327577186</v>
      </c>
      <c r="AI325" s="74">
        <v>5134.1977309145877</v>
      </c>
      <c r="AJ325" s="75">
        <v>0</v>
      </c>
      <c r="AK325" s="75">
        <v>0</v>
      </c>
      <c r="AL325" s="80">
        <v>5134.1977309145877</v>
      </c>
      <c r="AM325" s="74">
        <v>2</v>
      </c>
      <c r="AN325" s="74">
        <v>1</v>
      </c>
      <c r="AO325" s="81">
        <v>0.5</v>
      </c>
      <c r="AP325" s="82">
        <v>9</v>
      </c>
      <c r="AQ325" s="75">
        <v>60.829119568579564</v>
      </c>
      <c r="AR325" s="75">
        <v>277.12076442816442</v>
      </c>
      <c r="AS325" s="80">
        <v>337.94988399674401</v>
      </c>
      <c r="AT325" s="74">
        <v>283.6644246293389</v>
      </c>
      <c r="AU325" s="75">
        <v>321.95698270829701</v>
      </c>
      <c r="AV325" s="75">
        <v>550.64270664573519</v>
      </c>
      <c r="AW325" s="75">
        <v>259.74762019884878</v>
      </c>
      <c r="AX325" s="80">
        <v>1416.0117341822199</v>
      </c>
      <c r="AY325" s="81">
        <v>0.10162533493206177</v>
      </c>
      <c r="AZ325" s="83">
        <v>37.549987110749335</v>
      </c>
      <c r="BA325" s="80">
        <v>3.8160300168245036</v>
      </c>
      <c r="BB325" s="84">
        <v>4358.7286303006003</v>
      </c>
      <c r="BC325" s="85">
        <v>7.9157111820330677</v>
      </c>
      <c r="BD325" s="86">
        <v>0.40750081165450114</v>
      </c>
      <c r="BE325" s="84">
        <v>4618.4762504994487</v>
      </c>
      <c r="BF325" s="87">
        <v>5.6990762321687685</v>
      </c>
      <c r="BG325" s="88">
        <v>0.43178481165407351</v>
      </c>
      <c r="BH325" s="89">
        <v>3.1595188346864381E-2</v>
      </c>
      <c r="BI325" s="90">
        <v>0.47999999999956511</v>
      </c>
      <c r="BJ325" s="90">
        <v>0.1323839999995039</v>
      </c>
      <c r="BK325" s="91">
        <v>0.64397918834593337</v>
      </c>
      <c r="BL325" s="92">
        <v>3808.0859236548649</v>
      </c>
      <c r="BM325" s="95">
        <v>0</v>
      </c>
      <c r="BN325" t="s">
        <v>402</v>
      </c>
      <c r="BO325">
        <v>0.85994999999999999</v>
      </c>
    </row>
    <row r="326" spans="1:67">
      <c r="A326" s="61" t="str">
        <f t="shared" si="5"/>
        <v>UK</v>
      </c>
      <c r="B326" s="62" t="s">
        <v>64</v>
      </c>
      <c r="C326" s="62" t="s">
        <v>176</v>
      </c>
      <c r="D326" s="63" t="s">
        <v>97</v>
      </c>
      <c r="E326" s="64">
        <v>43831</v>
      </c>
      <c r="F326" s="64">
        <v>43921</v>
      </c>
      <c r="G326" s="65">
        <v>43995</v>
      </c>
      <c r="H326" s="66" t="s">
        <v>132</v>
      </c>
      <c r="I326" s="67">
        <v>3</v>
      </c>
      <c r="J326" s="68">
        <v>2020</v>
      </c>
      <c r="K326" s="69">
        <v>1</v>
      </c>
      <c r="L326" s="70">
        <v>3</v>
      </c>
      <c r="M326" s="71" t="s">
        <v>140</v>
      </c>
      <c r="N326" s="71" t="s">
        <v>18</v>
      </c>
      <c r="O326" s="71" t="s">
        <v>114</v>
      </c>
      <c r="P326" s="71" t="s">
        <v>102</v>
      </c>
      <c r="Q326" s="61" t="s">
        <v>74</v>
      </c>
      <c r="R326" s="63" t="s">
        <v>112</v>
      </c>
      <c r="S326" s="72" t="s">
        <v>444</v>
      </c>
      <c r="T326" s="61" t="s">
        <v>845</v>
      </c>
      <c r="U326" s="73" t="s">
        <v>848</v>
      </c>
      <c r="V326" s="62">
        <v>107495</v>
      </c>
      <c r="W326" s="62" t="s">
        <v>495</v>
      </c>
      <c r="X326" s="62" t="s">
        <v>402</v>
      </c>
      <c r="Y326" s="93">
        <v>1</v>
      </c>
      <c r="Z326" s="94">
        <v>1</v>
      </c>
      <c r="AA326" s="74">
        <v>76</v>
      </c>
      <c r="AB326" s="75">
        <v>78</v>
      </c>
      <c r="AC326" s="75">
        <v>11246.777913483344</v>
      </c>
      <c r="AD326" s="76">
        <v>13496.133496133496</v>
      </c>
      <c r="AE326" s="77">
        <v>119.76791571</v>
      </c>
      <c r="AF326" s="75">
        <v>128.26041140000001</v>
      </c>
      <c r="AG326" s="78">
        <v>18533.492921681493</v>
      </c>
      <c r="AH326" s="79">
        <v>22240.191506482937</v>
      </c>
      <c r="AI326" s="74">
        <v>8896.0766025931753</v>
      </c>
      <c r="AJ326" s="75">
        <v>0</v>
      </c>
      <c r="AK326" s="75">
        <v>0</v>
      </c>
      <c r="AL326" s="80">
        <v>8896.0766025931753</v>
      </c>
      <c r="AM326" s="74">
        <v>1</v>
      </c>
      <c r="AN326" s="74">
        <v>0</v>
      </c>
      <c r="AO326" s="81">
        <v>0</v>
      </c>
      <c r="AP326" s="82">
        <v>16</v>
      </c>
      <c r="AQ326" s="75">
        <v>468.86448306296882</v>
      </c>
      <c r="AR326" s="75">
        <v>468.86448306296882</v>
      </c>
      <c r="AS326" s="80">
        <v>937.72896612593763</v>
      </c>
      <c r="AT326" s="74">
        <v>491.50823229257514</v>
      </c>
      <c r="AU326" s="75">
        <v>557.85813694982266</v>
      </c>
      <c r="AV326" s="75">
        <v>954.10421561718704</v>
      </c>
      <c r="AW326" s="75">
        <v>450.06734211291354</v>
      </c>
      <c r="AX326" s="80">
        <v>2453.5379269724986</v>
      </c>
      <c r="AY326" s="81">
        <v>0.12474620832223526</v>
      </c>
      <c r="AZ326" s="83">
        <v>58.608060382871102</v>
      </c>
      <c r="BA326" s="80">
        <v>7.3111333098837816</v>
      </c>
      <c r="BB326" s="84">
        <v>7200.253641607067</v>
      </c>
      <c r="BC326" s="85">
        <v>7.5466112860107177</v>
      </c>
      <c r="BD326" s="86">
        <v>0.38849954900750611</v>
      </c>
      <c r="BE326" s="84">
        <v>7650.3209837199811</v>
      </c>
      <c r="BF326" s="87">
        <v>5.4482808326405854</v>
      </c>
      <c r="BG326" s="88">
        <v>0.41278354900765724</v>
      </c>
      <c r="BH326" s="89">
        <v>5.0596450981397631E-2</v>
      </c>
      <c r="BI326" s="90">
        <v>0.48000000001003906</v>
      </c>
      <c r="BJ326" s="90">
        <v>0.13238400000154402</v>
      </c>
      <c r="BK326" s="91">
        <v>0.66298045099298075</v>
      </c>
      <c r="BL326" s="92">
        <v>6246.1494259898809</v>
      </c>
      <c r="BM326" s="95">
        <v>0</v>
      </c>
      <c r="BN326" t="s">
        <v>402</v>
      </c>
      <c r="BO326">
        <v>0.85994999999999999</v>
      </c>
    </row>
    <row r="327" spans="1:67">
      <c r="A327" s="61" t="str">
        <f t="shared" si="5"/>
        <v>UK</v>
      </c>
      <c r="B327" s="62" t="s">
        <v>64</v>
      </c>
      <c r="C327" s="62" t="s">
        <v>176</v>
      </c>
      <c r="D327" s="63" t="s">
        <v>97</v>
      </c>
      <c r="E327" s="64">
        <v>43831</v>
      </c>
      <c r="F327" s="64">
        <v>43921</v>
      </c>
      <c r="G327" s="65">
        <v>43995</v>
      </c>
      <c r="H327" s="66" t="s">
        <v>132</v>
      </c>
      <c r="I327" s="67">
        <v>3</v>
      </c>
      <c r="J327" s="68">
        <v>2020</v>
      </c>
      <c r="K327" s="69">
        <v>1</v>
      </c>
      <c r="L327" s="70">
        <v>3</v>
      </c>
      <c r="M327" s="71" t="s">
        <v>140</v>
      </c>
      <c r="N327" s="71" t="s">
        <v>18</v>
      </c>
      <c r="O327" s="71" t="s">
        <v>114</v>
      </c>
      <c r="P327" s="71" t="s">
        <v>102</v>
      </c>
      <c r="Q327" s="61" t="s">
        <v>74</v>
      </c>
      <c r="R327" s="63" t="s">
        <v>112</v>
      </c>
      <c r="S327" s="72" t="s">
        <v>444</v>
      </c>
      <c r="T327" s="61" t="s">
        <v>845</v>
      </c>
      <c r="U327" s="73" t="s">
        <v>849</v>
      </c>
      <c r="V327" s="62">
        <v>106510</v>
      </c>
      <c r="W327" s="62" t="s">
        <v>495</v>
      </c>
      <c r="X327" s="62" t="s">
        <v>402</v>
      </c>
      <c r="Y327" s="93">
        <v>1</v>
      </c>
      <c r="Z327" s="94">
        <v>1</v>
      </c>
      <c r="AA327" s="74">
        <v>0</v>
      </c>
      <c r="AB327" s="75">
        <v>0</v>
      </c>
      <c r="AC327" s="75">
        <v>0</v>
      </c>
      <c r="AD327" s="76">
        <v>0</v>
      </c>
      <c r="AE327" s="77">
        <v>0</v>
      </c>
      <c r="AF327" s="75">
        <v>0</v>
      </c>
      <c r="AG327" s="78">
        <v>0</v>
      </c>
      <c r="AH327" s="79">
        <v>0</v>
      </c>
      <c r="AI327" s="74">
        <v>0</v>
      </c>
      <c r="AJ327" s="75">
        <v>0</v>
      </c>
      <c r="AK327" s="75">
        <v>0</v>
      </c>
      <c r="AL327" s="80">
        <v>0</v>
      </c>
      <c r="AM327" s="74">
        <v>0</v>
      </c>
      <c r="AN327" s="74">
        <v>0</v>
      </c>
      <c r="AO327" s="81" t="s">
        <v>403</v>
      </c>
      <c r="AP327" s="82">
        <v>0</v>
      </c>
      <c r="AQ327" s="75">
        <v>0</v>
      </c>
      <c r="AR327" s="75">
        <v>0</v>
      </c>
      <c r="AS327" s="80">
        <v>0</v>
      </c>
      <c r="AT327" s="74">
        <v>0</v>
      </c>
      <c r="AU327" s="75">
        <v>0</v>
      </c>
      <c r="AV327" s="75">
        <v>0</v>
      </c>
      <c r="AW327" s="75">
        <v>0</v>
      </c>
      <c r="AX327" s="80">
        <v>0</v>
      </c>
      <c r="AY327" s="81" t="s">
        <v>403</v>
      </c>
      <c r="AZ327" s="83" t="s">
        <v>403</v>
      </c>
      <c r="BA327" s="80" t="s">
        <v>403</v>
      </c>
      <c r="BB327" s="84">
        <v>0</v>
      </c>
      <c r="BC327" s="85" t="s">
        <v>403</v>
      </c>
      <c r="BD327" s="86" t="s">
        <v>403</v>
      </c>
      <c r="BE327" s="84">
        <v>0</v>
      </c>
      <c r="BF327" s="87" t="s">
        <v>403</v>
      </c>
      <c r="BG327" s="88" t="s">
        <v>403</v>
      </c>
      <c r="BH327" s="89" t="s">
        <v>403</v>
      </c>
      <c r="BI327" s="90" t="s">
        <v>403</v>
      </c>
      <c r="BJ327" s="90" t="s">
        <v>403</v>
      </c>
      <c r="BK327" s="91">
        <v>0</v>
      </c>
      <c r="BL327" s="92">
        <v>0</v>
      </c>
      <c r="BM327" s="95">
        <v>0</v>
      </c>
      <c r="BN327" t="s">
        <v>402</v>
      </c>
      <c r="BO327">
        <v>0.85994999999999999</v>
      </c>
    </row>
    <row r="328" spans="1:67">
      <c r="A328" s="61" t="str">
        <f t="shared" si="5"/>
        <v>UK</v>
      </c>
      <c r="B328" s="62" t="s">
        <v>64</v>
      </c>
      <c r="C328" s="62" t="s">
        <v>176</v>
      </c>
      <c r="D328" s="63" t="s">
        <v>97</v>
      </c>
      <c r="E328" s="64">
        <v>43831</v>
      </c>
      <c r="F328" s="64">
        <v>43921</v>
      </c>
      <c r="G328" s="65">
        <v>43995</v>
      </c>
      <c r="H328" s="66" t="s">
        <v>132</v>
      </c>
      <c r="I328" s="67">
        <v>3</v>
      </c>
      <c r="J328" s="68">
        <v>2020</v>
      </c>
      <c r="K328" s="69">
        <v>1</v>
      </c>
      <c r="L328" s="70">
        <v>3</v>
      </c>
      <c r="M328" s="71" t="s">
        <v>140</v>
      </c>
      <c r="N328" s="71" t="s">
        <v>18</v>
      </c>
      <c r="O328" s="71" t="s">
        <v>114</v>
      </c>
      <c r="P328" s="71" t="s">
        <v>102</v>
      </c>
      <c r="Q328" s="61" t="s">
        <v>74</v>
      </c>
      <c r="R328" s="63" t="s">
        <v>112</v>
      </c>
      <c r="S328" s="72" t="s">
        <v>444</v>
      </c>
      <c r="T328" s="61" t="s">
        <v>845</v>
      </c>
      <c r="U328" s="73" t="s">
        <v>850</v>
      </c>
      <c r="V328" s="62">
        <v>107496</v>
      </c>
      <c r="W328" s="62" t="s">
        <v>495</v>
      </c>
      <c r="X328" s="62" t="s">
        <v>402</v>
      </c>
      <c r="Y328" s="93">
        <v>1</v>
      </c>
      <c r="Z328" s="94">
        <v>1</v>
      </c>
      <c r="AA328" s="74">
        <v>0</v>
      </c>
      <c r="AB328" s="75">
        <v>0</v>
      </c>
      <c r="AC328" s="75">
        <v>0</v>
      </c>
      <c r="AD328" s="76">
        <v>0</v>
      </c>
      <c r="AE328" s="77">
        <v>0.46229508200000002</v>
      </c>
      <c r="AF328" s="75">
        <v>0.46229508200000002</v>
      </c>
      <c r="AG328" s="78">
        <v>10.079693920460491</v>
      </c>
      <c r="AH328" s="79">
        <v>12.09563270422699</v>
      </c>
      <c r="AI328" s="74">
        <v>4.8382530818070819</v>
      </c>
      <c r="AJ328" s="75">
        <v>0</v>
      </c>
      <c r="AK328" s="75">
        <v>0</v>
      </c>
      <c r="AL328" s="80">
        <v>4.8382530818070819</v>
      </c>
      <c r="AM328" s="74">
        <v>0</v>
      </c>
      <c r="AN328" s="74">
        <v>0</v>
      </c>
      <c r="AO328" s="81" t="s">
        <v>403</v>
      </c>
      <c r="AP328" s="82">
        <v>0</v>
      </c>
      <c r="AQ328" s="75">
        <v>0</v>
      </c>
      <c r="AR328" s="75">
        <v>0</v>
      </c>
      <c r="AS328" s="80">
        <v>0</v>
      </c>
      <c r="AT328" s="74">
        <v>0.26731348276062561</v>
      </c>
      <c r="AU328" s="75">
        <v>0.30339878702250128</v>
      </c>
      <c r="AV328" s="75">
        <v>0.51890264306064304</v>
      </c>
      <c r="AW328" s="75">
        <v>0.24477528716785862</v>
      </c>
      <c r="AX328" s="80">
        <v>1.3343902000116286</v>
      </c>
      <c r="AY328" s="81">
        <v>0</v>
      </c>
      <c r="AZ328" s="83" t="s">
        <v>403</v>
      </c>
      <c r="BA328" s="80" t="s">
        <v>403</v>
      </c>
      <c r="BB328" s="84">
        <v>4.425953281702423</v>
      </c>
      <c r="BC328" s="85">
        <v>8.5294483288750005</v>
      </c>
      <c r="BD328" s="86">
        <v>0.43909600000038723</v>
      </c>
      <c r="BE328" s="84">
        <v>4.670728568870282</v>
      </c>
      <c r="BF328" s="87">
        <v>6.1160973546436566</v>
      </c>
      <c r="BG328" s="88">
        <v>0.46338000000072421</v>
      </c>
      <c r="BH328" s="89">
        <v>0</v>
      </c>
      <c r="BI328" s="90">
        <v>0.47999999999861565</v>
      </c>
      <c r="BJ328" s="90">
        <v>0.13238400000450282</v>
      </c>
      <c r="BK328" s="91">
        <v>0.61238400000311843</v>
      </c>
      <c r="BL328" s="92">
        <v>3.9070506386417803</v>
      </c>
      <c r="BM328" s="95">
        <v>0</v>
      </c>
      <c r="BN328" t="s">
        <v>402</v>
      </c>
      <c r="BO328">
        <v>0.85994999999999999</v>
      </c>
    </row>
    <row r="329" spans="1:67">
      <c r="A329" s="61" t="str">
        <f t="shared" si="5"/>
        <v>UK</v>
      </c>
      <c r="B329" s="62" t="s">
        <v>64</v>
      </c>
      <c r="C329" s="62" t="s">
        <v>176</v>
      </c>
      <c r="D329" s="63" t="s">
        <v>97</v>
      </c>
      <c r="E329" s="64">
        <v>43831</v>
      </c>
      <c r="F329" s="64">
        <v>43921</v>
      </c>
      <c r="G329" s="65">
        <v>43995</v>
      </c>
      <c r="H329" s="66" t="s">
        <v>132</v>
      </c>
      <c r="I329" s="67">
        <v>3</v>
      </c>
      <c r="J329" s="68">
        <v>2020</v>
      </c>
      <c r="K329" s="69">
        <v>1</v>
      </c>
      <c r="L329" s="70">
        <v>3</v>
      </c>
      <c r="M329" s="71" t="s">
        <v>140</v>
      </c>
      <c r="N329" s="71" t="s">
        <v>18</v>
      </c>
      <c r="O329" s="71" t="s">
        <v>114</v>
      </c>
      <c r="P329" s="71" t="s">
        <v>102</v>
      </c>
      <c r="Q329" s="61" t="s">
        <v>74</v>
      </c>
      <c r="R329" s="63" t="s">
        <v>112</v>
      </c>
      <c r="S329" s="72" t="s">
        <v>444</v>
      </c>
      <c r="T329" s="61" t="s">
        <v>845</v>
      </c>
      <c r="U329" s="73" t="s">
        <v>851</v>
      </c>
      <c r="V329" s="62">
        <v>106511</v>
      </c>
      <c r="W329" s="62" t="s">
        <v>495</v>
      </c>
      <c r="X329" s="62" t="s">
        <v>402</v>
      </c>
      <c r="Y329" s="93">
        <v>1</v>
      </c>
      <c r="Z329" s="94">
        <v>1</v>
      </c>
      <c r="AA329" s="74">
        <v>0</v>
      </c>
      <c r="AB329" s="75">
        <v>0</v>
      </c>
      <c r="AC329" s="75">
        <v>0</v>
      </c>
      <c r="AD329" s="76">
        <v>0</v>
      </c>
      <c r="AE329" s="77">
        <v>1.8027397300000001E-2</v>
      </c>
      <c r="AF329" s="75">
        <v>3.6054794500000001E-2</v>
      </c>
      <c r="AG329" s="78">
        <v>3.3191905337519625</v>
      </c>
      <c r="AH329" s="79">
        <v>3.9830286406186408</v>
      </c>
      <c r="AI329" s="74">
        <v>1.5932114562474562</v>
      </c>
      <c r="AJ329" s="75">
        <v>0</v>
      </c>
      <c r="AK329" s="75">
        <v>0</v>
      </c>
      <c r="AL329" s="80">
        <v>1.5932114562474562</v>
      </c>
      <c r="AM329" s="74">
        <v>0</v>
      </c>
      <c r="AN329" s="74">
        <v>0</v>
      </c>
      <c r="AO329" s="81" t="s">
        <v>403</v>
      </c>
      <c r="AP329" s="82">
        <v>0</v>
      </c>
      <c r="AQ329" s="75">
        <v>0</v>
      </c>
      <c r="AR329" s="75">
        <v>0</v>
      </c>
      <c r="AS329" s="80">
        <v>0</v>
      </c>
      <c r="AT329" s="74">
        <v>8.8024932961218674E-2</v>
      </c>
      <c r="AU329" s="75">
        <v>9.990763509506366E-2</v>
      </c>
      <c r="AV329" s="75">
        <v>0.17087192871678586</v>
      </c>
      <c r="AW329" s="75">
        <v>8.0603222978080119E-2</v>
      </c>
      <c r="AX329" s="80">
        <v>0.43940771975114834</v>
      </c>
      <c r="AY329" s="81">
        <v>0</v>
      </c>
      <c r="AZ329" s="83" t="s">
        <v>403</v>
      </c>
      <c r="BA329" s="80" t="s">
        <v>403</v>
      </c>
      <c r="BB329" s="84">
        <v>1.4574432864701439</v>
      </c>
      <c r="BC329" s="85">
        <v>8.5294483266809973</v>
      </c>
      <c r="BD329" s="86">
        <v>0.43909599995836096</v>
      </c>
      <c r="BE329" s="84">
        <v>1.5380465094482241</v>
      </c>
      <c r="BF329" s="87">
        <v>6.1160973522920994</v>
      </c>
      <c r="BG329" s="88">
        <v>0.46337999997536738</v>
      </c>
      <c r="BH329" s="89">
        <v>0</v>
      </c>
      <c r="BI329" s="90">
        <v>0.48000000001401372</v>
      </c>
      <c r="BJ329" s="90">
        <v>0.13238400003944592</v>
      </c>
      <c r="BK329" s="91">
        <v>0.61238400005345961</v>
      </c>
      <c r="BL329" s="92">
        <v>1.286571357753358</v>
      </c>
      <c r="BM329" s="95">
        <v>0</v>
      </c>
      <c r="BN329" t="s">
        <v>402</v>
      </c>
      <c r="BO329">
        <v>0.85994999999999999</v>
      </c>
    </row>
    <row r="330" spans="1:67">
      <c r="A330" s="61" t="str">
        <f t="shared" si="5"/>
        <v>UK</v>
      </c>
      <c r="B330" s="62" t="s">
        <v>64</v>
      </c>
      <c r="C330" s="62" t="s">
        <v>176</v>
      </c>
      <c r="D330" s="63" t="s">
        <v>97</v>
      </c>
      <c r="E330" s="64">
        <v>43831</v>
      </c>
      <c r="F330" s="64">
        <v>43921</v>
      </c>
      <c r="G330" s="65">
        <v>43995</v>
      </c>
      <c r="H330" s="66" t="s">
        <v>132</v>
      </c>
      <c r="I330" s="67">
        <v>3</v>
      </c>
      <c r="J330" s="68">
        <v>2020</v>
      </c>
      <c r="K330" s="69">
        <v>1</v>
      </c>
      <c r="L330" s="70">
        <v>3</v>
      </c>
      <c r="M330" s="71" t="s">
        <v>140</v>
      </c>
      <c r="N330" s="71" t="s">
        <v>18</v>
      </c>
      <c r="O330" s="71" t="s">
        <v>114</v>
      </c>
      <c r="P330" s="71" t="s">
        <v>102</v>
      </c>
      <c r="Q330" s="61" t="s">
        <v>74</v>
      </c>
      <c r="R330" s="63" t="s">
        <v>112</v>
      </c>
      <c r="S330" s="72" t="s">
        <v>444</v>
      </c>
      <c r="T330" s="61" t="s">
        <v>845</v>
      </c>
      <c r="U330" s="73" t="s">
        <v>852</v>
      </c>
      <c r="V330" s="62">
        <v>107439</v>
      </c>
      <c r="W330" s="62" t="s">
        <v>495</v>
      </c>
      <c r="X330" s="62" t="s">
        <v>402</v>
      </c>
      <c r="Y330" s="93">
        <v>1</v>
      </c>
      <c r="Z330" s="94">
        <v>1</v>
      </c>
      <c r="AA330" s="74">
        <v>9</v>
      </c>
      <c r="AB330" s="75">
        <v>18</v>
      </c>
      <c r="AC330" s="75">
        <v>1754.946993080993</v>
      </c>
      <c r="AD330" s="76">
        <v>2105.9363916506773</v>
      </c>
      <c r="AE330" s="77">
        <v>9.516967288</v>
      </c>
      <c r="AF330" s="75">
        <v>19.727377198999999</v>
      </c>
      <c r="AG330" s="78">
        <v>1822.6257985929417</v>
      </c>
      <c r="AH330" s="79">
        <v>2187.1509583115298</v>
      </c>
      <c r="AI330" s="74">
        <v>874.86038333624037</v>
      </c>
      <c r="AJ330" s="75">
        <v>0</v>
      </c>
      <c r="AK330" s="75">
        <v>0</v>
      </c>
      <c r="AL330" s="80">
        <v>874.86038333624037</v>
      </c>
      <c r="AM330" s="74">
        <v>0</v>
      </c>
      <c r="AN330" s="74">
        <v>0</v>
      </c>
      <c r="AO330" s="81" t="s">
        <v>403</v>
      </c>
      <c r="AP330" s="82">
        <v>2</v>
      </c>
      <c r="AQ330" s="75">
        <v>0</v>
      </c>
      <c r="AR330" s="75">
        <v>0</v>
      </c>
      <c r="AS330" s="80">
        <v>0</v>
      </c>
      <c r="AT330" s="74">
        <v>48.33603618001046</v>
      </c>
      <c r="AU330" s="75">
        <v>54.861036538170822</v>
      </c>
      <c r="AV330" s="75">
        <v>93.828776112564682</v>
      </c>
      <c r="AW330" s="75">
        <v>44.260644893307756</v>
      </c>
      <c r="AX330" s="80">
        <v>241.28649372405374</v>
      </c>
      <c r="AY330" s="81">
        <v>0.10138195158053662</v>
      </c>
      <c r="AZ330" s="83">
        <v>0</v>
      </c>
      <c r="BA330" s="80">
        <v>0</v>
      </c>
      <c r="BB330" s="84">
        <v>800.30769764521233</v>
      </c>
      <c r="BC330" s="85">
        <v>8.529448329210835</v>
      </c>
      <c r="BD330" s="86">
        <v>0.43909599999245374</v>
      </c>
      <c r="BE330" s="84">
        <v>844.56834253852003</v>
      </c>
      <c r="BF330" s="87">
        <v>6.1160973547901509</v>
      </c>
      <c r="BG330" s="88">
        <v>0.46337999999260554</v>
      </c>
      <c r="BH330" s="89">
        <v>0</v>
      </c>
      <c r="BI330" s="90">
        <v>0.48000000000637999</v>
      </c>
      <c r="BJ330" s="90">
        <v>0.13238400000171496</v>
      </c>
      <c r="BK330" s="91">
        <v>0.6123840000080949</v>
      </c>
      <c r="BL330" s="92">
        <v>706.47892153264752</v>
      </c>
      <c r="BM330" s="95">
        <v>0</v>
      </c>
      <c r="BN330" t="s">
        <v>402</v>
      </c>
      <c r="BO330">
        <v>0.85994999999999999</v>
      </c>
    </row>
    <row r="331" spans="1:67">
      <c r="A331" s="61" t="str">
        <f t="shared" si="5"/>
        <v>UK</v>
      </c>
      <c r="B331" s="62" t="s">
        <v>64</v>
      </c>
      <c r="C331" s="62" t="s">
        <v>176</v>
      </c>
      <c r="D331" s="63" t="s">
        <v>97</v>
      </c>
      <c r="E331" s="64">
        <v>43831</v>
      </c>
      <c r="F331" s="64">
        <v>43921</v>
      </c>
      <c r="G331" s="65">
        <v>43995</v>
      </c>
      <c r="H331" s="66" t="s">
        <v>132</v>
      </c>
      <c r="I331" s="67">
        <v>3</v>
      </c>
      <c r="J331" s="68">
        <v>2020</v>
      </c>
      <c r="K331" s="69">
        <v>1</v>
      </c>
      <c r="L331" s="70">
        <v>3</v>
      </c>
      <c r="M331" s="71" t="s">
        <v>140</v>
      </c>
      <c r="N331" s="71" t="s">
        <v>18</v>
      </c>
      <c r="O331" s="71" t="s">
        <v>114</v>
      </c>
      <c r="P331" s="71" t="s">
        <v>102</v>
      </c>
      <c r="Q331" s="61" t="s">
        <v>74</v>
      </c>
      <c r="R331" s="63" t="s">
        <v>112</v>
      </c>
      <c r="S331" s="72" t="s">
        <v>444</v>
      </c>
      <c r="T331" s="61" t="s">
        <v>845</v>
      </c>
      <c r="U331" s="73" t="s">
        <v>853</v>
      </c>
      <c r="V331" s="62">
        <v>106513</v>
      </c>
      <c r="W331" s="62" t="s">
        <v>495</v>
      </c>
      <c r="X331" s="62" t="s">
        <v>402</v>
      </c>
      <c r="Y331" s="93">
        <v>1</v>
      </c>
      <c r="Z331" s="94">
        <v>1</v>
      </c>
      <c r="AA331" s="74">
        <v>0</v>
      </c>
      <c r="AB331" s="75">
        <v>0</v>
      </c>
      <c r="AC331" s="75">
        <v>0</v>
      </c>
      <c r="AD331" s="76">
        <v>0</v>
      </c>
      <c r="AE331" s="77">
        <v>1.0099705068</v>
      </c>
      <c r="AF331" s="75">
        <v>1.0099705068</v>
      </c>
      <c r="AG331" s="78">
        <v>130.14816238153381</v>
      </c>
      <c r="AH331" s="79">
        <v>156.1777948601663</v>
      </c>
      <c r="AI331" s="74">
        <v>62.471117945229373</v>
      </c>
      <c r="AJ331" s="75">
        <v>0</v>
      </c>
      <c r="AK331" s="75">
        <v>0</v>
      </c>
      <c r="AL331" s="80">
        <v>62.471117945229373</v>
      </c>
      <c r="AM331" s="74">
        <v>0</v>
      </c>
      <c r="AN331" s="74">
        <v>0</v>
      </c>
      <c r="AO331" s="81" t="s">
        <v>403</v>
      </c>
      <c r="AP331" s="82">
        <v>0</v>
      </c>
      <c r="AQ331" s="75">
        <v>0</v>
      </c>
      <c r="AR331" s="75">
        <v>0</v>
      </c>
      <c r="AS331" s="80">
        <v>0</v>
      </c>
      <c r="AT331" s="74">
        <v>3.4515292664689809</v>
      </c>
      <c r="AU331" s="75">
        <v>3.9174596877725447</v>
      </c>
      <c r="AV331" s="75">
        <v>6.7000273996162569</v>
      </c>
      <c r="AW331" s="75">
        <v>3.1605179753474038</v>
      </c>
      <c r="AX331" s="80">
        <v>17.229534329205187</v>
      </c>
      <c r="AY331" s="81">
        <v>0</v>
      </c>
      <c r="AZ331" s="83" t="s">
        <v>403</v>
      </c>
      <c r="BA331" s="80" t="s">
        <v>403</v>
      </c>
      <c r="BB331" s="84">
        <v>57.147537506715508</v>
      </c>
      <c r="BC331" s="85">
        <v>8.5294483288215552</v>
      </c>
      <c r="BD331" s="86">
        <v>0.4390959999818172</v>
      </c>
      <c r="BE331" s="84">
        <v>60.308055482062912</v>
      </c>
      <c r="BF331" s="87">
        <v>6.1160973545324993</v>
      </c>
      <c r="BG331" s="88">
        <v>0.4633799999823876</v>
      </c>
      <c r="BH331" s="89">
        <v>0</v>
      </c>
      <c r="BI331" s="90">
        <v>0.48000000001608278</v>
      </c>
      <c r="BJ331" s="90">
        <v>0.13238400000375122</v>
      </c>
      <c r="BK331" s="91">
        <v>0.61238400001983395</v>
      </c>
      <c r="BL331" s="92">
        <v>50.447510107099248</v>
      </c>
      <c r="BM331" s="95">
        <v>0</v>
      </c>
      <c r="BN331" t="s">
        <v>402</v>
      </c>
      <c r="BO331">
        <v>0.85994999999999999</v>
      </c>
    </row>
    <row r="332" spans="1:67">
      <c r="A332" s="61" t="str">
        <f t="shared" si="5"/>
        <v>UK</v>
      </c>
      <c r="B332" s="62" t="s">
        <v>64</v>
      </c>
      <c r="C332" s="62" t="s">
        <v>176</v>
      </c>
      <c r="D332" s="63" t="s">
        <v>97</v>
      </c>
      <c r="E332" s="64">
        <v>43831</v>
      </c>
      <c r="F332" s="64">
        <v>43921</v>
      </c>
      <c r="G332" s="65">
        <v>43995</v>
      </c>
      <c r="H332" s="66" t="s">
        <v>132</v>
      </c>
      <c r="I332" s="67">
        <v>3</v>
      </c>
      <c r="J332" s="68">
        <v>2020</v>
      </c>
      <c r="K332" s="69">
        <v>1</v>
      </c>
      <c r="L332" s="70">
        <v>3</v>
      </c>
      <c r="M332" s="71" t="s">
        <v>140</v>
      </c>
      <c r="N332" s="71" t="s">
        <v>18</v>
      </c>
      <c r="O332" s="71" t="s">
        <v>114</v>
      </c>
      <c r="P332" s="71" t="s">
        <v>102</v>
      </c>
      <c r="Q332" s="61" t="s">
        <v>74</v>
      </c>
      <c r="R332" s="63" t="s">
        <v>112</v>
      </c>
      <c r="S332" s="72" t="s">
        <v>444</v>
      </c>
      <c r="T332" s="61" t="s">
        <v>845</v>
      </c>
      <c r="U332" s="73" t="s">
        <v>854</v>
      </c>
      <c r="V332" s="62">
        <v>107441</v>
      </c>
      <c r="W332" s="62" t="s">
        <v>495</v>
      </c>
      <c r="X332" s="62" t="s">
        <v>402</v>
      </c>
      <c r="Y332" s="93">
        <v>1</v>
      </c>
      <c r="Z332" s="94">
        <v>1</v>
      </c>
      <c r="AA332" s="74">
        <v>133</v>
      </c>
      <c r="AB332" s="75">
        <v>136</v>
      </c>
      <c r="AC332" s="75">
        <v>16977.731263445548</v>
      </c>
      <c r="AD332" s="76">
        <v>20373.277516134658</v>
      </c>
      <c r="AE332" s="77">
        <v>85.870291635000001</v>
      </c>
      <c r="AF332" s="75">
        <v>86.168398080000003</v>
      </c>
      <c r="AG332" s="78">
        <v>10817.585299029013</v>
      </c>
      <c r="AH332" s="79">
        <v>12981.102359439503</v>
      </c>
      <c r="AI332" s="74">
        <v>5192.4409435432299</v>
      </c>
      <c r="AJ332" s="75">
        <v>0</v>
      </c>
      <c r="AK332" s="75">
        <v>0</v>
      </c>
      <c r="AL332" s="80">
        <v>5192.4409435432299</v>
      </c>
      <c r="AM332" s="74">
        <v>2</v>
      </c>
      <c r="AN332" s="74">
        <v>1</v>
      </c>
      <c r="AO332" s="81">
        <v>0.5</v>
      </c>
      <c r="AP332" s="82">
        <v>14</v>
      </c>
      <c r="AQ332" s="75">
        <v>2234.3159769754056</v>
      </c>
      <c r="AR332" s="75">
        <v>2234.3159769754056</v>
      </c>
      <c r="AS332" s="80">
        <v>4468.6319539508113</v>
      </c>
      <c r="AT332" s="74">
        <v>286.88236212570496</v>
      </c>
      <c r="AU332" s="75">
        <v>325.60931750683176</v>
      </c>
      <c r="AV332" s="75">
        <v>556.88929119134832</v>
      </c>
      <c r="AW332" s="75">
        <v>262.69424139775566</v>
      </c>
      <c r="AX332" s="80">
        <v>1432.0752122216406</v>
      </c>
      <c r="AY332" s="81">
        <v>0.16247255736380517</v>
      </c>
      <c r="AZ332" s="83">
        <v>319.18799671077221</v>
      </c>
      <c r="BA332" s="80">
        <v>51.859290105428997</v>
      </c>
      <c r="BB332" s="84">
        <v>281.32648050468015</v>
      </c>
      <c r="BC332" s="85">
        <v>0.50517487937834271</v>
      </c>
      <c r="BD332" s="86">
        <v>2.6006402790272616E-2</v>
      </c>
      <c r="BE332" s="84">
        <v>544.02072190243598</v>
      </c>
      <c r="BF332" s="87">
        <v>0.66377702854015164</v>
      </c>
      <c r="BG332" s="88">
        <v>5.0290402789915353E-2</v>
      </c>
      <c r="BH332" s="89">
        <v>0.41308959720908472</v>
      </c>
      <c r="BI332" s="90">
        <v>0.48000000000086002</v>
      </c>
      <c r="BJ332" s="90">
        <v>0.13238399999953629</v>
      </c>
      <c r="BK332" s="91">
        <v>1.0254735972094811</v>
      </c>
      <c r="BL332" s="92">
        <v>-275.56281068666794</v>
      </c>
      <c r="BM332" s="95">
        <v>0</v>
      </c>
      <c r="BN332" t="s">
        <v>402</v>
      </c>
      <c r="BO332">
        <v>0.85994999999999999</v>
      </c>
    </row>
    <row r="333" spans="1:67">
      <c r="A333" s="61" t="str">
        <f t="shared" si="5"/>
        <v>UK</v>
      </c>
      <c r="B333" s="62" t="s">
        <v>64</v>
      </c>
      <c r="C333" s="62" t="s">
        <v>176</v>
      </c>
      <c r="D333" s="63" t="s">
        <v>97</v>
      </c>
      <c r="E333" s="64">
        <v>43831</v>
      </c>
      <c r="F333" s="64">
        <v>43921</v>
      </c>
      <c r="G333" s="65">
        <v>43995</v>
      </c>
      <c r="H333" s="66" t="s">
        <v>132</v>
      </c>
      <c r="I333" s="67">
        <v>3</v>
      </c>
      <c r="J333" s="68">
        <v>2020</v>
      </c>
      <c r="K333" s="69">
        <v>1</v>
      </c>
      <c r="L333" s="70">
        <v>3</v>
      </c>
      <c r="M333" s="71" t="s">
        <v>140</v>
      </c>
      <c r="N333" s="71" t="s">
        <v>18</v>
      </c>
      <c r="O333" s="71" t="s">
        <v>114</v>
      </c>
      <c r="P333" s="71" t="s">
        <v>102</v>
      </c>
      <c r="Q333" s="61" t="s">
        <v>74</v>
      </c>
      <c r="R333" s="63" t="s">
        <v>112</v>
      </c>
      <c r="S333" s="72" t="s">
        <v>444</v>
      </c>
      <c r="T333" s="61" t="s">
        <v>845</v>
      </c>
      <c r="U333" s="73" t="s">
        <v>855</v>
      </c>
      <c r="V333" s="62">
        <v>106515</v>
      </c>
      <c r="W333" s="62" t="s">
        <v>495</v>
      </c>
      <c r="X333" s="62" t="s">
        <v>402</v>
      </c>
      <c r="Y333" s="93">
        <v>1</v>
      </c>
      <c r="Z333" s="94">
        <v>1</v>
      </c>
      <c r="AA333" s="74">
        <v>0</v>
      </c>
      <c r="AB333" s="75">
        <v>0</v>
      </c>
      <c r="AC333" s="75">
        <v>0</v>
      </c>
      <c r="AD333" s="76">
        <v>0</v>
      </c>
      <c r="AE333" s="77">
        <v>0.49125712999999999</v>
      </c>
      <c r="AF333" s="75">
        <v>0.98251425999999997</v>
      </c>
      <c r="AG333" s="78">
        <v>101.87513404383975</v>
      </c>
      <c r="AH333" s="79">
        <v>122.25016085818943</v>
      </c>
      <c r="AI333" s="74">
        <v>48.90006434095006</v>
      </c>
      <c r="AJ333" s="75">
        <v>0</v>
      </c>
      <c r="AK333" s="75">
        <v>0</v>
      </c>
      <c r="AL333" s="80">
        <v>48.90006434095006</v>
      </c>
      <c r="AM333" s="74">
        <v>0</v>
      </c>
      <c r="AN333" s="74">
        <v>0</v>
      </c>
      <c r="AO333" s="81" t="s">
        <v>403</v>
      </c>
      <c r="AP333" s="82">
        <v>0</v>
      </c>
      <c r="AQ333" s="75">
        <v>0</v>
      </c>
      <c r="AR333" s="75">
        <v>0</v>
      </c>
      <c r="AS333" s="80">
        <v>0</v>
      </c>
      <c r="AT333" s="74">
        <v>2.7017285547996979</v>
      </c>
      <c r="AU333" s="75">
        <v>3.0664415347403917</v>
      </c>
      <c r="AV333" s="75">
        <v>5.2445319005756144</v>
      </c>
      <c r="AW333" s="75">
        <v>2.4739357551020409</v>
      </c>
      <c r="AX333" s="80">
        <v>13.486637745217745</v>
      </c>
      <c r="AY333" s="81">
        <v>0</v>
      </c>
      <c r="AZ333" s="83" t="s">
        <v>403</v>
      </c>
      <c r="BA333" s="80" t="s">
        <v>403</v>
      </c>
      <c r="BB333" s="84">
        <v>44.732963858247558</v>
      </c>
      <c r="BC333" s="85">
        <v>8.5294483294758656</v>
      </c>
      <c r="BD333" s="86">
        <v>0.43909600000131238</v>
      </c>
      <c r="BE333" s="84">
        <v>47.206899613349599</v>
      </c>
      <c r="BF333" s="87">
        <v>6.1160973549749231</v>
      </c>
      <c r="BG333" s="88">
        <v>0.46338000000113017</v>
      </c>
      <c r="BH333" s="89">
        <v>0</v>
      </c>
      <c r="BI333" s="90">
        <v>0.47999999999908693</v>
      </c>
      <c r="BJ333" s="90">
        <v>0.13238399999958836</v>
      </c>
      <c r="BK333" s="91">
        <v>0.61238399999867532</v>
      </c>
      <c r="BL333" s="92">
        <v>39.488431957671949</v>
      </c>
      <c r="BM333" s="95">
        <v>0</v>
      </c>
      <c r="BN333" t="s">
        <v>402</v>
      </c>
      <c r="BO333">
        <v>0.85994999999999999</v>
      </c>
    </row>
    <row r="334" spans="1:67">
      <c r="A334" s="61" t="str">
        <f t="shared" si="5"/>
        <v>UK</v>
      </c>
      <c r="B334" s="62" t="s">
        <v>64</v>
      </c>
      <c r="C334" s="62" t="s">
        <v>176</v>
      </c>
      <c r="D334" s="63" t="s">
        <v>97</v>
      </c>
      <c r="E334" s="64">
        <v>43831</v>
      </c>
      <c r="F334" s="64">
        <v>43921</v>
      </c>
      <c r="G334" s="65">
        <v>43995</v>
      </c>
      <c r="H334" s="66" t="s">
        <v>132</v>
      </c>
      <c r="I334" s="67">
        <v>3</v>
      </c>
      <c r="J334" s="68">
        <v>2020</v>
      </c>
      <c r="K334" s="69">
        <v>1</v>
      </c>
      <c r="L334" s="70">
        <v>3</v>
      </c>
      <c r="M334" s="71" t="s">
        <v>140</v>
      </c>
      <c r="N334" s="71" t="s">
        <v>18</v>
      </c>
      <c r="O334" s="71" t="s">
        <v>114</v>
      </c>
      <c r="P334" s="71" t="s">
        <v>102</v>
      </c>
      <c r="Q334" s="61" t="s">
        <v>74</v>
      </c>
      <c r="R334" s="63" t="s">
        <v>112</v>
      </c>
      <c r="S334" s="72" t="s">
        <v>444</v>
      </c>
      <c r="T334" s="61" t="s">
        <v>845</v>
      </c>
      <c r="U334" s="73" t="s">
        <v>856</v>
      </c>
      <c r="V334" s="62">
        <v>107443</v>
      </c>
      <c r="W334" s="62" t="s">
        <v>495</v>
      </c>
      <c r="X334" s="62" t="s">
        <v>402</v>
      </c>
      <c r="Y334" s="93">
        <v>1</v>
      </c>
      <c r="Z334" s="94">
        <v>1</v>
      </c>
      <c r="AA334" s="74">
        <v>48</v>
      </c>
      <c r="AB334" s="75">
        <v>96</v>
      </c>
      <c r="AC334" s="75">
        <v>10544.21768707483</v>
      </c>
      <c r="AD334" s="76">
        <v>12653.061224489797</v>
      </c>
      <c r="AE334" s="77">
        <v>29.215103526</v>
      </c>
      <c r="AF334" s="75">
        <v>58.995536940999997</v>
      </c>
      <c r="AG334" s="78">
        <v>6487.6748433048433</v>
      </c>
      <c r="AH334" s="79">
        <v>7785.2098119658122</v>
      </c>
      <c r="AI334" s="74">
        <v>3114.0839247630674</v>
      </c>
      <c r="AJ334" s="75">
        <v>0</v>
      </c>
      <c r="AK334" s="75">
        <v>0</v>
      </c>
      <c r="AL334" s="80">
        <v>3114.0839247630674</v>
      </c>
      <c r="AM334" s="74">
        <v>1</v>
      </c>
      <c r="AN334" s="74">
        <v>1</v>
      </c>
      <c r="AO334" s="81">
        <v>1</v>
      </c>
      <c r="AP334" s="82">
        <v>2</v>
      </c>
      <c r="AQ334" s="75">
        <v>466.84108548171406</v>
      </c>
      <c r="AR334" s="75">
        <v>466.84108548171406</v>
      </c>
      <c r="AS334" s="80">
        <v>933.68217096342812</v>
      </c>
      <c r="AT334" s="74">
        <v>172.05313684516543</v>
      </c>
      <c r="AU334" s="75">
        <v>195.27901277981277</v>
      </c>
      <c r="AV334" s="75">
        <v>333.98550093610095</v>
      </c>
      <c r="AW334" s="75">
        <v>157.54669588929588</v>
      </c>
      <c r="AX334" s="80">
        <v>858.86434645037502</v>
      </c>
      <c r="AY334" s="81">
        <v>3.3900869518318839E-2</v>
      </c>
      <c r="AZ334" s="83">
        <v>466.84108548171406</v>
      </c>
      <c r="BA334" s="80">
        <v>15.826318724705921</v>
      </c>
      <c r="BB334" s="84">
        <v>1915.0299020640741</v>
      </c>
      <c r="BC334" s="85">
        <v>5.7338713707528974</v>
      </c>
      <c r="BD334" s="86">
        <v>0.29517969816880518</v>
      </c>
      <c r="BE334" s="84">
        <v>2072.5765979533699</v>
      </c>
      <c r="BF334" s="87">
        <v>4.2165632512768951</v>
      </c>
      <c r="BG334" s="88">
        <v>0.3194636981679545</v>
      </c>
      <c r="BH334" s="89">
        <v>0.14391630183608389</v>
      </c>
      <c r="BI334" s="90">
        <v>0.47999999999641513</v>
      </c>
      <c r="BJ334" s="90">
        <v>0.13238399999912243</v>
      </c>
      <c r="BK334" s="91">
        <v>0.75630030183162145</v>
      </c>
      <c r="BL334" s="92">
        <v>1581.0444011279724</v>
      </c>
      <c r="BM334" s="95">
        <v>0</v>
      </c>
      <c r="BN334" t="s">
        <v>402</v>
      </c>
      <c r="BO334">
        <v>0.85994999999999999</v>
      </c>
    </row>
    <row r="335" spans="1:67">
      <c r="A335" s="61" t="str">
        <f t="shared" si="5"/>
        <v>UK</v>
      </c>
      <c r="B335" s="62" t="s">
        <v>64</v>
      </c>
      <c r="C335" s="62" t="s">
        <v>176</v>
      </c>
      <c r="D335" s="63" t="s">
        <v>97</v>
      </c>
      <c r="E335" s="64">
        <v>43831</v>
      </c>
      <c r="F335" s="64">
        <v>43921</v>
      </c>
      <c r="G335" s="65">
        <v>43995</v>
      </c>
      <c r="H335" s="66" t="s">
        <v>132</v>
      </c>
      <c r="I335" s="67">
        <v>3</v>
      </c>
      <c r="J335" s="68">
        <v>2020</v>
      </c>
      <c r="K335" s="69">
        <v>1</v>
      </c>
      <c r="L335" s="70">
        <v>3</v>
      </c>
      <c r="M335" s="71" t="s">
        <v>140</v>
      </c>
      <c r="N335" s="71" t="s">
        <v>18</v>
      </c>
      <c r="O335" s="71" t="s">
        <v>114</v>
      </c>
      <c r="P335" s="71" t="s">
        <v>102</v>
      </c>
      <c r="Q335" s="61" t="s">
        <v>74</v>
      </c>
      <c r="R335" s="63" t="s">
        <v>112</v>
      </c>
      <c r="S335" s="72" t="s">
        <v>444</v>
      </c>
      <c r="T335" s="61" t="s">
        <v>845</v>
      </c>
      <c r="U335" s="73" t="s">
        <v>857</v>
      </c>
      <c r="V335" s="62">
        <v>107444</v>
      </c>
      <c r="W335" s="62" t="s">
        <v>495</v>
      </c>
      <c r="X335" s="62" t="s">
        <v>402</v>
      </c>
      <c r="Y335" s="93">
        <v>1</v>
      </c>
      <c r="Z335" s="94">
        <v>1</v>
      </c>
      <c r="AA335" s="74">
        <v>2</v>
      </c>
      <c r="AB335" s="75">
        <v>7</v>
      </c>
      <c r="AC335" s="75">
        <v>527.18183182743178</v>
      </c>
      <c r="AD335" s="76">
        <v>632.61819818594108</v>
      </c>
      <c r="AE335" s="77">
        <v>0.98202185789999996</v>
      </c>
      <c r="AF335" s="75">
        <v>3.5701639344</v>
      </c>
      <c r="AG335" s="78">
        <v>266.6735807895808</v>
      </c>
      <c r="AH335" s="79">
        <v>320.00829694749694</v>
      </c>
      <c r="AI335" s="74">
        <v>128.00331878597595</v>
      </c>
      <c r="AJ335" s="75">
        <v>0</v>
      </c>
      <c r="AK335" s="75">
        <v>0</v>
      </c>
      <c r="AL335" s="80">
        <v>128.00331878597595</v>
      </c>
      <c r="AM335" s="74">
        <v>0</v>
      </c>
      <c r="AN335" s="74">
        <v>0</v>
      </c>
      <c r="AO335" s="81" t="s">
        <v>403</v>
      </c>
      <c r="AP335" s="82">
        <v>0</v>
      </c>
      <c r="AQ335" s="75">
        <v>0</v>
      </c>
      <c r="AR335" s="75">
        <v>0</v>
      </c>
      <c r="AS335" s="80">
        <v>0</v>
      </c>
      <c r="AT335" s="74">
        <v>7.0721833626373627</v>
      </c>
      <c r="AU335" s="75">
        <v>8.0268747819059243</v>
      </c>
      <c r="AV335" s="75">
        <v>13.728355939298797</v>
      </c>
      <c r="AW335" s="75">
        <v>6.4759012360020938</v>
      </c>
      <c r="AX335" s="80">
        <v>35.303315319844181</v>
      </c>
      <c r="AY335" s="81">
        <v>0</v>
      </c>
      <c r="AZ335" s="83" t="s">
        <v>403</v>
      </c>
      <c r="BA335" s="80" t="s">
        <v>403</v>
      </c>
      <c r="BB335" s="84">
        <v>117.09530262305947</v>
      </c>
      <c r="BC335" s="85">
        <v>8.5294483287589014</v>
      </c>
      <c r="BD335" s="86">
        <v>0.43909599997254206</v>
      </c>
      <c r="BE335" s="84">
        <v>123.57120385906157</v>
      </c>
      <c r="BF335" s="87">
        <v>6.1160973544785264</v>
      </c>
      <c r="BG335" s="88">
        <v>0.46337999997294677</v>
      </c>
      <c r="BH335" s="89">
        <v>0</v>
      </c>
      <c r="BI335" s="90">
        <v>0.48000000002616372</v>
      </c>
      <c r="BJ335" s="90">
        <v>0.13238400000223613</v>
      </c>
      <c r="BK335" s="91">
        <v>0.61238400002839988</v>
      </c>
      <c r="BL335" s="92">
        <v>103.36694668376066</v>
      </c>
      <c r="BM335" s="95">
        <v>0</v>
      </c>
      <c r="BN335" t="s">
        <v>402</v>
      </c>
      <c r="BO335">
        <v>0.85994999999999999</v>
      </c>
    </row>
    <row r="336" spans="1:67">
      <c r="A336" s="61" t="str">
        <f t="shared" si="5"/>
        <v>UK</v>
      </c>
      <c r="B336" s="62" t="s">
        <v>64</v>
      </c>
      <c r="C336" s="62" t="s">
        <v>176</v>
      </c>
      <c r="D336" s="63" t="s">
        <v>97</v>
      </c>
      <c r="E336" s="64">
        <v>43831</v>
      </c>
      <c r="F336" s="64">
        <v>43921</v>
      </c>
      <c r="G336" s="65">
        <v>43995</v>
      </c>
      <c r="H336" s="66" t="s">
        <v>132</v>
      </c>
      <c r="I336" s="67">
        <v>3</v>
      </c>
      <c r="J336" s="68">
        <v>2020</v>
      </c>
      <c r="K336" s="69">
        <v>1</v>
      </c>
      <c r="L336" s="70">
        <v>3</v>
      </c>
      <c r="M336" s="71" t="s">
        <v>140</v>
      </c>
      <c r="N336" s="71" t="s">
        <v>18</v>
      </c>
      <c r="O336" s="71" t="s">
        <v>114</v>
      </c>
      <c r="P336" s="71" t="s">
        <v>102</v>
      </c>
      <c r="Q336" s="61" t="s">
        <v>74</v>
      </c>
      <c r="R336" s="63" t="s">
        <v>112</v>
      </c>
      <c r="S336" s="72" t="s">
        <v>444</v>
      </c>
      <c r="T336" s="61" t="s">
        <v>845</v>
      </c>
      <c r="U336" s="73" t="s">
        <v>858</v>
      </c>
      <c r="V336" s="62">
        <v>106517</v>
      </c>
      <c r="W336" s="62" t="s">
        <v>495</v>
      </c>
      <c r="X336" s="62" t="s">
        <v>402</v>
      </c>
      <c r="Y336" s="93">
        <v>1</v>
      </c>
      <c r="Z336" s="94">
        <v>1</v>
      </c>
      <c r="AA336" s="74">
        <v>0</v>
      </c>
      <c r="AB336" s="75">
        <v>0</v>
      </c>
      <c r="AC336" s="75">
        <v>0</v>
      </c>
      <c r="AD336" s="76">
        <v>0</v>
      </c>
      <c r="AE336" s="77">
        <v>1.3670635526999999</v>
      </c>
      <c r="AF336" s="75">
        <v>1.5982110936</v>
      </c>
      <c r="AG336" s="78">
        <v>228.43759148787723</v>
      </c>
      <c r="AH336" s="79">
        <v>274.12510979708122</v>
      </c>
      <c r="AI336" s="74">
        <v>109.65004391650677</v>
      </c>
      <c r="AJ336" s="75">
        <v>0</v>
      </c>
      <c r="AK336" s="75">
        <v>0</v>
      </c>
      <c r="AL336" s="80">
        <v>109.65004391650677</v>
      </c>
      <c r="AM336" s="74">
        <v>0</v>
      </c>
      <c r="AN336" s="74">
        <v>0</v>
      </c>
      <c r="AO336" s="81" t="s">
        <v>403</v>
      </c>
      <c r="AP336" s="82">
        <v>0</v>
      </c>
      <c r="AQ336" s="75">
        <v>0</v>
      </c>
      <c r="AR336" s="75">
        <v>0</v>
      </c>
      <c r="AS336" s="80">
        <v>0</v>
      </c>
      <c r="AT336" s="74">
        <v>6.0581649264492121</v>
      </c>
      <c r="AU336" s="75">
        <v>6.8759715039246467</v>
      </c>
      <c r="AV336" s="75">
        <v>11.759967209721497</v>
      </c>
      <c r="AW336" s="75">
        <v>5.5473784717716148</v>
      </c>
      <c r="AX336" s="80">
        <v>30.241482111866972</v>
      </c>
      <c r="AY336" s="81">
        <v>0</v>
      </c>
      <c r="AZ336" s="83" t="s">
        <v>403</v>
      </c>
      <c r="BA336" s="80" t="s">
        <v>403</v>
      </c>
      <c r="BB336" s="84">
        <v>100.30603266922498</v>
      </c>
      <c r="BC336" s="85">
        <v>8.5294483292696572</v>
      </c>
      <c r="BD336" s="86">
        <v>0.43909599998802312</v>
      </c>
      <c r="BE336" s="84">
        <v>105.8534111409966</v>
      </c>
      <c r="BF336" s="87">
        <v>6.1160973547888711</v>
      </c>
      <c r="BG336" s="88">
        <v>0.46337999998837343</v>
      </c>
      <c r="BH336" s="89">
        <v>0</v>
      </c>
      <c r="BI336" s="90">
        <v>0.48000000001018095</v>
      </c>
      <c r="BJ336" s="90">
        <v>0.13238400000147013</v>
      </c>
      <c r="BK336" s="91">
        <v>0.61238400001165105</v>
      </c>
      <c r="BL336" s="92">
        <v>88.546065459503495</v>
      </c>
      <c r="BM336" s="95">
        <v>0</v>
      </c>
      <c r="BN336" t="s">
        <v>402</v>
      </c>
      <c r="BO336">
        <v>0.85994999999999999</v>
      </c>
    </row>
    <row r="337" spans="1:67">
      <c r="A337" s="61" t="str">
        <f t="shared" si="5"/>
        <v>UK</v>
      </c>
      <c r="B337" s="62" t="s">
        <v>64</v>
      </c>
      <c r="C337" s="62" t="s">
        <v>176</v>
      </c>
      <c r="D337" s="63" t="s">
        <v>97</v>
      </c>
      <c r="E337" s="64">
        <v>43831</v>
      </c>
      <c r="F337" s="64">
        <v>43921</v>
      </c>
      <c r="G337" s="65">
        <v>43995</v>
      </c>
      <c r="H337" s="66" t="s">
        <v>132</v>
      </c>
      <c r="I337" s="67">
        <v>3</v>
      </c>
      <c r="J337" s="68">
        <v>2020</v>
      </c>
      <c r="K337" s="69">
        <v>1</v>
      </c>
      <c r="L337" s="70">
        <v>3</v>
      </c>
      <c r="M337" s="71" t="s">
        <v>140</v>
      </c>
      <c r="N337" s="71" t="s">
        <v>18</v>
      </c>
      <c r="O337" s="71" t="s">
        <v>114</v>
      </c>
      <c r="P337" s="71" t="s">
        <v>102</v>
      </c>
      <c r="Q337" s="61" t="s">
        <v>74</v>
      </c>
      <c r="R337" s="63" t="s">
        <v>112</v>
      </c>
      <c r="S337" s="72" t="s">
        <v>444</v>
      </c>
      <c r="T337" s="61" t="s">
        <v>845</v>
      </c>
      <c r="U337" s="73" t="s">
        <v>859</v>
      </c>
      <c r="V337" s="62">
        <v>107445</v>
      </c>
      <c r="W337" s="62" t="s">
        <v>495</v>
      </c>
      <c r="X337" s="62" t="s">
        <v>402</v>
      </c>
      <c r="Y337" s="93">
        <v>1</v>
      </c>
      <c r="Z337" s="94">
        <v>1</v>
      </c>
      <c r="AA337" s="74">
        <v>381</v>
      </c>
      <c r="AB337" s="75">
        <v>383</v>
      </c>
      <c r="AC337" s="75">
        <v>57004.283180417464</v>
      </c>
      <c r="AD337" s="76">
        <v>68405.139816268391</v>
      </c>
      <c r="AE337" s="77">
        <v>252.59156822</v>
      </c>
      <c r="AF337" s="75">
        <v>254.51447666999999</v>
      </c>
      <c r="AG337" s="78">
        <v>37675.271525088669</v>
      </c>
      <c r="AH337" s="79">
        <v>45210.32583057155</v>
      </c>
      <c r="AI337" s="74">
        <v>18084.130331996046</v>
      </c>
      <c r="AJ337" s="75">
        <v>0</v>
      </c>
      <c r="AK337" s="75">
        <v>0</v>
      </c>
      <c r="AL337" s="80">
        <v>18084.130331996046</v>
      </c>
      <c r="AM337" s="74">
        <v>12</v>
      </c>
      <c r="AN337" s="74">
        <v>3</v>
      </c>
      <c r="AO337" s="81">
        <v>0.25</v>
      </c>
      <c r="AP337" s="82">
        <v>44</v>
      </c>
      <c r="AQ337" s="75">
        <v>4340.7756780045347</v>
      </c>
      <c r="AR337" s="75">
        <v>5834.4206473632194</v>
      </c>
      <c r="AS337" s="80">
        <v>10175.196325367753</v>
      </c>
      <c r="AT337" s="74">
        <v>999.1482008605152</v>
      </c>
      <c r="AU337" s="75">
        <v>1134.0256729112157</v>
      </c>
      <c r="AV337" s="75">
        <v>1939.522978080121</v>
      </c>
      <c r="AW337" s="75">
        <v>914.90629372637954</v>
      </c>
      <c r="AX337" s="80">
        <v>4987.6031455782313</v>
      </c>
      <c r="AY337" s="81">
        <v>0.17287818192381174</v>
      </c>
      <c r="AZ337" s="83">
        <v>231.25446194017621</v>
      </c>
      <c r="BA337" s="80">
        <v>39.978850941986984</v>
      </c>
      <c r="BB337" s="84">
        <v>6367.8647002267571</v>
      </c>
      <c r="BC337" s="85">
        <v>3.283211785678418</v>
      </c>
      <c r="BD337" s="86">
        <v>0.16901974272398479</v>
      </c>
      <c r="BE337" s="84">
        <v>7282.7709939531378</v>
      </c>
      <c r="BF337" s="87">
        <v>2.5513930458483718</v>
      </c>
      <c r="BG337" s="88">
        <v>0.19330374272428014</v>
      </c>
      <c r="BH337" s="89">
        <v>0.27007625727639145</v>
      </c>
      <c r="BI337" s="90">
        <v>0.47999999999876536</v>
      </c>
      <c r="BJ337" s="90">
        <v>0.1323840000000237</v>
      </c>
      <c r="BK337" s="91">
        <v>0.88246025727518052</v>
      </c>
      <c r="BL337" s="92">
        <v>4428.341722146637</v>
      </c>
      <c r="BM337" s="95">
        <v>0</v>
      </c>
      <c r="BN337" t="s">
        <v>402</v>
      </c>
      <c r="BO337">
        <v>0.85994999999999999</v>
      </c>
    </row>
    <row r="338" spans="1:67">
      <c r="A338" s="61" t="str">
        <f t="shared" si="5"/>
        <v>UK</v>
      </c>
      <c r="B338" s="62" t="s">
        <v>64</v>
      </c>
      <c r="C338" s="62" t="s">
        <v>176</v>
      </c>
      <c r="D338" s="63" t="s">
        <v>97</v>
      </c>
      <c r="E338" s="64">
        <v>43831</v>
      </c>
      <c r="F338" s="64">
        <v>43921</v>
      </c>
      <c r="G338" s="65">
        <v>43995</v>
      </c>
      <c r="H338" s="66" t="s">
        <v>132</v>
      </c>
      <c r="I338" s="67">
        <v>3</v>
      </c>
      <c r="J338" s="68">
        <v>2020</v>
      </c>
      <c r="K338" s="69">
        <v>1</v>
      </c>
      <c r="L338" s="70">
        <v>3</v>
      </c>
      <c r="M338" s="71" t="s">
        <v>140</v>
      </c>
      <c r="N338" s="71" t="s">
        <v>18</v>
      </c>
      <c r="O338" s="71" t="s">
        <v>114</v>
      </c>
      <c r="P338" s="71" t="s">
        <v>102</v>
      </c>
      <c r="Q338" s="61" t="s">
        <v>74</v>
      </c>
      <c r="R338" s="63" t="s">
        <v>106</v>
      </c>
      <c r="S338" s="72" t="s">
        <v>444</v>
      </c>
      <c r="T338" s="61" t="s">
        <v>860</v>
      </c>
      <c r="U338" s="73" t="s">
        <v>861</v>
      </c>
      <c r="V338" s="62">
        <v>107446</v>
      </c>
      <c r="W338" s="62" t="s">
        <v>495</v>
      </c>
      <c r="X338" s="62" t="s">
        <v>402</v>
      </c>
      <c r="Y338" s="93">
        <v>1</v>
      </c>
      <c r="Z338" s="94">
        <v>1</v>
      </c>
      <c r="AA338" s="74">
        <v>40</v>
      </c>
      <c r="AB338" s="75">
        <v>43</v>
      </c>
      <c r="AC338" s="75">
        <v>541.69816074190362</v>
      </c>
      <c r="AD338" s="76">
        <v>650.03779289493571</v>
      </c>
      <c r="AE338" s="77">
        <v>48.831000000000003</v>
      </c>
      <c r="AF338" s="75">
        <v>51.871000000000002</v>
      </c>
      <c r="AG338" s="78">
        <v>653.4517510669225</v>
      </c>
      <c r="AH338" s="79">
        <v>784.14210128495836</v>
      </c>
      <c r="AI338" s="74">
        <v>313.65684051398335</v>
      </c>
      <c r="AJ338" s="75">
        <v>0</v>
      </c>
      <c r="AK338" s="75">
        <v>0</v>
      </c>
      <c r="AL338" s="80">
        <v>313.65684051398335</v>
      </c>
      <c r="AM338" s="74">
        <v>0</v>
      </c>
      <c r="AN338" s="74">
        <v>0</v>
      </c>
      <c r="AO338" s="81" t="s">
        <v>403</v>
      </c>
      <c r="AP338" s="82">
        <v>0</v>
      </c>
      <c r="AQ338" s="75">
        <v>0</v>
      </c>
      <c r="AR338" s="75">
        <v>0</v>
      </c>
      <c r="AS338" s="80">
        <v>0</v>
      </c>
      <c r="AT338" s="74">
        <v>17.329540438397583</v>
      </c>
      <c r="AU338" s="75">
        <v>19.668897706843421</v>
      </c>
      <c r="AV338" s="75">
        <v>33.639696145124717</v>
      </c>
      <c r="AW338" s="75">
        <v>15.868422323390895</v>
      </c>
      <c r="AX338" s="80">
        <v>86.506556613756601</v>
      </c>
      <c r="AY338" s="81">
        <v>0</v>
      </c>
      <c r="AZ338" s="83" t="s">
        <v>403</v>
      </c>
      <c r="BA338" s="80" t="s">
        <v>403</v>
      </c>
      <c r="BB338" s="84">
        <v>286.92805008430719</v>
      </c>
      <c r="BC338" s="85">
        <v>8.5294483293331016</v>
      </c>
      <c r="BD338" s="86">
        <v>0.4390959999966727</v>
      </c>
      <c r="BE338" s="84">
        <v>302.7964724076981</v>
      </c>
      <c r="BF338" s="87">
        <v>6.1160973548259499</v>
      </c>
      <c r="BG338" s="88">
        <v>0.46337999999740997</v>
      </c>
      <c r="BH338" s="89">
        <v>0</v>
      </c>
      <c r="BI338" s="90">
        <v>0.48000000000284726</v>
      </c>
      <c r="BJ338" s="90">
        <v>0.13238400000078526</v>
      </c>
      <c r="BK338" s="91">
        <v>0.61238400000363247</v>
      </c>
      <c r="BL338" s="92">
        <v>253.28835393918257</v>
      </c>
      <c r="BM338" s="95">
        <v>0</v>
      </c>
      <c r="BN338" t="s">
        <v>402</v>
      </c>
      <c r="BO338">
        <v>0.85994999999999999</v>
      </c>
    </row>
    <row r="339" spans="1:67">
      <c r="A339" s="61" t="str">
        <f t="shared" si="5"/>
        <v>UK</v>
      </c>
      <c r="B339" s="62" t="s">
        <v>64</v>
      </c>
      <c r="C339" s="62" t="s">
        <v>176</v>
      </c>
      <c r="D339" s="63" t="s">
        <v>97</v>
      </c>
      <c r="E339" s="64">
        <v>43831</v>
      </c>
      <c r="F339" s="64">
        <v>43921</v>
      </c>
      <c r="G339" s="65">
        <v>43995</v>
      </c>
      <c r="H339" s="66" t="s">
        <v>132</v>
      </c>
      <c r="I339" s="67">
        <v>3</v>
      </c>
      <c r="J339" s="68">
        <v>2020</v>
      </c>
      <c r="K339" s="69">
        <v>1</v>
      </c>
      <c r="L339" s="70">
        <v>3</v>
      </c>
      <c r="M339" s="71" t="s">
        <v>140</v>
      </c>
      <c r="N339" s="71" t="s">
        <v>18</v>
      </c>
      <c r="O339" s="71" t="s">
        <v>114</v>
      </c>
      <c r="P339" s="71" t="s">
        <v>102</v>
      </c>
      <c r="Q339" s="61" t="s">
        <v>74</v>
      </c>
      <c r="R339" s="63" t="s">
        <v>106</v>
      </c>
      <c r="S339" s="72" t="s">
        <v>444</v>
      </c>
      <c r="T339" s="61" t="s">
        <v>860</v>
      </c>
      <c r="U339" s="73" t="s">
        <v>862</v>
      </c>
      <c r="V339" s="62">
        <v>106521</v>
      </c>
      <c r="W339" s="62" t="s">
        <v>495</v>
      </c>
      <c r="X339" s="62" t="s">
        <v>402</v>
      </c>
      <c r="Y339" s="93">
        <v>1</v>
      </c>
      <c r="Z339" s="94">
        <v>1</v>
      </c>
      <c r="AA339" s="74">
        <v>0</v>
      </c>
      <c r="AB339" s="75">
        <v>0</v>
      </c>
      <c r="AC339" s="75">
        <v>0</v>
      </c>
      <c r="AD339" s="76">
        <v>0</v>
      </c>
      <c r="AE339" s="77">
        <v>0.14421917810000001</v>
      </c>
      <c r="AF339" s="75">
        <v>0.14421917810000001</v>
      </c>
      <c r="AG339" s="78">
        <v>2.3758416452119309</v>
      </c>
      <c r="AH339" s="79">
        <v>2.8510099743008315</v>
      </c>
      <c r="AI339" s="74">
        <v>1.140403989766847</v>
      </c>
      <c r="AJ339" s="75">
        <v>0</v>
      </c>
      <c r="AK339" s="75">
        <v>0</v>
      </c>
      <c r="AL339" s="80">
        <v>1.140403989766847</v>
      </c>
      <c r="AM339" s="74">
        <v>0</v>
      </c>
      <c r="AN339" s="74">
        <v>0</v>
      </c>
      <c r="AO339" s="81" t="s">
        <v>403</v>
      </c>
      <c r="AP339" s="82">
        <v>0</v>
      </c>
      <c r="AQ339" s="75">
        <v>0</v>
      </c>
      <c r="AR339" s="75">
        <v>0</v>
      </c>
      <c r="AS339" s="80">
        <v>0</v>
      </c>
      <c r="AT339" s="74">
        <v>6.3007320425606139E-2</v>
      </c>
      <c r="AU339" s="75">
        <v>7.1512833536833534E-2</v>
      </c>
      <c r="AV339" s="75">
        <v>0.12230832792604222</v>
      </c>
      <c r="AW339" s="75">
        <v>5.7694938542938543E-2</v>
      </c>
      <c r="AX339" s="80">
        <v>0.31452342043142045</v>
      </c>
      <c r="AY339" s="81">
        <v>0</v>
      </c>
      <c r="AZ339" s="83" t="s">
        <v>403</v>
      </c>
      <c r="BA339" s="80" t="s">
        <v>403</v>
      </c>
      <c r="BB339" s="84">
        <v>1.0432225629397056</v>
      </c>
      <c r="BC339" s="85">
        <v>8.5294483264502201</v>
      </c>
      <c r="BD339" s="86">
        <v>0.4390959999552696</v>
      </c>
      <c r="BE339" s="84">
        <v>1.1009175014826442</v>
      </c>
      <c r="BF339" s="87">
        <v>6.1160973524464399</v>
      </c>
      <c r="BG339" s="88">
        <v>0.46337999996815432</v>
      </c>
      <c r="BH339" s="89">
        <v>0</v>
      </c>
      <c r="BI339" s="90">
        <v>0.48000000002740928</v>
      </c>
      <c r="BJ339" s="90">
        <v>0.13238400003017212</v>
      </c>
      <c r="BK339" s="91">
        <v>0.61238400005758142</v>
      </c>
      <c r="BL339" s="92">
        <v>0.92091423501366343</v>
      </c>
      <c r="BM339" s="95">
        <v>0</v>
      </c>
      <c r="BN339" t="s">
        <v>402</v>
      </c>
      <c r="BO339">
        <v>0.85994999999999999</v>
      </c>
    </row>
    <row r="340" spans="1:67">
      <c r="A340" s="61" t="str">
        <f t="shared" si="5"/>
        <v>UK</v>
      </c>
      <c r="B340" s="62" t="s">
        <v>64</v>
      </c>
      <c r="C340" s="62" t="s">
        <v>176</v>
      </c>
      <c r="D340" s="63" t="s">
        <v>97</v>
      </c>
      <c r="E340" s="64">
        <v>43831</v>
      </c>
      <c r="F340" s="64">
        <v>43921</v>
      </c>
      <c r="G340" s="65">
        <v>43995</v>
      </c>
      <c r="H340" s="66" t="s">
        <v>132</v>
      </c>
      <c r="I340" s="67">
        <v>3</v>
      </c>
      <c r="J340" s="68">
        <v>2020</v>
      </c>
      <c r="K340" s="69">
        <v>1</v>
      </c>
      <c r="L340" s="70">
        <v>3</v>
      </c>
      <c r="M340" s="71" t="s">
        <v>140</v>
      </c>
      <c r="N340" s="71" t="s">
        <v>18</v>
      </c>
      <c r="O340" s="71" t="s">
        <v>114</v>
      </c>
      <c r="P340" s="71" t="s">
        <v>102</v>
      </c>
      <c r="Q340" s="61" t="s">
        <v>74</v>
      </c>
      <c r="R340" s="63" t="s">
        <v>106</v>
      </c>
      <c r="S340" s="72" t="s">
        <v>444</v>
      </c>
      <c r="T340" s="61" t="s">
        <v>860</v>
      </c>
      <c r="U340" s="73" t="s">
        <v>863</v>
      </c>
      <c r="V340" s="62">
        <v>107447</v>
      </c>
      <c r="W340" s="62" t="s">
        <v>495</v>
      </c>
      <c r="X340" s="62" t="s">
        <v>402</v>
      </c>
      <c r="Y340" s="93">
        <v>1</v>
      </c>
      <c r="Z340" s="94">
        <v>1</v>
      </c>
      <c r="AA340" s="74">
        <v>34</v>
      </c>
      <c r="AB340" s="75">
        <v>38</v>
      </c>
      <c r="AC340" s="75">
        <v>645.38635967207392</v>
      </c>
      <c r="AD340" s="76">
        <v>774.46363160648878</v>
      </c>
      <c r="AE340" s="77">
        <v>86.202107436999995</v>
      </c>
      <c r="AF340" s="75">
        <v>94.069084889999999</v>
      </c>
      <c r="AG340" s="78">
        <v>1623.3923756032327</v>
      </c>
      <c r="AH340" s="79">
        <v>1948.0708506308506</v>
      </c>
      <c r="AI340" s="74">
        <v>779.2283402639689</v>
      </c>
      <c r="AJ340" s="75">
        <v>0</v>
      </c>
      <c r="AK340" s="75">
        <v>0</v>
      </c>
      <c r="AL340" s="80">
        <v>779.2283402639689</v>
      </c>
      <c r="AM340" s="74">
        <v>0</v>
      </c>
      <c r="AN340" s="74">
        <v>0</v>
      </c>
      <c r="AO340" s="81" t="s">
        <v>403</v>
      </c>
      <c r="AP340" s="82">
        <v>0</v>
      </c>
      <c r="AQ340" s="75">
        <v>0</v>
      </c>
      <c r="AR340" s="75">
        <v>0</v>
      </c>
      <c r="AS340" s="80">
        <v>0</v>
      </c>
      <c r="AT340" s="74">
        <v>43.052365799174368</v>
      </c>
      <c r="AU340" s="75">
        <v>48.864110504099074</v>
      </c>
      <c r="AV340" s="75">
        <v>83.572239492993788</v>
      </c>
      <c r="AW340" s="75">
        <v>39.422460447700452</v>
      </c>
      <c r="AX340" s="80">
        <v>214.91117624396767</v>
      </c>
      <c r="AY340" s="81">
        <v>0</v>
      </c>
      <c r="AZ340" s="83" t="s">
        <v>403</v>
      </c>
      <c r="BA340" s="80" t="s">
        <v>403</v>
      </c>
      <c r="BB340" s="84">
        <v>712.82509858828996</v>
      </c>
      <c r="BC340" s="85">
        <v>8.5294483301246107</v>
      </c>
      <c r="BD340" s="86">
        <v>0.43909600001873417</v>
      </c>
      <c r="BE340" s="84">
        <v>752.24755903599043</v>
      </c>
      <c r="BF340" s="87">
        <v>6.1160973554040154</v>
      </c>
      <c r="BG340" s="88">
        <v>0.46338000001784191</v>
      </c>
      <c r="BH340" s="89">
        <v>0</v>
      </c>
      <c r="BI340" s="90">
        <v>0.47999999998424114</v>
      </c>
      <c r="BJ340" s="90">
        <v>0.13238399999513939</v>
      </c>
      <c r="BK340" s="91">
        <v>0.61238399997938053</v>
      </c>
      <c r="BL340" s="92">
        <v>629.25285909529612</v>
      </c>
      <c r="BM340" s="95">
        <v>0</v>
      </c>
      <c r="BN340" t="s">
        <v>402</v>
      </c>
      <c r="BO340">
        <v>0.85994999999999999</v>
      </c>
    </row>
    <row r="341" spans="1:67">
      <c r="A341" s="61" t="str">
        <f t="shared" si="5"/>
        <v>UK</v>
      </c>
      <c r="B341" s="62" t="s">
        <v>64</v>
      </c>
      <c r="C341" s="62" t="s">
        <v>176</v>
      </c>
      <c r="D341" s="63" t="s">
        <v>97</v>
      </c>
      <c r="E341" s="64">
        <v>43831</v>
      </c>
      <c r="F341" s="64">
        <v>43921</v>
      </c>
      <c r="G341" s="65">
        <v>43995</v>
      </c>
      <c r="H341" s="66" t="s">
        <v>132</v>
      </c>
      <c r="I341" s="67">
        <v>3</v>
      </c>
      <c r="J341" s="68">
        <v>2020</v>
      </c>
      <c r="K341" s="69">
        <v>1</v>
      </c>
      <c r="L341" s="70">
        <v>3</v>
      </c>
      <c r="M341" s="71" t="s">
        <v>140</v>
      </c>
      <c r="N341" s="71" t="s">
        <v>18</v>
      </c>
      <c r="O341" s="71" t="s">
        <v>114</v>
      </c>
      <c r="P341" s="71" t="s">
        <v>102</v>
      </c>
      <c r="Q341" s="61" t="s">
        <v>74</v>
      </c>
      <c r="R341" s="63" t="s">
        <v>106</v>
      </c>
      <c r="S341" s="72" t="s">
        <v>444</v>
      </c>
      <c r="T341" s="61" t="s">
        <v>864</v>
      </c>
      <c r="U341" s="73" t="s">
        <v>865</v>
      </c>
      <c r="V341" s="62">
        <v>107448</v>
      </c>
      <c r="W341" s="62" t="s">
        <v>495</v>
      </c>
      <c r="X341" s="62" t="s">
        <v>402</v>
      </c>
      <c r="Y341" s="93">
        <v>1</v>
      </c>
      <c r="Z341" s="94">
        <v>1</v>
      </c>
      <c r="AA341" s="74">
        <v>27</v>
      </c>
      <c r="AB341" s="75">
        <v>28</v>
      </c>
      <c r="AC341" s="75">
        <v>3411.0510300598871</v>
      </c>
      <c r="AD341" s="76">
        <v>4093.2612361183792</v>
      </c>
      <c r="AE341" s="77">
        <v>58.237012808000003</v>
      </c>
      <c r="AF341" s="75">
        <v>60.647847972000001</v>
      </c>
      <c r="AG341" s="78">
        <v>11976.576030001745</v>
      </c>
      <c r="AH341" s="79">
        <v>14371.891235536948</v>
      </c>
      <c r="AI341" s="74">
        <v>4886.4430200593051</v>
      </c>
      <c r="AJ341" s="75">
        <v>0</v>
      </c>
      <c r="AK341" s="75">
        <v>0</v>
      </c>
      <c r="AL341" s="80">
        <v>4886.4430200593051</v>
      </c>
      <c r="AM341" s="74">
        <v>5</v>
      </c>
      <c r="AN341" s="74">
        <v>2</v>
      </c>
      <c r="AO341" s="81">
        <v>0.4</v>
      </c>
      <c r="AP341" s="82">
        <v>9</v>
      </c>
      <c r="AQ341" s="75">
        <v>485.98174099656956</v>
      </c>
      <c r="AR341" s="75">
        <v>17053.142365253792</v>
      </c>
      <c r="AS341" s="80">
        <v>17539.124106250361</v>
      </c>
      <c r="AT341" s="74">
        <v>361.5967834874121</v>
      </c>
      <c r="AU341" s="75">
        <v>360.49493849642425</v>
      </c>
      <c r="AV341" s="75">
        <v>701.92316795162515</v>
      </c>
      <c r="AW341" s="75">
        <v>331.10921154718295</v>
      </c>
      <c r="AX341" s="80">
        <v>1755.1241014826444</v>
      </c>
      <c r="AY341" s="81">
        <v>0.14839768105465398</v>
      </c>
      <c r="AZ341" s="83">
        <v>1948.7915673611512</v>
      </c>
      <c r="BA341" s="80">
        <v>289.19614945525933</v>
      </c>
      <c r="BB341" s="84">
        <v>-11502.192029838943</v>
      </c>
      <c r="BC341" s="85">
        <v>-16.38668241056213</v>
      </c>
      <c r="BD341" s="86">
        <v>-0.96039068269808892</v>
      </c>
      <c r="BE341" s="84">
        <v>-11171.082818291759</v>
      </c>
      <c r="BF341" s="87">
        <v>-10.813874801980154</v>
      </c>
      <c r="BG341" s="88">
        <v>-0.93274428269881171</v>
      </c>
      <c r="BH341" s="89">
        <v>1.4644522827153803</v>
      </c>
      <c r="BI341" s="90">
        <v>0.4079999999848532</v>
      </c>
      <c r="BJ341" s="90">
        <v>0.14654639999662647</v>
      </c>
      <c r="BK341" s="91">
        <v>2.0189986826968598</v>
      </c>
      <c r="BL341" s="92">
        <v>-12204.115197790567</v>
      </c>
      <c r="BM341" s="95">
        <v>0</v>
      </c>
      <c r="BN341" t="s">
        <v>402</v>
      </c>
      <c r="BO341">
        <v>0.85994999999999999</v>
      </c>
    </row>
    <row r="342" spans="1:67">
      <c r="A342" s="61" t="str">
        <f t="shared" si="5"/>
        <v>UK</v>
      </c>
      <c r="B342" s="62" t="s">
        <v>64</v>
      </c>
      <c r="C342" s="62" t="s">
        <v>176</v>
      </c>
      <c r="D342" s="63" t="s">
        <v>97</v>
      </c>
      <c r="E342" s="64">
        <v>43831</v>
      </c>
      <c r="F342" s="64">
        <v>43921</v>
      </c>
      <c r="G342" s="65">
        <v>43995</v>
      </c>
      <c r="H342" s="66" t="s">
        <v>132</v>
      </c>
      <c r="I342" s="67">
        <v>3</v>
      </c>
      <c r="J342" s="68">
        <v>2020</v>
      </c>
      <c r="K342" s="69">
        <v>1</v>
      </c>
      <c r="L342" s="70">
        <v>3</v>
      </c>
      <c r="M342" s="71" t="s">
        <v>140</v>
      </c>
      <c r="N342" s="71" t="s">
        <v>18</v>
      </c>
      <c r="O342" s="71" t="s">
        <v>114</v>
      </c>
      <c r="P342" s="71" t="s">
        <v>102</v>
      </c>
      <c r="Q342" s="61" t="s">
        <v>74</v>
      </c>
      <c r="R342" s="63" t="s">
        <v>106</v>
      </c>
      <c r="S342" s="72" t="s">
        <v>444</v>
      </c>
      <c r="T342" s="61" t="s">
        <v>864</v>
      </c>
      <c r="U342" s="73" t="s">
        <v>866</v>
      </c>
      <c r="V342" s="62">
        <v>107449</v>
      </c>
      <c r="W342" s="62" t="s">
        <v>495</v>
      </c>
      <c r="X342" s="62" t="s">
        <v>402</v>
      </c>
      <c r="Y342" s="93">
        <v>1</v>
      </c>
      <c r="Z342" s="94">
        <v>1</v>
      </c>
      <c r="AA342" s="74">
        <v>27</v>
      </c>
      <c r="AB342" s="75">
        <v>27</v>
      </c>
      <c r="AC342" s="75">
        <v>7103.1746060817486</v>
      </c>
      <c r="AD342" s="76">
        <v>8523.8095274143852</v>
      </c>
      <c r="AE342" s="77">
        <v>158.57364731000001</v>
      </c>
      <c r="AF342" s="75">
        <v>159.03848246999999</v>
      </c>
      <c r="AG342" s="78">
        <v>66381.092371649516</v>
      </c>
      <c r="AH342" s="79">
        <v>79657.310845979417</v>
      </c>
      <c r="AI342" s="74">
        <v>27083.485687539975</v>
      </c>
      <c r="AJ342" s="75">
        <v>0</v>
      </c>
      <c r="AK342" s="75">
        <v>0</v>
      </c>
      <c r="AL342" s="80">
        <v>27083.485687539975</v>
      </c>
      <c r="AM342" s="74">
        <v>27</v>
      </c>
      <c r="AN342" s="74">
        <v>8</v>
      </c>
      <c r="AO342" s="81">
        <v>0.29629629629629628</v>
      </c>
      <c r="AP342" s="82">
        <v>82</v>
      </c>
      <c r="AQ342" s="75">
        <v>46191.302324553755</v>
      </c>
      <c r="AR342" s="75">
        <v>78182.152828652834</v>
      </c>
      <c r="AS342" s="80">
        <v>124373.4551532066</v>
      </c>
      <c r="AT342" s="74">
        <v>2004.1779409267981</v>
      </c>
      <c r="AU342" s="75">
        <v>1998.0708804000233</v>
      </c>
      <c r="AV342" s="75">
        <v>3890.4630616896334</v>
      </c>
      <c r="AW342" s="75">
        <v>1835.1982321065179</v>
      </c>
      <c r="AX342" s="80">
        <v>9727.9101151229734</v>
      </c>
      <c r="AY342" s="81">
        <v>0.51559848111269524</v>
      </c>
      <c r="AZ342" s="83">
        <v>1516.7494530878853</v>
      </c>
      <c r="BA342" s="80">
        <v>782.03371424062482</v>
      </c>
      <c r="BB342" s="84">
        <v>-90913.295522530389</v>
      </c>
      <c r="BC342" s="85">
        <v>-23.368245394173368</v>
      </c>
      <c r="BD342" s="86">
        <v>-1.3695661260518552</v>
      </c>
      <c r="BE342" s="84">
        <v>-89078.097290423873</v>
      </c>
      <c r="BF342" s="87">
        <v>-15.557695909630818</v>
      </c>
      <c r="BG342" s="88">
        <v>-1.3419197260524134</v>
      </c>
      <c r="BH342" s="89">
        <v>1.8736277260529814</v>
      </c>
      <c r="BI342" s="90">
        <v>0.40799999999859859</v>
      </c>
      <c r="BJ342" s="90">
        <v>0.1465463999998535</v>
      </c>
      <c r="BK342" s="91">
        <v>2.4281741260514336</v>
      </c>
      <c r="BL342" s="92">
        <v>-94803.758584220021</v>
      </c>
      <c r="BM342" s="95">
        <v>0</v>
      </c>
      <c r="BN342" t="s">
        <v>402</v>
      </c>
      <c r="BO342">
        <v>0.85994999999999999</v>
      </c>
    </row>
    <row r="343" spans="1:67">
      <c r="A343" s="61" t="str">
        <f t="shared" si="5"/>
        <v>UK</v>
      </c>
      <c r="B343" s="62" t="s">
        <v>64</v>
      </c>
      <c r="C343" s="62" t="s">
        <v>176</v>
      </c>
      <c r="D343" s="63" t="s">
        <v>97</v>
      </c>
      <c r="E343" s="64">
        <v>43831</v>
      </c>
      <c r="F343" s="64">
        <v>43921</v>
      </c>
      <c r="G343" s="65">
        <v>43995</v>
      </c>
      <c r="H343" s="66" t="s">
        <v>132</v>
      </c>
      <c r="I343" s="67">
        <v>3</v>
      </c>
      <c r="J343" s="68">
        <v>2020</v>
      </c>
      <c r="K343" s="69">
        <v>1</v>
      </c>
      <c r="L343" s="70">
        <v>3</v>
      </c>
      <c r="M343" s="71" t="s">
        <v>140</v>
      </c>
      <c r="N343" s="71" t="s">
        <v>18</v>
      </c>
      <c r="O343" s="71" t="s">
        <v>114</v>
      </c>
      <c r="P343" s="71" t="s">
        <v>102</v>
      </c>
      <c r="Q343" s="61" t="s">
        <v>74</v>
      </c>
      <c r="R343" s="63" t="s">
        <v>106</v>
      </c>
      <c r="S343" s="72" t="s">
        <v>444</v>
      </c>
      <c r="T343" s="61" t="s">
        <v>864</v>
      </c>
      <c r="U343" s="73" t="s">
        <v>867</v>
      </c>
      <c r="V343" s="62">
        <v>107450</v>
      </c>
      <c r="W343" s="62" t="s">
        <v>495</v>
      </c>
      <c r="X343" s="62" t="s">
        <v>402</v>
      </c>
      <c r="Y343" s="93">
        <v>1</v>
      </c>
      <c r="Z343" s="94">
        <v>1</v>
      </c>
      <c r="AA343" s="74">
        <v>16</v>
      </c>
      <c r="AB343" s="75">
        <v>16</v>
      </c>
      <c r="AC343" s="75">
        <v>908.96757563811855</v>
      </c>
      <c r="AD343" s="76">
        <v>1090.7610907610908</v>
      </c>
      <c r="AE343" s="77">
        <v>30.499525500000001</v>
      </c>
      <c r="AF343" s="75">
        <v>30.499525500000001</v>
      </c>
      <c r="AG343" s="78">
        <v>5567.5694029885453</v>
      </c>
      <c r="AH343" s="79">
        <v>6681.0832836792842</v>
      </c>
      <c r="AI343" s="74">
        <v>2271.5683164137449</v>
      </c>
      <c r="AJ343" s="75">
        <v>0</v>
      </c>
      <c r="AK343" s="75">
        <v>0</v>
      </c>
      <c r="AL343" s="80">
        <v>2271.5683164137449</v>
      </c>
      <c r="AM343" s="74">
        <v>3</v>
      </c>
      <c r="AN343" s="74">
        <v>0</v>
      </c>
      <c r="AO343" s="81">
        <v>0</v>
      </c>
      <c r="AP343" s="82">
        <v>5</v>
      </c>
      <c r="AQ343" s="75">
        <v>491.01691958834817</v>
      </c>
      <c r="AR343" s="75">
        <v>491.01691958834817</v>
      </c>
      <c r="AS343" s="80">
        <v>982.03383917669635</v>
      </c>
      <c r="AT343" s="74">
        <v>168.09605542182686</v>
      </c>
      <c r="AU343" s="75">
        <v>167.58383903715335</v>
      </c>
      <c r="AV343" s="75">
        <v>326.30410757602186</v>
      </c>
      <c r="AW343" s="75">
        <v>153.92325074713648</v>
      </c>
      <c r="AX343" s="80">
        <v>815.90725278213858</v>
      </c>
      <c r="AY343" s="81">
        <v>0.16393697665886639</v>
      </c>
      <c r="AZ343" s="83">
        <v>196.40676783533928</v>
      </c>
      <c r="BA343" s="80">
        <v>32.198331714265407</v>
      </c>
      <c r="BB343" s="84">
        <v>1824.3641021919875</v>
      </c>
      <c r="BC343" s="85">
        <v>5.5909933704004926</v>
      </c>
      <c r="BD343" s="86">
        <v>0.32767693945812515</v>
      </c>
      <c r="BE343" s="84">
        <v>1978.287352939124</v>
      </c>
      <c r="BF343" s="87">
        <v>4.1194807389708927</v>
      </c>
      <c r="BG343" s="88">
        <v>0.35532333945890715</v>
      </c>
      <c r="BH343" s="89">
        <v>0.17638466053958174</v>
      </c>
      <c r="BI343" s="90">
        <v>0.4079999999989975</v>
      </c>
      <c r="BJ343" s="90">
        <v>0.1465464000043139</v>
      </c>
      <c r="BK343" s="91">
        <v>0.73093106054289314</v>
      </c>
      <c r="BL343" s="92">
        <v>1498.0599946159655</v>
      </c>
      <c r="BM343" s="95">
        <v>0</v>
      </c>
      <c r="BN343" t="s">
        <v>402</v>
      </c>
      <c r="BO343">
        <v>0.85994999999999999</v>
      </c>
    </row>
    <row r="344" spans="1:67">
      <c r="A344" s="61" t="str">
        <f t="shared" si="5"/>
        <v>UK</v>
      </c>
      <c r="B344" s="62" t="s">
        <v>64</v>
      </c>
      <c r="C344" s="62" t="s">
        <v>176</v>
      </c>
      <c r="D344" s="63" t="s">
        <v>97</v>
      </c>
      <c r="E344" s="64">
        <v>43831</v>
      </c>
      <c r="F344" s="64">
        <v>43921</v>
      </c>
      <c r="G344" s="65">
        <v>43995</v>
      </c>
      <c r="H344" s="66" t="s">
        <v>132</v>
      </c>
      <c r="I344" s="67">
        <v>3</v>
      </c>
      <c r="J344" s="68">
        <v>2020</v>
      </c>
      <c r="K344" s="69">
        <v>1</v>
      </c>
      <c r="L344" s="70">
        <v>3</v>
      </c>
      <c r="M344" s="71" t="s">
        <v>140</v>
      </c>
      <c r="N344" s="71" t="s">
        <v>18</v>
      </c>
      <c r="O344" s="71" t="s">
        <v>114</v>
      </c>
      <c r="P344" s="71" t="s">
        <v>102</v>
      </c>
      <c r="Q344" s="61" t="s">
        <v>74</v>
      </c>
      <c r="R344" s="63" t="s">
        <v>106</v>
      </c>
      <c r="S344" s="72" t="s">
        <v>444</v>
      </c>
      <c r="T344" s="61" t="s">
        <v>868</v>
      </c>
      <c r="U344" s="73" t="s">
        <v>869</v>
      </c>
      <c r="V344" s="62">
        <v>106535</v>
      </c>
      <c r="W344" s="62" t="s">
        <v>495</v>
      </c>
      <c r="X344" s="62" t="s">
        <v>402</v>
      </c>
      <c r="Y344" s="93">
        <v>1</v>
      </c>
      <c r="Z344" s="94">
        <v>1</v>
      </c>
      <c r="AA344" s="74">
        <v>0</v>
      </c>
      <c r="AB344" s="75">
        <v>0</v>
      </c>
      <c r="AC344" s="75">
        <v>0</v>
      </c>
      <c r="AD344" s="76">
        <v>0</v>
      </c>
      <c r="AE344" s="77">
        <v>0</v>
      </c>
      <c r="AF344" s="75">
        <v>0</v>
      </c>
      <c r="AG344" s="78">
        <v>0</v>
      </c>
      <c r="AH344" s="79">
        <v>0</v>
      </c>
      <c r="AI344" s="74">
        <v>0</v>
      </c>
      <c r="AJ344" s="75">
        <v>0</v>
      </c>
      <c r="AK344" s="75">
        <v>0</v>
      </c>
      <c r="AL344" s="80">
        <v>0</v>
      </c>
      <c r="AM344" s="74">
        <v>0</v>
      </c>
      <c r="AN344" s="74">
        <v>0</v>
      </c>
      <c r="AO344" s="81" t="s">
        <v>403</v>
      </c>
      <c r="AP344" s="82">
        <v>0</v>
      </c>
      <c r="AQ344" s="75">
        <v>0</v>
      </c>
      <c r="AR344" s="75">
        <v>0</v>
      </c>
      <c r="AS344" s="80">
        <v>0</v>
      </c>
      <c r="AT344" s="74">
        <v>0</v>
      </c>
      <c r="AU344" s="75">
        <v>0</v>
      </c>
      <c r="AV344" s="75">
        <v>0</v>
      </c>
      <c r="AW344" s="75">
        <v>0</v>
      </c>
      <c r="AX344" s="80">
        <v>0</v>
      </c>
      <c r="AY344" s="81" t="s">
        <v>403</v>
      </c>
      <c r="AZ344" s="83" t="s">
        <v>403</v>
      </c>
      <c r="BA344" s="80" t="s">
        <v>403</v>
      </c>
      <c r="BB344" s="84">
        <v>0</v>
      </c>
      <c r="BC344" s="85" t="s">
        <v>403</v>
      </c>
      <c r="BD344" s="86" t="s">
        <v>403</v>
      </c>
      <c r="BE344" s="84">
        <v>0</v>
      </c>
      <c r="BF344" s="87" t="s">
        <v>403</v>
      </c>
      <c r="BG344" s="88" t="s">
        <v>403</v>
      </c>
      <c r="BH344" s="89" t="s">
        <v>403</v>
      </c>
      <c r="BI344" s="90" t="s">
        <v>403</v>
      </c>
      <c r="BJ344" s="90" t="s">
        <v>403</v>
      </c>
      <c r="BK344" s="91">
        <v>0</v>
      </c>
      <c r="BL344" s="92">
        <v>0</v>
      </c>
      <c r="BM344" s="95">
        <v>0</v>
      </c>
      <c r="BN344" t="s">
        <v>402</v>
      </c>
      <c r="BO344">
        <v>0.85994999999999999</v>
      </c>
    </row>
    <row r="345" spans="1:67">
      <c r="A345" s="61" t="str">
        <f t="shared" si="5"/>
        <v>UK</v>
      </c>
      <c r="B345" s="62" t="s">
        <v>64</v>
      </c>
      <c r="C345" s="62" t="s">
        <v>176</v>
      </c>
      <c r="D345" s="63" t="s">
        <v>97</v>
      </c>
      <c r="E345" s="64">
        <v>43831</v>
      </c>
      <c r="F345" s="64">
        <v>43921</v>
      </c>
      <c r="G345" s="65">
        <v>43995</v>
      </c>
      <c r="H345" s="66" t="s">
        <v>132</v>
      </c>
      <c r="I345" s="67">
        <v>3</v>
      </c>
      <c r="J345" s="68">
        <v>2020</v>
      </c>
      <c r="K345" s="69">
        <v>1</v>
      </c>
      <c r="L345" s="70">
        <v>3</v>
      </c>
      <c r="M345" s="71" t="s">
        <v>140</v>
      </c>
      <c r="N345" s="71" t="s">
        <v>18</v>
      </c>
      <c r="O345" s="71" t="s">
        <v>114</v>
      </c>
      <c r="P345" s="71" t="s">
        <v>102</v>
      </c>
      <c r="Q345" s="61" t="s">
        <v>74</v>
      </c>
      <c r="R345" s="63" t="s">
        <v>106</v>
      </c>
      <c r="S345" s="72" t="s">
        <v>444</v>
      </c>
      <c r="T345" s="61" t="s">
        <v>868</v>
      </c>
      <c r="U345" s="73" t="s">
        <v>870</v>
      </c>
      <c r="V345" s="62">
        <v>107452</v>
      </c>
      <c r="W345" s="62" t="s">
        <v>495</v>
      </c>
      <c r="X345" s="62" t="s">
        <v>402</v>
      </c>
      <c r="Y345" s="93">
        <v>1</v>
      </c>
      <c r="Z345" s="94">
        <v>1</v>
      </c>
      <c r="AA345" s="74">
        <v>29</v>
      </c>
      <c r="AB345" s="75">
        <v>29</v>
      </c>
      <c r="AC345" s="75">
        <v>7537.2599182510612</v>
      </c>
      <c r="AD345" s="76">
        <v>9044.7119018547583</v>
      </c>
      <c r="AE345" s="77">
        <v>22.173795643999998</v>
      </c>
      <c r="AF345" s="75">
        <v>22.173795643999998</v>
      </c>
      <c r="AG345" s="78">
        <v>5116.5801715216003</v>
      </c>
      <c r="AH345" s="79">
        <v>6139.8962058259194</v>
      </c>
      <c r="AI345" s="74">
        <v>2087.5647099249959</v>
      </c>
      <c r="AJ345" s="75">
        <v>0</v>
      </c>
      <c r="AK345" s="75">
        <v>0</v>
      </c>
      <c r="AL345" s="80">
        <v>2087.5647099249959</v>
      </c>
      <c r="AM345" s="74">
        <v>0</v>
      </c>
      <c r="AN345" s="74">
        <v>0</v>
      </c>
      <c r="AO345" s="81" t="s">
        <v>403</v>
      </c>
      <c r="AP345" s="82">
        <v>2</v>
      </c>
      <c r="AQ345" s="75">
        <v>0</v>
      </c>
      <c r="AR345" s="75">
        <v>0</v>
      </c>
      <c r="AS345" s="80">
        <v>0</v>
      </c>
      <c r="AT345" s="74">
        <v>154.47978853421708</v>
      </c>
      <c r="AU345" s="75">
        <v>154.00906316646316</v>
      </c>
      <c r="AV345" s="75">
        <v>299.87253069364499</v>
      </c>
      <c r="AW345" s="75">
        <v>141.45502205942205</v>
      </c>
      <c r="AX345" s="80">
        <v>749.81640445374728</v>
      </c>
      <c r="AY345" s="81">
        <v>9.0196555975800174E-2</v>
      </c>
      <c r="AZ345" s="83">
        <v>0</v>
      </c>
      <c r="BA345" s="80">
        <v>0</v>
      </c>
      <c r="BB345" s="84">
        <v>2579.0715878365022</v>
      </c>
      <c r="BC345" s="85">
        <v>8.6005596506981394</v>
      </c>
      <c r="BD345" s="86">
        <v>0.50406160000997735</v>
      </c>
      <c r="BE345" s="84">
        <v>2720.5266098959241</v>
      </c>
      <c r="BF345" s="87">
        <v>6.1644159602655071</v>
      </c>
      <c r="BG345" s="88">
        <v>0.5317080000110459</v>
      </c>
      <c r="BH345" s="89">
        <v>0</v>
      </c>
      <c r="BI345" s="90">
        <v>0.40799999998909098</v>
      </c>
      <c r="BJ345" s="90">
        <v>0.14654640000114807</v>
      </c>
      <c r="BK345" s="91">
        <v>0.55454639999023903</v>
      </c>
      <c r="BL345" s="92">
        <v>2279.1990571428569</v>
      </c>
      <c r="BM345" s="95">
        <v>0</v>
      </c>
      <c r="BN345" t="s">
        <v>402</v>
      </c>
      <c r="BO345">
        <v>0.85994999999999999</v>
      </c>
    </row>
    <row r="346" spans="1:67">
      <c r="A346" s="61" t="str">
        <f t="shared" si="5"/>
        <v>UK</v>
      </c>
      <c r="B346" s="62" t="s">
        <v>64</v>
      </c>
      <c r="C346" s="62" t="s">
        <v>176</v>
      </c>
      <c r="D346" s="63" t="s">
        <v>97</v>
      </c>
      <c r="E346" s="64">
        <v>43831</v>
      </c>
      <c r="F346" s="64">
        <v>43921</v>
      </c>
      <c r="G346" s="65">
        <v>43995</v>
      </c>
      <c r="H346" s="66" t="s">
        <v>132</v>
      </c>
      <c r="I346" s="67">
        <v>3</v>
      </c>
      <c r="J346" s="68">
        <v>2020</v>
      </c>
      <c r="K346" s="69">
        <v>1</v>
      </c>
      <c r="L346" s="70">
        <v>3</v>
      </c>
      <c r="M346" s="71" t="s">
        <v>140</v>
      </c>
      <c r="N346" s="71" t="s">
        <v>18</v>
      </c>
      <c r="O346" s="71" t="s">
        <v>114</v>
      </c>
      <c r="P346" s="71" t="s">
        <v>102</v>
      </c>
      <c r="Q346" s="61" t="s">
        <v>74</v>
      </c>
      <c r="R346" s="63" t="s">
        <v>106</v>
      </c>
      <c r="S346" s="72" t="s">
        <v>444</v>
      </c>
      <c r="T346" s="61" t="s">
        <v>868</v>
      </c>
      <c r="U346" s="73" t="s">
        <v>871</v>
      </c>
      <c r="V346" s="62">
        <v>107453</v>
      </c>
      <c r="W346" s="62" t="s">
        <v>495</v>
      </c>
      <c r="X346" s="62" t="s">
        <v>402</v>
      </c>
      <c r="Y346" s="93">
        <v>1</v>
      </c>
      <c r="Z346" s="94">
        <v>1</v>
      </c>
      <c r="AA346" s="74">
        <v>10</v>
      </c>
      <c r="AB346" s="75">
        <v>10</v>
      </c>
      <c r="AC346" s="75">
        <v>3396.9513701959418</v>
      </c>
      <c r="AD346" s="76">
        <v>4076.3416441653585</v>
      </c>
      <c r="AE346" s="77">
        <v>4.5765359187000003</v>
      </c>
      <c r="AF346" s="75">
        <v>4.5765359187000003</v>
      </c>
      <c r="AG346" s="78">
        <v>1363.8295812547242</v>
      </c>
      <c r="AH346" s="79">
        <v>1636.5954974126403</v>
      </c>
      <c r="AI346" s="74">
        <v>556.44246913192626</v>
      </c>
      <c r="AJ346" s="75">
        <v>0</v>
      </c>
      <c r="AK346" s="75">
        <v>0</v>
      </c>
      <c r="AL346" s="80">
        <v>556.44246913192626</v>
      </c>
      <c r="AM346" s="74">
        <v>0</v>
      </c>
      <c r="AN346" s="74">
        <v>0</v>
      </c>
      <c r="AO346" s="81" t="s">
        <v>403</v>
      </c>
      <c r="AP346" s="82">
        <v>0</v>
      </c>
      <c r="AQ346" s="75">
        <v>0</v>
      </c>
      <c r="AR346" s="75">
        <v>0</v>
      </c>
      <c r="AS346" s="80">
        <v>0</v>
      </c>
      <c r="AT346" s="74">
        <v>41.176742715274145</v>
      </c>
      <c r="AU346" s="75">
        <v>41.051270393627533</v>
      </c>
      <c r="AV346" s="75">
        <v>79.931324095586945</v>
      </c>
      <c r="AW346" s="75">
        <v>37.704978133612414</v>
      </c>
      <c r="AX346" s="80">
        <v>199.86431533810105</v>
      </c>
      <c r="AY346" s="81">
        <v>0</v>
      </c>
      <c r="AZ346" s="83" t="s">
        <v>403</v>
      </c>
      <c r="BA346" s="80" t="s">
        <v>403</v>
      </c>
      <c r="BB346" s="84">
        <v>687.45412088028388</v>
      </c>
      <c r="BC346" s="85">
        <v>8.6005596511598217</v>
      </c>
      <c r="BD346" s="86">
        <v>0.50406160001884226</v>
      </c>
      <c r="BE346" s="84">
        <v>725.15909901389625</v>
      </c>
      <c r="BF346" s="87">
        <v>6.1644159606531668</v>
      </c>
      <c r="BG346" s="88">
        <v>0.53170800001767771</v>
      </c>
      <c r="BH346" s="89">
        <v>0</v>
      </c>
      <c r="BI346" s="90">
        <v>0.40799999998533454</v>
      </c>
      <c r="BJ346" s="90">
        <v>0.14654639999392427</v>
      </c>
      <c r="BK346" s="91">
        <v>0.55454639997925881</v>
      </c>
      <c r="BL346" s="92">
        <v>607.52279678469688</v>
      </c>
      <c r="BM346" s="95">
        <v>0</v>
      </c>
      <c r="BN346" t="s">
        <v>402</v>
      </c>
      <c r="BO346">
        <v>0.85994999999999999</v>
      </c>
    </row>
    <row r="347" spans="1:67">
      <c r="A347" s="61" t="str">
        <f t="shared" si="5"/>
        <v>UK</v>
      </c>
      <c r="B347" s="62" t="s">
        <v>64</v>
      </c>
      <c r="C347" s="62" t="s">
        <v>176</v>
      </c>
      <c r="D347" s="63" t="s">
        <v>97</v>
      </c>
      <c r="E347" s="64">
        <v>43831</v>
      </c>
      <c r="F347" s="64">
        <v>43921</v>
      </c>
      <c r="G347" s="65">
        <v>43995</v>
      </c>
      <c r="H347" s="66" t="s">
        <v>132</v>
      </c>
      <c r="I347" s="67">
        <v>3</v>
      </c>
      <c r="J347" s="68">
        <v>2020</v>
      </c>
      <c r="K347" s="69">
        <v>1</v>
      </c>
      <c r="L347" s="70">
        <v>3</v>
      </c>
      <c r="M347" s="71" t="s">
        <v>140</v>
      </c>
      <c r="N347" s="71" t="s">
        <v>18</v>
      </c>
      <c r="O347" s="71" t="s">
        <v>114</v>
      </c>
      <c r="P347" s="71" t="s">
        <v>102</v>
      </c>
      <c r="Q347" s="61" t="s">
        <v>74</v>
      </c>
      <c r="R347" s="63" t="s">
        <v>106</v>
      </c>
      <c r="S347" s="72" t="s">
        <v>444</v>
      </c>
      <c r="T347" s="61" t="s">
        <v>868</v>
      </c>
      <c r="U347" s="73" t="s">
        <v>872</v>
      </c>
      <c r="V347" s="62">
        <v>107454</v>
      </c>
      <c r="W347" s="62" t="s">
        <v>495</v>
      </c>
      <c r="X347" s="62" t="s">
        <v>402</v>
      </c>
      <c r="Y347" s="93">
        <v>1</v>
      </c>
      <c r="Z347" s="94">
        <v>1</v>
      </c>
      <c r="AA347" s="74">
        <v>5</v>
      </c>
      <c r="AB347" s="75">
        <v>5</v>
      </c>
      <c r="AC347" s="75">
        <v>724.84834389208675</v>
      </c>
      <c r="AD347" s="76">
        <v>869.8180126751555</v>
      </c>
      <c r="AE347" s="77">
        <v>5.4920423252999999</v>
      </c>
      <c r="AF347" s="75">
        <v>5.4920423252999999</v>
      </c>
      <c r="AG347" s="78">
        <v>1038.7011982789697</v>
      </c>
      <c r="AH347" s="79">
        <v>1246.4414379905809</v>
      </c>
      <c r="AI347" s="74">
        <v>423.7900889005175</v>
      </c>
      <c r="AJ347" s="75">
        <v>0</v>
      </c>
      <c r="AK347" s="75">
        <v>0</v>
      </c>
      <c r="AL347" s="80">
        <v>423.7900889005175</v>
      </c>
      <c r="AM347" s="74">
        <v>0</v>
      </c>
      <c r="AN347" s="74">
        <v>0</v>
      </c>
      <c r="AO347" s="81" t="s">
        <v>403</v>
      </c>
      <c r="AP347" s="82">
        <v>1</v>
      </c>
      <c r="AQ347" s="75">
        <v>0</v>
      </c>
      <c r="AR347" s="75">
        <v>0</v>
      </c>
      <c r="AS347" s="80">
        <v>0</v>
      </c>
      <c r="AT347" s="74">
        <v>31.360466578289433</v>
      </c>
      <c r="AU347" s="75">
        <v>31.264906067794641</v>
      </c>
      <c r="AV347" s="75">
        <v>60.876199829059829</v>
      </c>
      <c r="AW347" s="75">
        <v>28.716348808651667</v>
      </c>
      <c r="AX347" s="80">
        <v>152.21792128379556</v>
      </c>
      <c r="AY347" s="81">
        <v>0.18208162660971036</v>
      </c>
      <c r="AZ347" s="83">
        <v>0</v>
      </c>
      <c r="BA347" s="80">
        <v>0</v>
      </c>
      <c r="BB347" s="84">
        <v>523.56938792371648</v>
      </c>
      <c r="BC347" s="85">
        <v>8.6005596504692736</v>
      </c>
      <c r="BD347" s="86">
        <v>0.5040615999974023</v>
      </c>
      <c r="BE347" s="84">
        <v>552.28573673236815</v>
      </c>
      <c r="BF347" s="87">
        <v>6.1644159601449129</v>
      </c>
      <c r="BG347" s="88">
        <v>0.53170799999793372</v>
      </c>
      <c r="BH347" s="89">
        <v>0</v>
      </c>
      <c r="BI347" s="90">
        <v>0.40800000000259734</v>
      </c>
      <c r="BJ347" s="90">
        <v>0.14654640000031419</v>
      </c>
      <c r="BK347" s="91">
        <v>0.55454640000291155</v>
      </c>
      <c r="BL347" s="92">
        <v>462.69318809465665</v>
      </c>
      <c r="BM347" s="95">
        <v>0</v>
      </c>
      <c r="BN347" t="s">
        <v>402</v>
      </c>
      <c r="BO347">
        <v>0.85994999999999999</v>
      </c>
    </row>
    <row r="348" spans="1:67">
      <c r="A348" s="61" t="str">
        <f t="shared" si="5"/>
        <v>UK</v>
      </c>
      <c r="B348" s="62" t="s">
        <v>64</v>
      </c>
      <c r="C348" s="62" t="s">
        <v>176</v>
      </c>
      <c r="D348" s="63" t="s">
        <v>97</v>
      </c>
      <c r="E348" s="64">
        <v>43831</v>
      </c>
      <c r="F348" s="64">
        <v>43921</v>
      </c>
      <c r="G348" s="65">
        <v>43995</v>
      </c>
      <c r="H348" s="66" t="s">
        <v>132</v>
      </c>
      <c r="I348" s="67">
        <v>3</v>
      </c>
      <c r="J348" s="68">
        <v>2020</v>
      </c>
      <c r="K348" s="69">
        <v>1</v>
      </c>
      <c r="L348" s="70">
        <v>3</v>
      </c>
      <c r="M348" s="71" t="s">
        <v>140</v>
      </c>
      <c r="N348" s="71" t="s">
        <v>18</v>
      </c>
      <c r="O348" s="71" t="s">
        <v>114</v>
      </c>
      <c r="P348" s="71" t="s">
        <v>102</v>
      </c>
      <c r="Q348" s="61" t="s">
        <v>74</v>
      </c>
      <c r="R348" s="63" t="s">
        <v>106</v>
      </c>
      <c r="S348" s="72" t="s">
        <v>444</v>
      </c>
      <c r="T348" s="61" t="s">
        <v>873</v>
      </c>
      <c r="U348" s="73" t="s">
        <v>874</v>
      </c>
      <c r="V348" s="62">
        <v>107455</v>
      </c>
      <c r="W348" s="62" t="s">
        <v>495</v>
      </c>
      <c r="X348" s="62" t="s">
        <v>402</v>
      </c>
      <c r="Y348" s="93">
        <v>1</v>
      </c>
      <c r="Z348" s="94">
        <v>1</v>
      </c>
      <c r="AA348" s="74">
        <v>3</v>
      </c>
      <c r="AB348" s="75">
        <v>3</v>
      </c>
      <c r="AC348" s="75">
        <v>1671.3181117506831</v>
      </c>
      <c r="AD348" s="76">
        <v>2005.5817340543053</v>
      </c>
      <c r="AE348" s="77">
        <v>12.583848192</v>
      </c>
      <c r="AF348" s="75">
        <v>12.583848192</v>
      </c>
      <c r="AG348" s="78">
        <v>8550.6746593406588</v>
      </c>
      <c r="AH348" s="79">
        <v>10260.809591255307</v>
      </c>
      <c r="AI348" s="74">
        <v>4001.715740566312</v>
      </c>
      <c r="AJ348" s="75">
        <v>0</v>
      </c>
      <c r="AK348" s="75">
        <v>0</v>
      </c>
      <c r="AL348" s="80">
        <v>4001.715740566312</v>
      </c>
      <c r="AM348" s="74">
        <v>0</v>
      </c>
      <c r="AN348" s="74">
        <v>0</v>
      </c>
      <c r="AO348" s="81" t="s">
        <v>403</v>
      </c>
      <c r="AP348" s="82">
        <v>1</v>
      </c>
      <c r="AQ348" s="75">
        <v>0</v>
      </c>
      <c r="AR348" s="75">
        <v>0</v>
      </c>
      <c r="AS348" s="80">
        <v>0</v>
      </c>
      <c r="AT348" s="74">
        <v>231.99690485493343</v>
      </c>
      <c r="AU348" s="75">
        <v>257.37530725042154</v>
      </c>
      <c r="AV348" s="75">
        <v>450.34693296121867</v>
      </c>
      <c r="AW348" s="75">
        <v>212.43638151055293</v>
      </c>
      <c r="AX348" s="80">
        <v>1152.1555265771267</v>
      </c>
      <c r="AY348" s="81">
        <v>7.9466947212199809E-2</v>
      </c>
      <c r="AZ348" s="83">
        <v>0</v>
      </c>
      <c r="BA348" s="80">
        <v>0</v>
      </c>
      <c r="BB348" s="84">
        <v>3847.150325158439</v>
      </c>
      <c r="BC348" s="85">
        <v>8.5426368952083749</v>
      </c>
      <c r="BD348" s="86">
        <v>0.44992359999989662</v>
      </c>
      <c r="BE348" s="84">
        <v>4059.5867066689916</v>
      </c>
      <c r="BF348" s="87">
        <v>6.125058700224554</v>
      </c>
      <c r="BG348" s="88">
        <v>0.4747680000003679</v>
      </c>
      <c r="BH348" s="89">
        <v>0</v>
      </c>
      <c r="BI348" s="90">
        <v>0.46799999999940167</v>
      </c>
      <c r="BJ348" s="90">
        <v>0.13474440000106017</v>
      </c>
      <c r="BK348" s="91">
        <v>0.60274440000046181</v>
      </c>
      <c r="BL348" s="92">
        <v>3396.8033921972201</v>
      </c>
      <c r="BM348" s="95">
        <v>0</v>
      </c>
      <c r="BN348" t="s">
        <v>402</v>
      </c>
      <c r="BO348">
        <v>0.85994999999999999</v>
      </c>
    </row>
    <row r="349" spans="1:67">
      <c r="A349" s="61" t="str">
        <f t="shared" si="5"/>
        <v>UK</v>
      </c>
      <c r="B349" s="62" t="s">
        <v>64</v>
      </c>
      <c r="C349" s="62" t="s">
        <v>176</v>
      </c>
      <c r="D349" s="63" t="s">
        <v>97</v>
      </c>
      <c r="E349" s="64">
        <v>43831</v>
      </c>
      <c r="F349" s="64">
        <v>43921</v>
      </c>
      <c r="G349" s="65">
        <v>43995</v>
      </c>
      <c r="H349" s="66" t="s">
        <v>132</v>
      </c>
      <c r="I349" s="67">
        <v>3</v>
      </c>
      <c r="J349" s="68">
        <v>2020</v>
      </c>
      <c r="K349" s="69">
        <v>1</v>
      </c>
      <c r="L349" s="70">
        <v>3</v>
      </c>
      <c r="M349" s="71" t="s">
        <v>140</v>
      </c>
      <c r="N349" s="71" t="s">
        <v>18</v>
      </c>
      <c r="O349" s="71" t="s">
        <v>114</v>
      </c>
      <c r="P349" s="71" t="s">
        <v>102</v>
      </c>
      <c r="Q349" s="61" t="s">
        <v>74</v>
      </c>
      <c r="R349" s="63" t="s">
        <v>106</v>
      </c>
      <c r="S349" s="72" t="s">
        <v>444</v>
      </c>
      <c r="T349" s="61" t="s">
        <v>873</v>
      </c>
      <c r="U349" s="73" t="s">
        <v>875</v>
      </c>
      <c r="V349" s="62">
        <v>107456</v>
      </c>
      <c r="W349" s="62" t="s">
        <v>495</v>
      </c>
      <c r="X349" s="62" t="s">
        <v>402</v>
      </c>
      <c r="Y349" s="93">
        <v>1</v>
      </c>
      <c r="Z349" s="94">
        <v>1</v>
      </c>
      <c r="AA349" s="74">
        <v>1</v>
      </c>
      <c r="AB349" s="75">
        <v>1</v>
      </c>
      <c r="AC349" s="75">
        <v>596.69166812023957</v>
      </c>
      <c r="AD349" s="76">
        <v>716.03000174428746</v>
      </c>
      <c r="AE349" s="77">
        <v>10.274342989999999</v>
      </c>
      <c r="AF349" s="75">
        <v>10.274342989999999</v>
      </c>
      <c r="AG349" s="78">
        <v>5394.1846216640497</v>
      </c>
      <c r="AH349" s="79">
        <v>6473.0215459038318</v>
      </c>
      <c r="AI349" s="74">
        <v>2524.4784029304028</v>
      </c>
      <c r="AJ349" s="75">
        <v>0</v>
      </c>
      <c r="AK349" s="75">
        <v>0</v>
      </c>
      <c r="AL349" s="80">
        <v>2524.4784029304028</v>
      </c>
      <c r="AM349" s="74">
        <v>3</v>
      </c>
      <c r="AN349" s="74">
        <v>2</v>
      </c>
      <c r="AO349" s="81">
        <v>0.66666666666666663</v>
      </c>
      <c r="AP349" s="82">
        <v>3</v>
      </c>
      <c r="AQ349" s="75">
        <v>182.04547130647128</v>
      </c>
      <c r="AR349" s="75">
        <v>830.93202809465674</v>
      </c>
      <c r="AS349" s="80">
        <v>1012.9774994011281</v>
      </c>
      <c r="AT349" s="74">
        <v>146.35501715216</v>
      </c>
      <c r="AU349" s="75">
        <v>162.36495711378569</v>
      </c>
      <c r="AV349" s="75">
        <v>284.1009156462585</v>
      </c>
      <c r="AW349" s="75">
        <v>134.01528041165184</v>
      </c>
      <c r="AX349" s="80">
        <v>726.83617032385598</v>
      </c>
      <c r="AY349" s="81">
        <v>0.29198947347970522</v>
      </c>
      <c r="AZ349" s="83">
        <v>337.65916646704267</v>
      </c>
      <c r="BA349" s="80">
        <v>98.592922232307927</v>
      </c>
      <c r="BB349" s="84">
        <v>1413.9934646549209</v>
      </c>
      <c r="BC349" s="85">
        <v>4.9770816874646098</v>
      </c>
      <c r="BD349" s="86">
        <v>0.26213293830842571</v>
      </c>
      <c r="BE349" s="84">
        <v>1548.0087450665728</v>
      </c>
      <c r="BF349" s="87">
        <v>3.7023410230494136</v>
      </c>
      <c r="BG349" s="88">
        <v>0.28697733830790323</v>
      </c>
      <c r="BH349" s="89">
        <v>0.18779066169385858</v>
      </c>
      <c r="BI349" s="90">
        <v>0.46799999999844788</v>
      </c>
      <c r="BJ349" s="90">
        <v>0.1347443999978693</v>
      </c>
      <c r="BK349" s="91">
        <v>0.79053506169017584</v>
      </c>
      <c r="BL349" s="92">
        <v>1129.8925490086631</v>
      </c>
      <c r="BM349" s="95">
        <v>0</v>
      </c>
      <c r="BN349" t="s">
        <v>402</v>
      </c>
      <c r="BO349">
        <v>0.85994999999999999</v>
      </c>
    </row>
    <row r="350" spans="1:67">
      <c r="A350" s="61" t="str">
        <f t="shared" si="5"/>
        <v>UK</v>
      </c>
      <c r="B350" s="62" t="s">
        <v>64</v>
      </c>
      <c r="C350" s="62" t="s">
        <v>176</v>
      </c>
      <c r="D350" s="63" t="s">
        <v>97</v>
      </c>
      <c r="E350" s="64">
        <v>43831</v>
      </c>
      <c r="F350" s="64">
        <v>43921</v>
      </c>
      <c r="G350" s="65">
        <v>43995</v>
      </c>
      <c r="H350" s="66" t="s">
        <v>132</v>
      </c>
      <c r="I350" s="67">
        <v>3</v>
      </c>
      <c r="J350" s="68">
        <v>2020</v>
      </c>
      <c r="K350" s="69">
        <v>1</v>
      </c>
      <c r="L350" s="70">
        <v>3</v>
      </c>
      <c r="M350" s="71" t="s">
        <v>140</v>
      </c>
      <c r="N350" s="71" t="s">
        <v>18</v>
      </c>
      <c r="O350" s="71" t="s">
        <v>114</v>
      </c>
      <c r="P350" s="71" t="s">
        <v>102</v>
      </c>
      <c r="Q350" s="61" t="s">
        <v>74</v>
      </c>
      <c r="R350" s="63" t="s">
        <v>106</v>
      </c>
      <c r="S350" s="72" t="s">
        <v>444</v>
      </c>
      <c r="T350" s="61" t="s">
        <v>876</v>
      </c>
      <c r="U350" s="73" t="s">
        <v>877</v>
      </c>
      <c r="V350" s="62">
        <v>107504</v>
      </c>
      <c r="W350" s="62" t="s">
        <v>495</v>
      </c>
      <c r="X350" s="62" t="s">
        <v>402</v>
      </c>
      <c r="Y350" s="93">
        <v>1</v>
      </c>
      <c r="Z350" s="94">
        <v>1</v>
      </c>
      <c r="AA350" s="74">
        <v>34</v>
      </c>
      <c r="AB350" s="75">
        <v>42</v>
      </c>
      <c r="AC350" s="75">
        <v>1847.9756575382289</v>
      </c>
      <c r="AD350" s="76">
        <v>2217.5707889993605</v>
      </c>
      <c r="AE350" s="77">
        <v>34.537930871</v>
      </c>
      <c r="AF350" s="75">
        <v>38.491041981999999</v>
      </c>
      <c r="AG350" s="78">
        <v>2143.8893948485379</v>
      </c>
      <c r="AH350" s="79">
        <v>2572.6672737949884</v>
      </c>
      <c r="AI350" s="74">
        <v>771.80018215012512</v>
      </c>
      <c r="AJ350" s="75">
        <v>0</v>
      </c>
      <c r="AK350" s="75">
        <v>0</v>
      </c>
      <c r="AL350" s="80">
        <v>771.80018215012512</v>
      </c>
      <c r="AM350" s="74">
        <v>0</v>
      </c>
      <c r="AN350" s="74">
        <v>0</v>
      </c>
      <c r="AO350" s="81" t="s">
        <v>403</v>
      </c>
      <c r="AP350" s="82">
        <v>0</v>
      </c>
      <c r="AQ350" s="75">
        <v>0</v>
      </c>
      <c r="AR350" s="75">
        <v>0</v>
      </c>
      <c r="AS350" s="80">
        <v>0</v>
      </c>
      <c r="AT350" s="74">
        <v>69.976549848246989</v>
      </c>
      <c r="AU350" s="75">
        <v>64.531070785510778</v>
      </c>
      <c r="AV350" s="75">
        <v>135.83683206000347</v>
      </c>
      <c r="AW350" s="75">
        <v>64.076566234083373</v>
      </c>
      <c r="AX350" s="80">
        <v>334.42101892784461</v>
      </c>
      <c r="AY350" s="81">
        <v>0</v>
      </c>
      <c r="AZ350" s="83" t="s">
        <v>403</v>
      </c>
      <c r="BA350" s="80" t="s">
        <v>403</v>
      </c>
      <c r="BB350" s="84">
        <v>1173.5050258305716</v>
      </c>
      <c r="BC350" s="85">
        <v>8.6390782826280645</v>
      </c>
      <c r="BD350" s="86">
        <v>0.54737199999698571</v>
      </c>
      <c r="BE350" s="84">
        <v>1237.5815920646551</v>
      </c>
      <c r="BF350" s="87">
        <v>6.1905885379632455</v>
      </c>
      <c r="BG350" s="88">
        <v>0.57725999999738231</v>
      </c>
      <c r="BH350" s="89">
        <v>0</v>
      </c>
      <c r="BI350" s="90">
        <v>0.36000000000216964</v>
      </c>
      <c r="BJ350" s="90">
        <v>0.15598800000196414</v>
      </c>
      <c r="BK350" s="91">
        <v>0.51598800000413381</v>
      </c>
      <c r="BL350" s="92">
        <v>1037.6681937705682</v>
      </c>
      <c r="BM350" s="95">
        <v>0</v>
      </c>
      <c r="BN350" t="s">
        <v>402</v>
      </c>
      <c r="BO350">
        <v>0.85994999999999999</v>
      </c>
    </row>
    <row r="351" spans="1:67">
      <c r="A351" s="61" t="str">
        <f t="shared" si="5"/>
        <v>UK</v>
      </c>
      <c r="B351" s="62" t="s">
        <v>64</v>
      </c>
      <c r="C351" s="62" t="s">
        <v>176</v>
      </c>
      <c r="D351" s="63" t="s">
        <v>97</v>
      </c>
      <c r="E351" s="64">
        <v>43831</v>
      </c>
      <c r="F351" s="64">
        <v>43921</v>
      </c>
      <c r="G351" s="65">
        <v>43995</v>
      </c>
      <c r="H351" s="66" t="s">
        <v>132</v>
      </c>
      <c r="I351" s="67">
        <v>3</v>
      </c>
      <c r="J351" s="68">
        <v>2020</v>
      </c>
      <c r="K351" s="69">
        <v>1</v>
      </c>
      <c r="L351" s="70">
        <v>3</v>
      </c>
      <c r="M351" s="71" t="s">
        <v>140</v>
      </c>
      <c r="N351" s="71" t="s">
        <v>18</v>
      </c>
      <c r="O351" s="71" t="s">
        <v>114</v>
      </c>
      <c r="P351" s="71" t="s">
        <v>102</v>
      </c>
      <c r="Q351" s="61" t="s">
        <v>74</v>
      </c>
      <c r="R351" s="63" t="s">
        <v>106</v>
      </c>
      <c r="S351" s="72" t="s">
        <v>444</v>
      </c>
      <c r="T351" s="61" t="s">
        <v>876</v>
      </c>
      <c r="U351" s="73" t="s">
        <v>878</v>
      </c>
      <c r="V351" s="62">
        <v>107506</v>
      </c>
      <c r="W351" s="62" t="s">
        <v>495</v>
      </c>
      <c r="X351" s="62" t="s">
        <v>402</v>
      </c>
      <c r="Y351" s="93">
        <v>1</v>
      </c>
      <c r="Z351" s="94">
        <v>1</v>
      </c>
      <c r="AA351" s="74">
        <v>63</v>
      </c>
      <c r="AB351" s="75">
        <v>80</v>
      </c>
      <c r="AC351" s="75">
        <v>5510.0102718762719</v>
      </c>
      <c r="AD351" s="76">
        <v>6612.0123262980405</v>
      </c>
      <c r="AE351" s="77">
        <v>65.884233339000005</v>
      </c>
      <c r="AF351" s="75">
        <v>74.555243923000006</v>
      </c>
      <c r="AG351" s="78">
        <v>6704.2641144252575</v>
      </c>
      <c r="AH351" s="79">
        <v>8045.1169373800803</v>
      </c>
      <c r="AI351" s="74">
        <v>2413.5350812256529</v>
      </c>
      <c r="AJ351" s="75">
        <v>0</v>
      </c>
      <c r="AK351" s="75">
        <v>0</v>
      </c>
      <c r="AL351" s="80">
        <v>2413.5350812256529</v>
      </c>
      <c r="AM351" s="74">
        <v>0</v>
      </c>
      <c r="AN351" s="74">
        <v>0</v>
      </c>
      <c r="AO351" s="81" t="s">
        <v>403</v>
      </c>
      <c r="AP351" s="82">
        <v>2</v>
      </c>
      <c r="AQ351" s="75">
        <v>0</v>
      </c>
      <c r="AR351" s="75">
        <v>0</v>
      </c>
      <c r="AS351" s="80">
        <v>0</v>
      </c>
      <c r="AT351" s="74">
        <v>218.82718069655212</v>
      </c>
      <c r="AU351" s="75">
        <v>201.79834984592128</v>
      </c>
      <c r="AV351" s="75">
        <v>424.78217428920283</v>
      </c>
      <c r="AW351" s="75">
        <v>200.37704585150297</v>
      </c>
      <c r="AX351" s="80">
        <v>1045.7847506831793</v>
      </c>
      <c r="AY351" s="81">
        <v>2.6825745511148514E-2</v>
      </c>
      <c r="AZ351" s="83">
        <v>0</v>
      </c>
      <c r="BA351" s="80">
        <v>0</v>
      </c>
      <c r="BB351" s="84">
        <v>3669.7264568056285</v>
      </c>
      <c r="BC351" s="85">
        <v>8.6390782827604777</v>
      </c>
      <c r="BD351" s="86">
        <v>0.54737199999469688</v>
      </c>
      <c r="BE351" s="84">
        <v>3870.1035026571312</v>
      </c>
      <c r="BF351" s="87">
        <v>6.1905885380464829</v>
      </c>
      <c r="BG351" s="88">
        <v>0.57725999999463129</v>
      </c>
      <c r="BH351" s="89">
        <v>0</v>
      </c>
      <c r="BI351" s="90">
        <v>0.36000000000485666</v>
      </c>
      <c r="BJ351" s="90">
        <v>0.15598800000032997</v>
      </c>
      <c r="BK351" s="91">
        <v>0.51598800000518663</v>
      </c>
      <c r="BL351" s="92">
        <v>3244.9442825164251</v>
      </c>
      <c r="BM351" s="95">
        <v>0</v>
      </c>
      <c r="BN351" t="s">
        <v>402</v>
      </c>
      <c r="BO351">
        <v>0.85994999999999999</v>
      </c>
    </row>
    <row r="352" spans="1:67">
      <c r="A352" s="61" t="str">
        <f t="shared" si="5"/>
        <v>UK</v>
      </c>
      <c r="B352" s="62" t="s">
        <v>64</v>
      </c>
      <c r="C352" s="62" t="s">
        <v>176</v>
      </c>
      <c r="D352" s="63" t="s">
        <v>97</v>
      </c>
      <c r="E352" s="64">
        <v>43831</v>
      </c>
      <c r="F352" s="64">
        <v>43921</v>
      </c>
      <c r="G352" s="65">
        <v>43995</v>
      </c>
      <c r="H352" s="66" t="s">
        <v>132</v>
      </c>
      <c r="I352" s="67">
        <v>3</v>
      </c>
      <c r="J352" s="68">
        <v>2020</v>
      </c>
      <c r="K352" s="69">
        <v>1</v>
      </c>
      <c r="L352" s="70">
        <v>3</v>
      </c>
      <c r="M352" s="71" t="s">
        <v>140</v>
      </c>
      <c r="N352" s="71" t="s">
        <v>18</v>
      </c>
      <c r="O352" s="71" t="s">
        <v>114</v>
      </c>
      <c r="P352" s="71" t="s">
        <v>102</v>
      </c>
      <c r="Q352" s="61" t="s">
        <v>74</v>
      </c>
      <c r="R352" s="63" t="s">
        <v>106</v>
      </c>
      <c r="S352" s="72" t="s">
        <v>444</v>
      </c>
      <c r="T352" s="61" t="s">
        <v>876</v>
      </c>
      <c r="U352" s="73" t="s">
        <v>879</v>
      </c>
      <c r="V352" s="62">
        <v>107508</v>
      </c>
      <c r="W352" s="62" t="s">
        <v>495</v>
      </c>
      <c r="X352" s="62" t="s">
        <v>402</v>
      </c>
      <c r="Y352" s="93">
        <v>1</v>
      </c>
      <c r="Z352" s="94">
        <v>1</v>
      </c>
      <c r="AA352" s="74">
        <v>8</v>
      </c>
      <c r="AB352" s="75">
        <v>8</v>
      </c>
      <c r="AC352" s="75">
        <v>1474.8919510436654</v>
      </c>
      <c r="AD352" s="76">
        <v>1769.8703412989128</v>
      </c>
      <c r="AE352" s="77">
        <v>6.4356819380000001</v>
      </c>
      <c r="AF352" s="75">
        <v>6.4356819380000001</v>
      </c>
      <c r="AG352" s="78">
        <v>1407.4862644339787</v>
      </c>
      <c r="AH352" s="79">
        <v>1688.9835172975172</v>
      </c>
      <c r="AI352" s="74">
        <v>506.69505518925519</v>
      </c>
      <c r="AJ352" s="75">
        <v>0</v>
      </c>
      <c r="AK352" s="75">
        <v>0</v>
      </c>
      <c r="AL352" s="80">
        <v>506.69505518925519</v>
      </c>
      <c r="AM352" s="74">
        <v>0</v>
      </c>
      <c r="AN352" s="74">
        <v>0</v>
      </c>
      <c r="AO352" s="81" t="s">
        <v>403</v>
      </c>
      <c r="AP352" s="82">
        <v>0</v>
      </c>
      <c r="AQ352" s="75">
        <v>0</v>
      </c>
      <c r="AR352" s="75">
        <v>0</v>
      </c>
      <c r="AS352" s="80">
        <v>0</v>
      </c>
      <c r="AT352" s="74">
        <v>45.940351670445949</v>
      </c>
      <c r="AU352" s="75">
        <v>42.365336557939415</v>
      </c>
      <c r="AV352" s="75">
        <v>89.178329712192578</v>
      </c>
      <c r="AW352" s="75">
        <v>42.066949470318043</v>
      </c>
      <c r="AX352" s="80">
        <v>219.55096741089596</v>
      </c>
      <c r="AY352" s="81">
        <v>0</v>
      </c>
      <c r="AZ352" s="83" t="s">
        <v>403</v>
      </c>
      <c r="BA352" s="80" t="s">
        <v>403</v>
      </c>
      <c r="BB352" s="84">
        <v>770.41857154602019</v>
      </c>
      <c r="BC352" s="85">
        <v>8.6390782831704858</v>
      </c>
      <c r="BD352" s="86">
        <v>0.54737200000729269</v>
      </c>
      <c r="BE352" s="84">
        <v>812.48552101633823</v>
      </c>
      <c r="BF352" s="87">
        <v>6.1905885383236532</v>
      </c>
      <c r="BG352" s="88">
        <v>0.577260000006522</v>
      </c>
      <c r="BH352" s="89">
        <v>0</v>
      </c>
      <c r="BI352" s="90">
        <v>0.35999999999504284</v>
      </c>
      <c r="BJ352" s="90">
        <v>0.15598799999599888</v>
      </c>
      <c r="BK352" s="91">
        <v>0.51598799999104172</v>
      </c>
      <c r="BL352" s="92">
        <v>681.24024183382755</v>
      </c>
      <c r="BM352" s="95">
        <v>0</v>
      </c>
      <c r="BN352" t="s">
        <v>402</v>
      </c>
      <c r="BO352">
        <v>0.85994999999999999</v>
      </c>
    </row>
    <row r="353" spans="1:67">
      <c r="A353" s="61" t="str">
        <f t="shared" si="5"/>
        <v>UK</v>
      </c>
      <c r="B353" s="62" t="s">
        <v>64</v>
      </c>
      <c r="C353" s="62" t="s">
        <v>176</v>
      </c>
      <c r="D353" s="63" t="s">
        <v>97</v>
      </c>
      <c r="E353" s="64">
        <v>43831</v>
      </c>
      <c r="F353" s="64">
        <v>43921</v>
      </c>
      <c r="G353" s="65">
        <v>43995</v>
      </c>
      <c r="H353" s="66" t="s">
        <v>132</v>
      </c>
      <c r="I353" s="67">
        <v>3</v>
      </c>
      <c r="J353" s="68">
        <v>2020</v>
      </c>
      <c r="K353" s="69">
        <v>1</v>
      </c>
      <c r="L353" s="70">
        <v>3</v>
      </c>
      <c r="M353" s="71" t="s">
        <v>140</v>
      </c>
      <c r="N353" s="71" t="s">
        <v>18</v>
      </c>
      <c r="O353" s="71" t="s">
        <v>114</v>
      </c>
      <c r="P353" s="71" t="s">
        <v>102</v>
      </c>
      <c r="Q353" s="61" t="s">
        <v>74</v>
      </c>
      <c r="R353" s="63" t="s">
        <v>106</v>
      </c>
      <c r="S353" s="72" t="s">
        <v>444</v>
      </c>
      <c r="T353" s="61" t="s">
        <v>876</v>
      </c>
      <c r="U353" s="73" t="s">
        <v>880</v>
      </c>
      <c r="V353" s="62">
        <v>106558</v>
      </c>
      <c r="W353" s="62" t="s">
        <v>495</v>
      </c>
      <c r="X353" s="62" t="s">
        <v>402</v>
      </c>
      <c r="Y353" s="93">
        <v>1</v>
      </c>
      <c r="Z353" s="94">
        <v>1</v>
      </c>
      <c r="AA353" s="74">
        <v>0</v>
      </c>
      <c r="AB353" s="75">
        <v>0</v>
      </c>
      <c r="AC353" s="75">
        <v>0</v>
      </c>
      <c r="AD353" s="76">
        <v>0</v>
      </c>
      <c r="AE353" s="77">
        <v>0.1202925046</v>
      </c>
      <c r="AF353" s="75">
        <v>0.2405850091</v>
      </c>
      <c r="AG353" s="78">
        <v>127.29365563114135</v>
      </c>
      <c r="AH353" s="79">
        <v>152.75238675504391</v>
      </c>
      <c r="AI353" s="74">
        <v>45.82571602651317</v>
      </c>
      <c r="AJ353" s="75">
        <v>0</v>
      </c>
      <c r="AK353" s="75">
        <v>0</v>
      </c>
      <c r="AL353" s="80">
        <v>45.82571602651317</v>
      </c>
      <c r="AM353" s="74">
        <v>0</v>
      </c>
      <c r="AN353" s="74">
        <v>0</v>
      </c>
      <c r="AO353" s="81" t="s">
        <v>403</v>
      </c>
      <c r="AP353" s="82">
        <v>0</v>
      </c>
      <c r="AQ353" s="75">
        <v>0</v>
      </c>
      <c r="AR353" s="75">
        <v>0</v>
      </c>
      <c r="AS353" s="80">
        <v>0</v>
      </c>
      <c r="AT353" s="74">
        <v>4.1548649198209198</v>
      </c>
      <c r="AU353" s="75">
        <v>3.831539034478749</v>
      </c>
      <c r="AV353" s="75">
        <v>8.0653260206988779</v>
      </c>
      <c r="AW353" s="75">
        <v>3.8045527794639225</v>
      </c>
      <c r="AX353" s="80">
        <v>19.85628275446247</v>
      </c>
      <c r="AY353" s="81">
        <v>0</v>
      </c>
      <c r="AZ353" s="83" t="s">
        <v>403</v>
      </c>
      <c r="BA353" s="80" t="s">
        <v>403</v>
      </c>
      <c r="BB353" s="84">
        <v>69.676982870864578</v>
      </c>
      <c r="BC353" s="85">
        <v>8.6390782830161292</v>
      </c>
      <c r="BD353" s="86">
        <v>0.54737200000577779</v>
      </c>
      <c r="BE353" s="84">
        <v>73.48153565032851</v>
      </c>
      <c r="BF353" s="87">
        <v>6.190588538218325</v>
      </c>
      <c r="BG353" s="88">
        <v>0.57726000000546651</v>
      </c>
      <c r="BH353" s="89">
        <v>0</v>
      </c>
      <c r="BI353" s="90">
        <v>0.35999999999451887</v>
      </c>
      <c r="BJ353" s="90">
        <v>0.1559879999989944</v>
      </c>
      <c r="BK353" s="91">
        <v>0.5159879999935133</v>
      </c>
      <c r="BL353" s="92">
        <v>61.611656850165701</v>
      </c>
      <c r="BM353" s="95">
        <v>0</v>
      </c>
      <c r="BN353" t="s">
        <v>402</v>
      </c>
      <c r="BO353">
        <v>0.85994999999999999</v>
      </c>
    </row>
    <row r="354" spans="1:67">
      <c r="A354" s="61" t="str">
        <f t="shared" ref="A354:A417" si="6">B354</f>
        <v>UK</v>
      </c>
      <c r="B354" s="62" t="s">
        <v>64</v>
      </c>
      <c r="C354" s="62" t="s">
        <v>176</v>
      </c>
      <c r="D354" s="63" t="s">
        <v>97</v>
      </c>
      <c r="E354" s="64">
        <v>43831</v>
      </c>
      <c r="F354" s="64">
        <v>43921</v>
      </c>
      <c r="G354" s="65">
        <v>43995</v>
      </c>
      <c r="H354" s="66" t="s">
        <v>132</v>
      </c>
      <c r="I354" s="67">
        <v>3</v>
      </c>
      <c r="J354" s="68">
        <v>2020</v>
      </c>
      <c r="K354" s="69">
        <v>1</v>
      </c>
      <c r="L354" s="70">
        <v>3</v>
      </c>
      <c r="M354" s="71" t="s">
        <v>140</v>
      </c>
      <c r="N354" s="71" t="s">
        <v>18</v>
      </c>
      <c r="O354" s="71" t="s">
        <v>114</v>
      </c>
      <c r="P354" s="71" t="s">
        <v>102</v>
      </c>
      <c r="Q354" s="61" t="s">
        <v>74</v>
      </c>
      <c r="R354" s="63" t="s">
        <v>106</v>
      </c>
      <c r="S354" s="72" t="s">
        <v>444</v>
      </c>
      <c r="T354" s="61" t="s">
        <v>876</v>
      </c>
      <c r="U354" s="73" t="s">
        <v>881</v>
      </c>
      <c r="V354" s="62">
        <v>107457</v>
      </c>
      <c r="W354" s="62" t="s">
        <v>495</v>
      </c>
      <c r="X354" s="62" t="s">
        <v>402</v>
      </c>
      <c r="Y354" s="93">
        <v>1</v>
      </c>
      <c r="Z354" s="94">
        <v>1</v>
      </c>
      <c r="AA354" s="74">
        <v>62</v>
      </c>
      <c r="AB354" s="75">
        <v>67</v>
      </c>
      <c r="AC354" s="75">
        <v>4027.9473617070757</v>
      </c>
      <c r="AD354" s="76">
        <v>4833.5368340019768</v>
      </c>
      <c r="AE354" s="77">
        <v>88.930442506999995</v>
      </c>
      <c r="AF354" s="75">
        <v>96.402190047999994</v>
      </c>
      <c r="AG354" s="78">
        <v>9800.5537746380614</v>
      </c>
      <c r="AH354" s="79">
        <v>11760.664529333102</v>
      </c>
      <c r="AI354" s="74">
        <v>3528.1993589162157</v>
      </c>
      <c r="AJ354" s="75">
        <v>0</v>
      </c>
      <c r="AK354" s="75">
        <v>0</v>
      </c>
      <c r="AL354" s="80">
        <v>3528.1993589162157</v>
      </c>
      <c r="AM354" s="74">
        <v>2</v>
      </c>
      <c r="AN354" s="74">
        <v>1</v>
      </c>
      <c r="AO354" s="81">
        <v>0.5</v>
      </c>
      <c r="AP354" s="82">
        <v>5</v>
      </c>
      <c r="AQ354" s="75">
        <v>581.10355395081103</v>
      </c>
      <c r="AR354" s="75">
        <v>813.67521509390076</v>
      </c>
      <c r="AS354" s="80">
        <v>1394.7787690447117</v>
      </c>
      <c r="AT354" s="74">
        <v>319.89007520204666</v>
      </c>
      <c r="AU354" s="75">
        <v>294.99666862026862</v>
      </c>
      <c r="AV354" s="75">
        <v>620.96308715623002</v>
      </c>
      <c r="AW354" s="75">
        <v>292.91895121809409</v>
      </c>
      <c r="AX354" s="80">
        <v>1528.7687821966397</v>
      </c>
      <c r="AY354" s="81">
        <v>5.1866041606631864E-2</v>
      </c>
      <c r="AZ354" s="83">
        <v>278.95575380894235</v>
      </c>
      <c r="BA354" s="80">
        <v>14.46833073346396</v>
      </c>
      <c r="BB354" s="84">
        <v>3969.7699516367256</v>
      </c>
      <c r="BC354" s="85">
        <v>6.3929242071646026</v>
      </c>
      <c r="BD354" s="86">
        <v>0.40505567776279366</v>
      </c>
      <c r="BE354" s="84">
        <v>4262.6889028548194</v>
      </c>
      <c r="BF354" s="87">
        <v>4.664375404989447</v>
      </c>
      <c r="BG354" s="88">
        <v>0.43494367776296827</v>
      </c>
      <c r="BH354" s="89">
        <v>0.14231632223213034</v>
      </c>
      <c r="BI354" s="90">
        <v>0.36000000000474602</v>
      </c>
      <c r="BJ354" s="90">
        <v>0.15598799999983651</v>
      </c>
      <c r="BK354" s="91">
        <v>0.65830432223671287</v>
      </c>
      <c r="BL354" s="92">
        <v>3348.8068644804953</v>
      </c>
      <c r="BM354" s="95">
        <v>0</v>
      </c>
      <c r="BN354" t="s">
        <v>402</v>
      </c>
      <c r="BO354">
        <v>0.85994999999999999</v>
      </c>
    </row>
    <row r="355" spans="1:67">
      <c r="A355" s="61" t="str">
        <f t="shared" si="6"/>
        <v>UK</v>
      </c>
      <c r="B355" s="62" t="s">
        <v>64</v>
      </c>
      <c r="C355" s="62" t="s">
        <v>176</v>
      </c>
      <c r="D355" s="63" t="s">
        <v>97</v>
      </c>
      <c r="E355" s="64">
        <v>43831</v>
      </c>
      <c r="F355" s="64">
        <v>43921</v>
      </c>
      <c r="G355" s="65">
        <v>43995</v>
      </c>
      <c r="H355" s="66" t="s">
        <v>132</v>
      </c>
      <c r="I355" s="67">
        <v>3</v>
      </c>
      <c r="J355" s="68">
        <v>2020</v>
      </c>
      <c r="K355" s="69">
        <v>1</v>
      </c>
      <c r="L355" s="70">
        <v>3</v>
      </c>
      <c r="M355" s="71" t="s">
        <v>140</v>
      </c>
      <c r="N355" s="71" t="s">
        <v>18</v>
      </c>
      <c r="O355" s="71" t="s">
        <v>114</v>
      </c>
      <c r="P355" s="71" t="s">
        <v>102</v>
      </c>
      <c r="Q355" s="61" t="s">
        <v>74</v>
      </c>
      <c r="R355" s="63" t="s">
        <v>106</v>
      </c>
      <c r="S355" s="72" t="s">
        <v>444</v>
      </c>
      <c r="T355" s="61" t="s">
        <v>876</v>
      </c>
      <c r="U355" s="73" t="s">
        <v>882</v>
      </c>
      <c r="V355" s="62">
        <v>106559</v>
      </c>
      <c r="W355" s="62" t="s">
        <v>495</v>
      </c>
      <c r="X355" s="62" t="s">
        <v>402</v>
      </c>
      <c r="Y355" s="93">
        <v>1</v>
      </c>
      <c r="Z355" s="94">
        <v>1</v>
      </c>
      <c r="AA355" s="74">
        <v>0</v>
      </c>
      <c r="AB355" s="75">
        <v>0</v>
      </c>
      <c r="AC355" s="75">
        <v>0</v>
      </c>
      <c r="AD355" s="76">
        <v>0</v>
      </c>
      <c r="AE355" s="77">
        <v>0.77545578449999997</v>
      </c>
      <c r="AF355" s="75">
        <v>0.77545578449999997</v>
      </c>
      <c r="AG355" s="78">
        <v>651.23000979126687</v>
      </c>
      <c r="AH355" s="79">
        <v>781.47601174486897</v>
      </c>
      <c r="AI355" s="74">
        <v>234.44280352346067</v>
      </c>
      <c r="AJ355" s="75">
        <v>0</v>
      </c>
      <c r="AK355" s="75">
        <v>0</v>
      </c>
      <c r="AL355" s="80">
        <v>234.44280352346067</v>
      </c>
      <c r="AM355" s="74">
        <v>0</v>
      </c>
      <c r="AN355" s="74">
        <v>0</v>
      </c>
      <c r="AO355" s="81" t="s">
        <v>403</v>
      </c>
      <c r="AP355" s="82">
        <v>0</v>
      </c>
      <c r="AQ355" s="75">
        <v>0</v>
      </c>
      <c r="AR355" s="75">
        <v>0</v>
      </c>
      <c r="AS355" s="80">
        <v>0</v>
      </c>
      <c r="AT355" s="74">
        <v>21.256147519041807</v>
      </c>
      <c r="AU355" s="75">
        <v>19.602023294377581</v>
      </c>
      <c r="AV355" s="75">
        <v>41.261933420547706</v>
      </c>
      <c r="AW355" s="75">
        <v>19.463962532705391</v>
      </c>
      <c r="AX355" s="80">
        <v>101.58406676667249</v>
      </c>
      <c r="AY355" s="81">
        <v>0</v>
      </c>
      <c r="AZ355" s="83" t="s">
        <v>403</v>
      </c>
      <c r="BA355" s="80" t="s">
        <v>403</v>
      </c>
      <c r="BB355" s="84">
        <v>356.46507292168138</v>
      </c>
      <c r="BC355" s="85">
        <v>8.6390782828457606</v>
      </c>
      <c r="BD355" s="86">
        <v>0.54737200000340291</v>
      </c>
      <c r="BE355" s="84">
        <v>375.92903545438679</v>
      </c>
      <c r="BF355" s="87">
        <v>6.1905885381053514</v>
      </c>
      <c r="BG355" s="88">
        <v>0.57726000000350119</v>
      </c>
      <c r="BH355" s="89">
        <v>0</v>
      </c>
      <c r="BI355" s="90">
        <v>0.35999999999785726</v>
      </c>
      <c r="BJ355" s="90">
        <v>0.15598799999900551</v>
      </c>
      <c r="BK355" s="91">
        <v>0.51598799999686273</v>
      </c>
      <c r="BL355" s="92">
        <v>315.20313950113371</v>
      </c>
      <c r="BM355" s="95">
        <v>0</v>
      </c>
      <c r="BN355" t="s">
        <v>402</v>
      </c>
      <c r="BO355">
        <v>0.85994999999999999</v>
      </c>
    </row>
    <row r="356" spans="1:67">
      <c r="A356" s="61" t="str">
        <f t="shared" si="6"/>
        <v>UK</v>
      </c>
      <c r="B356" s="62" t="s">
        <v>64</v>
      </c>
      <c r="C356" s="62" t="s">
        <v>176</v>
      </c>
      <c r="D356" s="63" t="s">
        <v>97</v>
      </c>
      <c r="E356" s="64">
        <v>43831</v>
      </c>
      <c r="F356" s="64">
        <v>43921</v>
      </c>
      <c r="G356" s="65">
        <v>43995</v>
      </c>
      <c r="H356" s="66" t="s">
        <v>132</v>
      </c>
      <c r="I356" s="67">
        <v>3</v>
      </c>
      <c r="J356" s="68">
        <v>2020</v>
      </c>
      <c r="K356" s="69">
        <v>1</v>
      </c>
      <c r="L356" s="70">
        <v>3</v>
      </c>
      <c r="M356" s="71" t="s">
        <v>140</v>
      </c>
      <c r="N356" s="71" t="s">
        <v>18</v>
      </c>
      <c r="O356" s="71" t="s">
        <v>114</v>
      </c>
      <c r="P356" s="71" t="s">
        <v>102</v>
      </c>
      <c r="Q356" s="61" t="s">
        <v>74</v>
      </c>
      <c r="R356" s="63" t="s">
        <v>106</v>
      </c>
      <c r="S356" s="72" t="s">
        <v>444</v>
      </c>
      <c r="T356" s="61" t="s">
        <v>876</v>
      </c>
      <c r="U356" s="73" t="s">
        <v>883</v>
      </c>
      <c r="V356" s="62">
        <v>107458</v>
      </c>
      <c r="W356" s="62" t="s">
        <v>495</v>
      </c>
      <c r="X356" s="62" t="s">
        <v>402</v>
      </c>
      <c r="Y356" s="93">
        <v>1</v>
      </c>
      <c r="Z356" s="94">
        <v>1</v>
      </c>
      <c r="AA356" s="74">
        <v>316</v>
      </c>
      <c r="AB356" s="75">
        <v>436</v>
      </c>
      <c r="AC356" s="75">
        <v>51082.814904354906</v>
      </c>
      <c r="AD356" s="76">
        <v>61299.377885923597</v>
      </c>
      <c r="AE356" s="77">
        <v>383.77563830000003</v>
      </c>
      <c r="AF356" s="75">
        <v>456.19544676999999</v>
      </c>
      <c r="AG356" s="78">
        <v>75015.275338101055</v>
      </c>
      <c r="AH356" s="79">
        <v>90018.330405256114</v>
      </c>
      <c r="AI356" s="74">
        <v>27005.49912204198</v>
      </c>
      <c r="AJ356" s="75">
        <v>0</v>
      </c>
      <c r="AK356" s="75">
        <v>0</v>
      </c>
      <c r="AL356" s="80">
        <v>27005.49912204198</v>
      </c>
      <c r="AM356" s="74">
        <v>10</v>
      </c>
      <c r="AN356" s="74">
        <v>5</v>
      </c>
      <c r="AO356" s="81">
        <v>0.5</v>
      </c>
      <c r="AP356" s="82">
        <v>42</v>
      </c>
      <c r="AQ356" s="75">
        <v>13338.124345601489</v>
      </c>
      <c r="AR356" s="75">
        <v>15911.977121925693</v>
      </c>
      <c r="AS356" s="80">
        <v>29250.10146752718</v>
      </c>
      <c r="AT356" s="74">
        <v>2448.4985870108726</v>
      </c>
      <c r="AU356" s="75">
        <v>2257.9597876620733</v>
      </c>
      <c r="AV356" s="75">
        <v>4752.9678454561308</v>
      </c>
      <c r="AW356" s="75">
        <v>2242.0565493342638</v>
      </c>
      <c r="AX356" s="80">
        <v>11701.48276946334</v>
      </c>
      <c r="AY356" s="81">
        <v>9.2065802711036565E-2</v>
      </c>
      <c r="AZ356" s="83">
        <v>696.43098732207568</v>
      </c>
      <c r="BA356" s="80">
        <v>64.117477880646632</v>
      </c>
      <c r="BB356" s="84">
        <v>11811.159824524679</v>
      </c>
      <c r="BC356" s="85">
        <v>2.4850073067117902</v>
      </c>
      <c r="BD356" s="86">
        <v>0.1574500629543869</v>
      </c>
      <c r="BE356" s="84">
        <v>14053.216373858944</v>
      </c>
      <c r="BF356" s="87">
        <v>2.0090303593973453</v>
      </c>
      <c r="BG356" s="88">
        <v>0.18733806295477484</v>
      </c>
      <c r="BH356" s="89">
        <v>0.38992193704141137</v>
      </c>
      <c r="BI356" s="90">
        <v>0.36000000000434046</v>
      </c>
      <c r="BJ356" s="90">
        <v>0.15598800000031504</v>
      </c>
      <c r="BK356" s="91">
        <v>0.90590993704606682</v>
      </c>
      <c r="BL356" s="92">
        <v>7058.1919790685497</v>
      </c>
      <c r="BM356" s="95">
        <v>0</v>
      </c>
      <c r="BN356" t="s">
        <v>402</v>
      </c>
      <c r="BO356">
        <v>0.85994999999999999</v>
      </c>
    </row>
    <row r="357" spans="1:67">
      <c r="A357" s="61" t="str">
        <f t="shared" si="6"/>
        <v>UK</v>
      </c>
      <c r="B357" s="62" t="s">
        <v>64</v>
      </c>
      <c r="C357" s="62" t="s">
        <v>176</v>
      </c>
      <c r="D357" s="63" t="s">
        <v>97</v>
      </c>
      <c r="E357" s="64">
        <v>43831</v>
      </c>
      <c r="F357" s="64">
        <v>43921</v>
      </c>
      <c r="G357" s="65">
        <v>43995</v>
      </c>
      <c r="H357" s="66" t="s">
        <v>132</v>
      </c>
      <c r="I357" s="67">
        <v>3</v>
      </c>
      <c r="J357" s="68">
        <v>2020</v>
      </c>
      <c r="K357" s="69">
        <v>1</v>
      </c>
      <c r="L357" s="70">
        <v>3</v>
      </c>
      <c r="M357" s="71" t="s">
        <v>140</v>
      </c>
      <c r="N357" s="71" t="s">
        <v>18</v>
      </c>
      <c r="O357" s="71" t="s">
        <v>114</v>
      </c>
      <c r="P357" s="71" t="s">
        <v>102</v>
      </c>
      <c r="Q357" s="61" t="s">
        <v>74</v>
      </c>
      <c r="R357" s="63" t="s">
        <v>106</v>
      </c>
      <c r="S357" s="72" t="s">
        <v>444</v>
      </c>
      <c r="T357" s="61" t="s">
        <v>876</v>
      </c>
      <c r="U357" s="73" t="s">
        <v>884</v>
      </c>
      <c r="V357" s="62">
        <v>107459</v>
      </c>
      <c r="W357" s="62" t="s">
        <v>495</v>
      </c>
      <c r="X357" s="62" t="s">
        <v>402</v>
      </c>
      <c r="Y357" s="93">
        <v>1</v>
      </c>
      <c r="Z357" s="94">
        <v>1</v>
      </c>
      <c r="AA357" s="74">
        <v>52</v>
      </c>
      <c r="AB357" s="75">
        <v>57</v>
      </c>
      <c r="AC357" s="75">
        <v>13511.735174138032</v>
      </c>
      <c r="AD357" s="76">
        <v>16214.082208267922</v>
      </c>
      <c r="AE357" s="77">
        <v>54.544845445999997</v>
      </c>
      <c r="AF357" s="75">
        <v>59.178849661000001</v>
      </c>
      <c r="AG357" s="78">
        <v>15572.182774579916</v>
      </c>
      <c r="AH357" s="79">
        <v>18686.619330193615</v>
      </c>
      <c r="AI357" s="74">
        <v>5605.9857989417987</v>
      </c>
      <c r="AJ357" s="75">
        <v>0</v>
      </c>
      <c r="AK357" s="75">
        <v>0</v>
      </c>
      <c r="AL357" s="80">
        <v>5605.9857989417987</v>
      </c>
      <c r="AM357" s="74">
        <v>5</v>
      </c>
      <c r="AN357" s="74">
        <v>1</v>
      </c>
      <c r="AO357" s="81">
        <v>0.2</v>
      </c>
      <c r="AP357" s="82">
        <v>11</v>
      </c>
      <c r="AQ357" s="75">
        <v>3506.4945257282398</v>
      </c>
      <c r="AR357" s="75">
        <v>4669.352831443689</v>
      </c>
      <c r="AS357" s="80">
        <v>8175.8473571719287</v>
      </c>
      <c r="AT357" s="74">
        <v>508.27604577010294</v>
      </c>
      <c r="AU357" s="75">
        <v>468.72270152915871</v>
      </c>
      <c r="AV357" s="75">
        <v>986.65350062212917</v>
      </c>
      <c r="AW357" s="75">
        <v>465.42139877899876</v>
      </c>
      <c r="AX357" s="80">
        <v>2429.0736467003899</v>
      </c>
      <c r="AY357" s="81">
        <v>0.18587721902355955</v>
      </c>
      <c r="AZ357" s="83">
        <v>743.2588506519935</v>
      </c>
      <c r="BA357" s="80">
        <v>138.15488817383974</v>
      </c>
      <c r="BB357" s="84">
        <v>347.9294723879284</v>
      </c>
      <c r="BC357" s="85">
        <v>0.35263592757593554</v>
      </c>
      <c r="BD357" s="86">
        <v>2.2343012371771647E-2</v>
      </c>
      <c r="BE357" s="84">
        <v>813.35087116692739</v>
      </c>
      <c r="BF357" s="87">
        <v>0.56013010864823409</v>
      </c>
      <c r="BG357" s="88">
        <v>5.2231012372565014E-2</v>
      </c>
      <c r="BH357" s="89">
        <v>0.52502898762004058</v>
      </c>
      <c r="BI357" s="90">
        <v>0.36000000000597404</v>
      </c>
      <c r="BJ357" s="90">
        <v>0.15598800000380281</v>
      </c>
      <c r="BK357" s="91">
        <v>1.0410169876298174</v>
      </c>
      <c r="BL357" s="92">
        <v>-638.72402823420089</v>
      </c>
      <c r="BM357" s="95">
        <v>0</v>
      </c>
      <c r="BN357" t="s">
        <v>402</v>
      </c>
      <c r="BO357">
        <v>0.85994999999999999</v>
      </c>
    </row>
    <row r="358" spans="1:67">
      <c r="A358" s="61" t="str">
        <f t="shared" si="6"/>
        <v>UK</v>
      </c>
      <c r="B358" s="62" t="s">
        <v>64</v>
      </c>
      <c r="C358" s="62" t="s">
        <v>176</v>
      </c>
      <c r="D358" s="63" t="s">
        <v>97</v>
      </c>
      <c r="E358" s="64">
        <v>43831</v>
      </c>
      <c r="F358" s="64">
        <v>43921</v>
      </c>
      <c r="G358" s="65">
        <v>43995</v>
      </c>
      <c r="H358" s="66" t="s">
        <v>132</v>
      </c>
      <c r="I358" s="67">
        <v>3</v>
      </c>
      <c r="J358" s="68">
        <v>2020</v>
      </c>
      <c r="K358" s="69">
        <v>1</v>
      </c>
      <c r="L358" s="70">
        <v>3</v>
      </c>
      <c r="M358" s="71" t="s">
        <v>140</v>
      </c>
      <c r="N358" s="71" t="s">
        <v>18</v>
      </c>
      <c r="O358" s="71" t="s">
        <v>114</v>
      </c>
      <c r="P358" s="71" t="s">
        <v>102</v>
      </c>
      <c r="Q358" s="61" t="s">
        <v>74</v>
      </c>
      <c r="R358" s="63" t="s">
        <v>106</v>
      </c>
      <c r="S358" s="72" t="s">
        <v>444</v>
      </c>
      <c r="T358" s="61" t="s">
        <v>876</v>
      </c>
      <c r="U358" s="73" t="s">
        <v>885</v>
      </c>
      <c r="V358" s="62">
        <v>106561</v>
      </c>
      <c r="W358" s="62" t="s">
        <v>495</v>
      </c>
      <c r="X358" s="62" t="s">
        <v>402</v>
      </c>
      <c r="Y358" s="93">
        <v>1</v>
      </c>
      <c r="Z358" s="94">
        <v>1</v>
      </c>
      <c r="AA358" s="74">
        <v>0</v>
      </c>
      <c r="AB358" s="75">
        <v>0</v>
      </c>
      <c r="AC358" s="75">
        <v>0</v>
      </c>
      <c r="AD358" s="76">
        <v>0</v>
      </c>
      <c r="AE358" s="77">
        <v>0.11573187410000001</v>
      </c>
      <c r="AF358" s="75">
        <v>0.11573187410000001</v>
      </c>
      <c r="AG358" s="78">
        <v>120.89749435432293</v>
      </c>
      <c r="AH358" s="79">
        <v>145.07699323216465</v>
      </c>
      <c r="AI358" s="74">
        <v>43.523097968486539</v>
      </c>
      <c r="AJ358" s="75">
        <v>0</v>
      </c>
      <c r="AK358" s="75">
        <v>0</v>
      </c>
      <c r="AL358" s="80">
        <v>43.523097968486539</v>
      </c>
      <c r="AM358" s="74">
        <v>0</v>
      </c>
      <c r="AN358" s="74">
        <v>0</v>
      </c>
      <c r="AO358" s="81" t="s">
        <v>403</v>
      </c>
      <c r="AP358" s="82">
        <v>0</v>
      </c>
      <c r="AQ358" s="75">
        <v>0</v>
      </c>
      <c r="AR358" s="75">
        <v>0</v>
      </c>
      <c r="AS358" s="80">
        <v>0</v>
      </c>
      <c r="AT358" s="74">
        <v>3.9460942158265016</v>
      </c>
      <c r="AU358" s="75">
        <v>3.6390145801500089</v>
      </c>
      <c r="AV358" s="75">
        <v>7.6600652425140998</v>
      </c>
      <c r="AW358" s="75">
        <v>3.6133843114134545</v>
      </c>
      <c r="AX358" s="80">
        <v>18.858558349904065</v>
      </c>
      <c r="AY358" s="81">
        <v>0</v>
      </c>
      <c r="AZ358" s="83" t="s">
        <v>403</v>
      </c>
      <c r="BA358" s="80" t="s">
        <v>403</v>
      </c>
      <c r="BB358" s="84">
        <v>66.175903278446427</v>
      </c>
      <c r="BC358" s="85">
        <v>8.6390782824098924</v>
      </c>
      <c r="BD358" s="86">
        <v>0.54737199998951158</v>
      </c>
      <c r="BE358" s="84">
        <v>69.789287589859882</v>
      </c>
      <c r="BF358" s="87">
        <v>6.1905885377866454</v>
      </c>
      <c r="BG358" s="88">
        <v>0.57725999999076427</v>
      </c>
      <c r="BH358" s="89">
        <v>0</v>
      </c>
      <c r="BI358" s="90">
        <v>0.36000000000769483</v>
      </c>
      <c r="BJ358" s="90">
        <v>0.15598800000464808</v>
      </c>
      <c r="BK358" s="91">
        <v>0.51598800001234291</v>
      </c>
      <c r="BL358" s="92">
        <v>58.515838035932326</v>
      </c>
      <c r="BM358" s="95">
        <v>0</v>
      </c>
      <c r="BN358" t="s">
        <v>402</v>
      </c>
      <c r="BO358">
        <v>0.85994999999999999</v>
      </c>
    </row>
    <row r="359" spans="1:67">
      <c r="A359" s="61" t="str">
        <f t="shared" si="6"/>
        <v>UK</v>
      </c>
      <c r="B359" s="62" t="s">
        <v>64</v>
      </c>
      <c r="C359" s="62" t="s">
        <v>176</v>
      </c>
      <c r="D359" s="63" t="s">
        <v>97</v>
      </c>
      <c r="E359" s="64">
        <v>43831</v>
      </c>
      <c r="F359" s="64">
        <v>43921</v>
      </c>
      <c r="G359" s="65">
        <v>43995</v>
      </c>
      <c r="H359" s="66" t="s">
        <v>132</v>
      </c>
      <c r="I359" s="67">
        <v>3</v>
      </c>
      <c r="J359" s="68">
        <v>2020</v>
      </c>
      <c r="K359" s="69">
        <v>1</v>
      </c>
      <c r="L359" s="70">
        <v>3</v>
      </c>
      <c r="M359" s="71" t="s">
        <v>140</v>
      </c>
      <c r="N359" s="71" t="s">
        <v>18</v>
      </c>
      <c r="O359" s="71" t="s">
        <v>114</v>
      </c>
      <c r="P359" s="71" t="s">
        <v>102</v>
      </c>
      <c r="Q359" s="61" t="s">
        <v>74</v>
      </c>
      <c r="R359" s="63" t="s">
        <v>106</v>
      </c>
      <c r="S359" s="72" t="s">
        <v>444</v>
      </c>
      <c r="T359" s="61" t="s">
        <v>876</v>
      </c>
      <c r="U359" s="73" t="s">
        <v>886</v>
      </c>
      <c r="V359" s="62">
        <v>107460</v>
      </c>
      <c r="W359" s="62" t="s">
        <v>495</v>
      </c>
      <c r="X359" s="62" t="s">
        <v>402</v>
      </c>
      <c r="Y359" s="93">
        <v>1</v>
      </c>
      <c r="Z359" s="94">
        <v>1</v>
      </c>
      <c r="AA359" s="74">
        <v>67</v>
      </c>
      <c r="AB359" s="75">
        <v>146</v>
      </c>
      <c r="AC359" s="75">
        <v>8638.0991142508283</v>
      </c>
      <c r="AD359" s="76">
        <v>10365.718937147509</v>
      </c>
      <c r="AE359" s="77">
        <v>94.048650144999996</v>
      </c>
      <c r="AF359" s="75">
        <v>140.16835330999999</v>
      </c>
      <c r="AG359" s="78">
        <v>13084.858879004594</v>
      </c>
      <c r="AH359" s="79">
        <v>15701.830654107796</v>
      </c>
      <c r="AI359" s="74">
        <v>4710.5491963486247</v>
      </c>
      <c r="AJ359" s="75">
        <v>0</v>
      </c>
      <c r="AK359" s="75">
        <v>0</v>
      </c>
      <c r="AL359" s="80">
        <v>4710.5491963486247</v>
      </c>
      <c r="AM359" s="74">
        <v>0</v>
      </c>
      <c r="AN359" s="74">
        <v>0</v>
      </c>
      <c r="AO359" s="81" t="s">
        <v>403</v>
      </c>
      <c r="AP359" s="82">
        <v>1</v>
      </c>
      <c r="AQ359" s="75">
        <v>0</v>
      </c>
      <c r="AR359" s="75">
        <v>0</v>
      </c>
      <c r="AS359" s="80">
        <v>0</v>
      </c>
      <c r="AT359" s="74">
        <v>427.08979380196519</v>
      </c>
      <c r="AU359" s="75">
        <v>393.85425225885223</v>
      </c>
      <c r="AV359" s="75">
        <v>829.05665856154428</v>
      </c>
      <c r="AW359" s="75">
        <v>391.08026216640502</v>
      </c>
      <c r="AX359" s="80">
        <v>2041.0809667887668</v>
      </c>
      <c r="AY359" s="81">
        <v>7.1342780048815578E-3</v>
      </c>
      <c r="AZ359" s="83">
        <v>0</v>
      </c>
      <c r="BA359" s="80">
        <v>0</v>
      </c>
      <c r="BB359" s="84">
        <v>7162.2853744287468</v>
      </c>
      <c r="BC359" s="85">
        <v>8.6390782830882493</v>
      </c>
      <c r="BD359" s="86">
        <v>0.54737200000842534</v>
      </c>
      <c r="BE359" s="84">
        <v>7553.365636595152</v>
      </c>
      <c r="BF359" s="87">
        <v>6.1905885382836523</v>
      </c>
      <c r="BG359" s="88">
        <v>0.57726000000771582</v>
      </c>
      <c r="BH359" s="89">
        <v>0</v>
      </c>
      <c r="BI359" s="90">
        <v>0.35999999999289034</v>
      </c>
      <c r="BJ359" s="90">
        <v>0.15598799999775298</v>
      </c>
      <c r="BK359" s="91">
        <v>0.51598799999064338</v>
      </c>
      <c r="BL359" s="92">
        <v>6333.2287158672025</v>
      </c>
      <c r="BM359" s="95">
        <v>0</v>
      </c>
      <c r="BN359" t="s">
        <v>402</v>
      </c>
      <c r="BO359">
        <v>0.85994999999999999</v>
      </c>
    </row>
    <row r="360" spans="1:67">
      <c r="A360" s="61" t="str">
        <f t="shared" si="6"/>
        <v>UK</v>
      </c>
      <c r="B360" s="62" t="s">
        <v>64</v>
      </c>
      <c r="C360" s="62" t="s">
        <v>176</v>
      </c>
      <c r="D360" s="63" t="s">
        <v>97</v>
      </c>
      <c r="E360" s="64">
        <v>43831</v>
      </c>
      <c r="F360" s="64">
        <v>43921</v>
      </c>
      <c r="G360" s="65">
        <v>43995</v>
      </c>
      <c r="H360" s="66" t="s">
        <v>132</v>
      </c>
      <c r="I360" s="67">
        <v>3</v>
      </c>
      <c r="J360" s="68">
        <v>2020</v>
      </c>
      <c r="K360" s="69">
        <v>1</v>
      </c>
      <c r="L360" s="70">
        <v>3</v>
      </c>
      <c r="M360" s="71" t="s">
        <v>140</v>
      </c>
      <c r="N360" s="71" t="s">
        <v>18</v>
      </c>
      <c r="O360" s="71" t="s">
        <v>114</v>
      </c>
      <c r="P360" s="71" t="s">
        <v>102</v>
      </c>
      <c r="Q360" s="61" t="s">
        <v>74</v>
      </c>
      <c r="R360" s="63" t="s">
        <v>106</v>
      </c>
      <c r="S360" s="72" t="s">
        <v>444</v>
      </c>
      <c r="T360" s="61" t="s">
        <v>876</v>
      </c>
      <c r="U360" s="73" t="s">
        <v>887</v>
      </c>
      <c r="V360" s="62">
        <v>107461</v>
      </c>
      <c r="W360" s="62" t="s">
        <v>495</v>
      </c>
      <c r="X360" s="62" t="s">
        <v>402</v>
      </c>
      <c r="Y360" s="93">
        <v>1</v>
      </c>
      <c r="Z360" s="94">
        <v>1</v>
      </c>
      <c r="AA360" s="74">
        <v>16</v>
      </c>
      <c r="AB360" s="75">
        <v>17</v>
      </c>
      <c r="AC360" s="75">
        <v>829.50559140647704</v>
      </c>
      <c r="AD360" s="76">
        <v>995.40670969242399</v>
      </c>
      <c r="AE360" s="77">
        <v>16.910366434</v>
      </c>
      <c r="AF360" s="75">
        <v>18.027866434</v>
      </c>
      <c r="AG360" s="78">
        <v>1032.5245204721205</v>
      </c>
      <c r="AH360" s="79">
        <v>1239.0294246177102</v>
      </c>
      <c r="AI360" s="74">
        <v>371.70882737368453</v>
      </c>
      <c r="AJ360" s="75">
        <v>0</v>
      </c>
      <c r="AK360" s="75">
        <v>0</v>
      </c>
      <c r="AL360" s="80">
        <v>371.70882737368453</v>
      </c>
      <c r="AM360" s="74">
        <v>0</v>
      </c>
      <c r="AN360" s="74">
        <v>0</v>
      </c>
      <c r="AO360" s="81" t="s">
        <v>403</v>
      </c>
      <c r="AP360" s="82">
        <v>0</v>
      </c>
      <c r="AQ360" s="75">
        <v>0</v>
      </c>
      <c r="AR360" s="75">
        <v>0</v>
      </c>
      <c r="AS360" s="80">
        <v>0</v>
      </c>
      <c r="AT360" s="74">
        <v>33.70160034885749</v>
      </c>
      <c r="AU360" s="75">
        <v>31.078988066748064</v>
      </c>
      <c r="AV360" s="75">
        <v>65.420753617070758</v>
      </c>
      <c r="AW360" s="75">
        <v>30.860092868190012</v>
      </c>
      <c r="AX360" s="80">
        <v>161.06143490086632</v>
      </c>
      <c r="AY360" s="81">
        <v>0</v>
      </c>
      <c r="AZ360" s="83" t="s">
        <v>403</v>
      </c>
      <c r="BA360" s="80" t="s">
        <v>403</v>
      </c>
      <c r="BB360" s="84">
        <v>565.17501181464036</v>
      </c>
      <c r="BC360" s="85">
        <v>8.6390782827540633</v>
      </c>
      <c r="BD360" s="86">
        <v>0.54737199999493946</v>
      </c>
      <c r="BE360" s="84">
        <v>596.03510468283037</v>
      </c>
      <c r="BF360" s="87">
        <v>6.1905885380232393</v>
      </c>
      <c r="BG360" s="88">
        <v>0.57725999999524868</v>
      </c>
      <c r="BH360" s="89">
        <v>0</v>
      </c>
      <c r="BI360" s="90">
        <v>0.36000000000360394</v>
      </c>
      <c r="BJ360" s="90">
        <v>0.15598800000141516</v>
      </c>
      <c r="BK360" s="91">
        <v>0.5159880000050191</v>
      </c>
      <c r="BL360" s="92">
        <v>499.75425819756958</v>
      </c>
      <c r="BM360" s="95">
        <v>0</v>
      </c>
      <c r="BN360" t="s">
        <v>402</v>
      </c>
      <c r="BO360">
        <v>0.85994999999999999</v>
      </c>
    </row>
    <row r="361" spans="1:67">
      <c r="A361" s="61" t="str">
        <f t="shared" si="6"/>
        <v>UK</v>
      </c>
      <c r="B361" s="62" t="s">
        <v>64</v>
      </c>
      <c r="C361" s="62" t="s">
        <v>176</v>
      </c>
      <c r="D361" s="63" t="s">
        <v>97</v>
      </c>
      <c r="E361" s="64">
        <v>43831</v>
      </c>
      <c r="F361" s="64">
        <v>43921</v>
      </c>
      <c r="G361" s="65">
        <v>43995</v>
      </c>
      <c r="H361" s="66" t="s">
        <v>132</v>
      </c>
      <c r="I361" s="67">
        <v>3</v>
      </c>
      <c r="J361" s="68">
        <v>2020</v>
      </c>
      <c r="K361" s="69">
        <v>1</v>
      </c>
      <c r="L361" s="70">
        <v>3</v>
      </c>
      <c r="M361" s="71" t="s">
        <v>140</v>
      </c>
      <c r="N361" s="71" t="s">
        <v>18</v>
      </c>
      <c r="O361" s="71" t="s">
        <v>114</v>
      </c>
      <c r="P361" s="71" t="s">
        <v>102</v>
      </c>
      <c r="Q361" s="61" t="s">
        <v>74</v>
      </c>
      <c r="R361" s="63" t="s">
        <v>112</v>
      </c>
      <c r="S361" s="72" t="s">
        <v>444</v>
      </c>
      <c r="T361" s="61" t="s">
        <v>888</v>
      </c>
      <c r="U361" s="73" t="s">
        <v>889</v>
      </c>
      <c r="V361" s="62">
        <v>107509</v>
      </c>
      <c r="W361" s="62" t="s">
        <v>495</v>
      </c>
      <c r="X361" s="62" t="s">
        <v>402</v>
      </c>
      <c r="Y361" s="93">
        <v>1</v>
      </c>
      <c r="Z361" s="94">
        <v>1</v>
      </c>
      <c r="AA361" s="74">
        <v>2</v>
      </c>
      <c r="AB361" s="75">
        <v>2</v>
      </c>
      <c r="AC361" s="75">
        <v>379.86704653758937</v>
      </c>
      <c r="AD361" s="76">
        <v>455.84045584045583</v>
      </c>
      <c r="AE361" s="77">
        <v>5.8439023879000001</v>
      </c>
      <c r="AF361" s="75">
        <v>5.9417654015999997</v>
      </c>
      <c r="AG361" s="78">
        <v>1027.4811838478981</v>
      </c>
      <c r="AH361" s="79">
        <v>1232.977420663992</v>
      </c>
      <c r="AI361" s="74">
        <v>419.21232300715155</v>
      </c>
      <c r="AJ361" s="75">
        <v>0</v>
      </c>
      <c r="AK361" s="75">
        <v>0</v>
      </c>
      <c r="AL361" s="80">
        <v>419.21232300715155</v>
      </c>
      <c r="AM361" s="74">
        <v>0</v>
      </c>
      <c r="AN361" s="74">
        <v>0</v>
      </c>
      <c r="AO361" s="81" t="s">
        <v>403</v>
      </c>
      <c r="AP361" s="82">
        <v>0</v>
      </c>
      <c r="AQ361" s="75">
        <v>0</v>
      </c>
      <c r="AR361" s="75">
        <v>0</v>
      </c>
      <c r="AS361" s="80">
        <v>0</v>
      </c>
      <c r="AT361" s="74">
        <v>31.021711903017618</v>
      </c>
      <c r="AU361" s="75">
        <v>30.927183633932206</v>
      </c>
      <c r="AV361" s="75">
        <v>60.218617223094363</v>
      </c>
      <c r="AW361" s="75">
        <v>28.406155800918661</v>
      </c>
      <c r="AX361" s="80">
        <v>150.57366856096286</v>
      </c>
      <c r="AY361" s="81">
        <v>0</v>
      </c>
      <c r="AZ361" s="83" t="s">
        <v>403</v>
      </c>
      <c r="BA361" s="80" t="s">
        <v>403</v>
      </c>
      <c r="BB361" s="84">
        <v>517.91380950287817</v>
      </c>
      <c r="BC361" s="85">
        <v>8.6005596505835022</v>
      </c>
      <c r="BD361" s="86">
        <v>0.50406160000254263</v>
      </c>
      <c r="BE361" s="84">
        <v>546.31996530379683</v>
      </c>
      <c r="BF361" s="87">
        <v>6.1644159602617039</v>
      </c>
      <c r="BG361" s="88">
        <v>0.53170800000233442</v>
      </c>
      <c r="BH361" s="89">
        <v>0</v>
      </c>
      <c r="BI361" s="90">
        <v>0.40799999999728376</v>
      </c>
      <c r="BJ361" s="90">
        <v>0.1465464000003068</v>
      </c>
      <c r="BK361" s="91">
        <v>0.55454639999759059</v>
      </c>
      <c r="BL361" s="92">
        <v>457.69519227978367</v>
      </c>
      <c r="BM361" s="95">
        <v>0</v>
      </c>
      <c r="BN361" t="s">
        <v>402</v>
      </c>
      <c r="BO361">
        <v>0.85994999999999999</v>
      </c>
    </row>
    <row r="362" spans="1:67">
      <c r="A362" s="61" t="str">
        <f t="shared" si="6"/>
        <v>UK</v>
      </c>
      <c r="B362" s="62" t="s">
        <v>64</v>
      </c>
      <c r="C362" s="62" t="s">
        <v>176</v>
      </c>
      <c r="D362" s="63" t="s">
        <v>97</v>
      </c>
      <c r="E362" s="64">
        <v>43831</v>
      </c>
      <c r="F362" s="64">
        <v>43921</v>
      </c>
      <c r="G362" s="65">
        <v>43995</v>
      </c>
      <c r="H362" s="66" t="s">
        <v>132</v>
      </c>
      <c r="I362" s="67">
        <v>3</v>
      </c>
      <c r="J362" s="68">
        <v>2020</v>
      </c>
      <c r="K362" s="69">
        <v>1</v>
      </c>
      <c r="L362" s="70">
        <v>3</v>
      </c>
      <c r="M362" s="71" t="s">
        <v>140</v>
      </c>
      <c r="N362" s="71" t="s">
        <v>18</v>
      </c>
      <c r="O362" s="71" t="s">
        <v>114</v>
      </c>
      <c r="P362" s="71" t="s">
        <v>102</v>
      </c>
      <c r="Q362" s="61" t="s">
        <v>74</v>
      </c>
      <c r="R362" s="63" t="s">
        <v>112</v>
      </c>
      <c r="S362" s="72" t="s">
        <v>444</v>
      </c>
      <c r="T362" s="61" t="s">
        <v>888</v>
      </c>
      <c r="U362" s="73" t="s">
        <v>890</v>
      </c>
      <c r="V362" s="62">
        <v>107517</v>
      </c>
      <c r="W362" s="62" t="s">
        <v>495</v>
      </c>
      <c r="X362" s="62" t="s">
        <v>402</v>
      </c>
      <c r="Y362" s="93">
        <v>1</v>
      </c>
      <c r="Z362" s="94">
        <v>1</v>
      </c>
      <c r="AA362" s="74">
        <v>8</v>
      </c>
      <c r="AB362" s="75">
        <v>9</v>
      </c>
      <c r="AC362" s="75">
        <v>1866.3875806732949</v>
      </c>
      <c r="AD362" s="76">
        <v>2239.6650968079539</v>
      </c>
      <c r="AE362" s="77">
        <v>14.951792393</v>
      </c>
      <c r="AF362" s="75">
        <v>16.074346176999999</v>
      </c>
      <c r="AG362" s="78">
        <v>3110.3892586778302</v>
      </c>
      <c r="AH362" s="79">
        <v>3732.4671104133963</v>
      </c>
      <c r="AI362" s="74">
        <v>1269.038817489389</v>
      </c>
      <c r="AJ362" s="75">
        <v>0</v>
      </c>
      <c r="AK362" s="75">
        <v>0</v>
      </c>
      <c r="AL362" s="80">
        <v>1269.038817489389</v>
      </c>
      <c r="AM362" s="74">
        <v>0</v>
      </c>
      <c r="AN362" s="74">
        <v>0</v>
      </c>
      <c r="AO362" s="81" t="s">
        <v>403</v>
      </c>
      <c r="AP362" s="82">
        <v>0</v>
      </c>
      <c r="AQ362" s="75">
        <v>0</v>
      </c>
      <c r="AR362" s="75">
        <v>0</v>
      </c>
      <c r="AS362" s="80">
        <v>0</v>
      </c>
      <c r="AT362" s="74">
        <v>93.908872497238221</v>
      </c>
      <c r="AU362" s="75">
        <v>93.622716685853831</v>
      </c>
      <c r="AV362" s="75">
        <v>182.2936936682365</v>
      </c>
      <c r="AW362" s="75">
        <v>85.991065600325612</v>
      </c>
      <c r="AX362" s="80">
        <v>455.81634845165416</v>
      </c>
      <c r="AY362" s="81">
        <v>0</v>
      </c>
      <c r="AZ362" s="83" t="s">
        <v>403</v>
      </c>
      <c r="BA362" s="80" t="s">
        <v>403</v>
      </c>
      <c r="BB362" s="84">
        <v>1567.8277864050235</v>
      </c>
      <c r="BC362" s="85">
        <v>8.6005596510561428</v>
      </c>
      <c r="BD362" s="86">
        <v>0.5040616000170598</v>
      </c>
      <c r="BE362" s="84">
        <v>1653.8188520053491</v>
      </c>
      <c r="BF362" s="87">
        <v>6.1644159605422111</v>
      </c>
      <c r="BG362" s="88">
        <v>0.53170800001680729</v>
      </c>
      <c r="BH362" s="89">
        <v>0</v>
      </c>
      <c r="BI362" s="90">
        <v>0.40799999998355008</v>
      </c>
      <c r="BJ362" s="90">
        <v>0.14654639999799041</v>
      </c>
      <c r="BK362" s="91">
        <v>0.55454639998154054</v>
      </c>
      <c r="BL362" s="92">
        <v>1385.534092736787</v>
      </c>
      <c r="BM362" s="95">
        <v>0</v>
      </c>
      <c r="BN362" t="s">
        <v>402</v>
      </c>
      <c r="BO362">
        <v>0.85994999999999999</v>
      </c>
    </row>
    <row r="363" spans="1:67">
      <c r="A363" s="61" t="str">
        <f t="shared" si="6"/>
        <v>UK</v>
      </c>
      <c r="B363" s="62" t="s">
        <v>64</v>
      </c>
      <c r="C363" s="62" t="s">
        <v>176</v>
      </c>
      <c r="D363" s="63" t="s">
        <v>97</v>
      </c>
      <c r="E363" s="64">
        <v>43831</v>
      </c>
      <c r="F363" s="64">
        <v>43921</v>
      </c>
      <c r="G363" s="65">
        <v>43995</v>
      </c>
      <c r="H363" s="66" t="s">
        <v>132</v>
      </c>
      <c r="I363" s="67">
        <v>3</v>
      </c>
      <c r="J363" s="68">
        <v>2020</v>
      </c>
      <c r="K363" s="69">
        <v>1</v>
      </c>
      <c r="L363" s="70">
        <v>3</v>
      </c>
      <c r="M363" s="71" t="s">
        <v>140</v>
      </c>
      <c r="N363" s="71" t="s">
        <v>18</v>
      </c>
      <c r="O363" s="71" t="s">
        <v>114</v>
      </c>
      <c r="P363" s="71" t="s">
        <v>102</v>
      </c>
      <c r="Q363" s="61" t="s">
        <v>74</v>
      </c>
      <c r="R363" s="63" t="s">
        <v>112</v>
      </c>
      <c r="S363" s="72" t="s">
        <v>444</v>
      </c>
      <c r="T363" s="61" t="s">
        <v>888</v>
      </c>
      <c r="U363" s="73" t="s">
        <v>891</v>
      </c>
      <c r="V363" s="62">
        <v>107518</v>
      </c>
      <c r="W363" s="62" t="s">
        <v>495</v>
      </c>
      <c r="X363" s="62" t="s">
        <v>402</v>
      </c>
      <c r="Y363" s="93">
        <v>1</v>
      </c>
      <c r="Z363" s="94">
        <v>1</v>
      </c>
      <c r="AA363" s="74">
        <v>4</v>
      </c>
      <c r="AB363" s="75">
        <v>4</v>
      </c>
      <c r="AC363" s="75">
        <v>155.04777409151694</v>
      </c>
      <c r="AD363" s="76">
        <v>186.05732891447178</v>
      </c>
      <c r="AE363" s="77">
        <v>0.67497746839999995</v>
      </c>
      <c r="AF363" s="75">
        <v>0.67497746839999995</v>
      </c>
      <c r="AG363" s="78">
        <v>23.569601190766907</v>
      </c>
      <c r="AH363" s="79">
        <v>28.283521429152859</v>
      </c>
      <c r="AI363" s="74">
        <v>9.6163972857724289</v>
      </c>
      <c r="AJ363" s="75">
        <v>0</v>
      </c>
      <c r="AK363" s="75">
        <v>0</v>
      </c>
      <c r="AL363" s="80">
        <v>9.6163972857724289</v>
      </c>
      <c r="AM363" s="74">
        <v>0</v>
      </c>
      <c r="AN363" s="74">
        <v>0</v>
      </c>
      <c r="AO363" s="81" t="s">
        <v>403</v>
      </c>
      <c r="AP363" s="82">
        <v>0</v>
      </c>
      <c r="AQ363" s="75">
        <v>0</v>
      </c>
      <c r="AR363" s="75">
        <v>0</v>
      </c>
      <c r="AS363" s="80">
        <v>0</v>
      </c>
      <c r="AT363" s="74">
        <v>0.71161339915111343</v>
      </c>
      <c r="AU363" s="75">
        <v>0.70944499587185295</v>
      </c>
      <c r="AV363" s="75">
        <v>1.3813671865806152</v>
      </c>
      <c r="AW363" s="75">
        <v>0.65161462236176515</v>
      </c>
      <c r="AX363" s="80">
        <v>3.4540402039653468</v>
      </c>
      <c r="AY363" s="81">
        <v>0</v>
      </c>
      <c r="AZ363" s="83" t="s">
        <v>403</v>
      </c>
      <c r="BA363" s="80" t="s">
        <v>403</v>
      </c>
      <c r="BB363" s="84">
        <v>11.880530887609744</v>
      </c>
      <c r="BC363" s="85">
        <v>8.6005596506301618</v>
      </c>
      <c r="BD363" s="86">
        <v>0.50406160000126743</v>
      </c>
      <c r="BE363" s="84">
        <v>12.53214550997151</v>
      </c>
      <c r="BF363" s="87">
        <v>6.164415960264356</v>
      </c>
      <c r="BG363" s="88">
        <v>0.53170800000132457</v>
      </c>
      <c r="BH363" s="89">
        <v>0</v>
      </c>
      <c r="BI363" s="90">
        <v>0.40799999999743447</v>
      </c>
      <c r="BJ363" s="90">
        <v>0.14654640000096494</v>
      </c>
      <c r="BK363" s="91">
        <v>0.55454639999839939</v>
      </c>
      <c r="BL363" s="92">
        <v>10.499163701029131</v>
      </c>
      <c r="BM363" s="95">
        <v>0</v>
      </c>
      <c r="BN363" t="s">
        <v>402</v>
      </c>
      <c r="BO363">
        <v>0.85994999999999999</v>
      </c>
    </row>
    <row r="364" spans="1:67">
      <c r="A364" s="61" t="str">
        <f t="shared" si="6"/>
        <v>UK</v>
      </c>
      <c r="B364" s="62" t="s">
        <v>64</v>
      </c>
      <c r="C364" s="62" t="s">
        <v>176</v>
      </c>
      <c r="D364" s="63" t="s">
        <v>97</v>
      </c>
      <c r="E364" s="64">
        <v>43831</v>
      </c>
      <c r="F364" s="64">
        <v>43921</v>
      </c>
      <c r="G364" s="65">
        <v>43995</v>
      </c>
      <c r="H364" s="66" t="s">
        <v>132</v>
      </c>
      <c r="I364" s="67">
        <v>3</v>
      </c>
      <c r="J364" s="68">
        <v>2020</v>
      </c>
      <c r="K364" s="69">
        <v>1</v>
      </c>
      <c r="L364" s="70">
        <v>3</v>
      </c>
      <c r="M364" s="71" t="s">
        <v>140</v>
      </c>
      <c r="N364" s="71" t="s">
        <v>18</v>
      </c>
      <c r="O364" s="71" t="s">
        <v>114</v>
      </c>
      <c r="P364" s="71" t="s">
        <v>102</v>
      </c>
      <c r="Q364" s="61" t="s">
        <v>74</v>
      </c>
      <c r="R364" s="63" t="s">
        <v>112</v>
      </c>
      <c r="S364" s="72" t="s">
        <v>444</v>
      </c>
      <c r="T364" s="61" t="s">
        <v>888</v>
      </c>
      <c r="U364" s="73" t="s">
        <v>892</v>
      </c>
      <c r="V364" s="62">
        <v>106579</v>
      </c>
      <c r="W364" s="62" t="s">
        <v>495</v>
      </c>
      <c r="X364" s="62" t="s">
        <v>402</v>
      </c>
      <c r="Y364" s="93">
        <v>1</v>
      </c>
      <c r="Z364" s="94">
        <v>1</v>
      </c>
      <c r="AA364" s="74">
        <v>0</v>
      </c>
      <c r="AB364" s="75">
        <v>0</v>
      </c>
      <c r="AC364" s="75">
        <v>0</v>
      </c>
      <c r="AD364" s="76">
        <v>0</v>
      </c>
      <c r="AE364" s="77">
        <v>0.23114754100000001</v>
      </c>
      <c r="AF364" s="75">
        <v>0.46229508200000002</v>
      </c>
      <c r="AG364" s="78">
        <v>55.774306359672075</v>
      </c>
      <c r="AH364" s="79">
        <v>66.929167631839064</v>
      </c>
      <c r="AI364" s="74">
        <v>22.75591699517414</v>
      </c>
      <c r="AJ364" s="75">
        <v>0</v>
      </c>
      <c r="AK364" s="75">
        <v>0</v>
      </c>
      <c r="AL364" s="80">
        <v>22.75591699517414</v>
      </c>
      <c r="AM364" s="74">
        <v>0</v>
      </c>
      <c r="AN364" s="74">
        <v>0</v>
      </c>
      <c r="AO364" s="81" t="s">
        <v>403</v>
      </c>
      <c r="AP364" s="82">
        <v>0</v>
      </c>
      <c r="AQ364" s="75">
        <v>0</v>
      </c>
      <c r="AR364" s="75">
        <v>0</v>
      </c>
      <c r="AS364" s="80">
        <v>0</v>
      </c>
      <c r="AT364" s="74">
        <v>1.6839378576661435</v>
      </c>
      <c r="AU364" s="75">
        <v>1.6788066214314785</v>
      </c>
      <c r="AV364" s="75">
        <v>3.2688205471248328</v>
      </c>
      <c r="AW364" s="75">
        <v>1.5419587833013546</v>
      </c>
      <c r="AX364" s="80">
        <v>8.173523809523811</v>
      </c>
      <c r="AY364" s="81">
        <v>0</v>
      </c>
      <c r="AZ364" s="83" t="s">
        <v>403</v>
      </c>
      <c r="BA364" s="80" t="s">
        <v>403</v>
      </c>
      <c r="BB364" s="84">
        <v>28.11368610209896</v>
      </c>
      <c r="BC364" s="85">
        <v>8.6005596504301849</v>
      </c>
      <c r="BD364" s="86">
        <v>0.50406159999197619</v>
      </c>
      <c r="BE364" s="84">
        <v>29.655644885400314</v>
      </c>
      <c r="BF364" s="87">
        <v>6.1644159601835478</v>
      </c>
      <c r="BG364" s="88">
        <v>0.53170799999124674</v>
      </c>
      <c r="BH364" s="89">
        <v>0</v>
      </c>
      <c r="BI364" s="90">
        <v>0.40800000000767256</v>
      </c>
      <c r="BJ364" s="90">
        <v>0.14654640000030056</v>
      </c>
      <c r="BK364" s="91">
        <v>0.55454640000797317</v>
      </c>
      <c r="BL364" s="92">
        <v>24.844865554974124</v>
      </c>
      <c r="BM364" s="95">
        <v>0</v>
      </c>
      <c r="BN364" t="s">
        <v>402</v>
      </c>
      <c r="BO364">
        <v>0.85994999999999999</v>
      </c>
    </row>
    <row r="365" spans="1:67">
      <c r="A365" s="61" t="str">
        <f t="shared" si="6"/>
        <v>UK</v>
      </c>
      <c r="B365" s="62" t="s">
        <v>64</v>
      </c>
      <c r="C365" s="62" t="s">
        <v>176</v>
      </c>
      <c r="D365" s="63" t="s">
        <v>97</v>
      </c>
      <c r="E365" s="64">
        <v>43831</v>
      </c>
      <c r="F365" s="64">
        <v>43921</v>
      </c>
      <c r="G365" s="65">
        <v>43995</v>
      </c>
      <c r="H365" s="66" t="s">
        <v>132</v>
      </c>
      <c r="I365" s="67">
        <v>3</v>
      </c>
      <c r="J365" s="68">
        <v>2020</v>
      </c>
      <c r="K365" s="69">
        <v>1</v>
      </c>
      <c r="L365" s="70">
        <v>3</v>
      </c>
      <c r="M365" s="71" t="s">
        <v>140</v>
      </c>
      <c r="N365" s="71" t="s">
        <v>18</v>
      </c>
      <c r="O365" s="71" t="s">
        <v>114</v>
      </c>
      <c r="P365" s="71" t="s">
        <v>102</v>
      </c>
      <c r="Q365" s="61" t="s">
        <v>74</v>
      </c>
      <c r="R365" s="63" t="s">
        <v>112</v>
      </c>
      <c r="S365" s="72" t="s">
        <v>444</v>
      </c>
      <c r="T365" s="61" t="s">
        <v>888</v>
      </c>
      <c r="U365" s="73" t="s">
        <v>893</v>
      </c>
      <c r="V365" s="62">
        <v>107462</v>
      </c>
      <c r="W365" s="62" t="s">
        <v>495</v>
      </c>
      <c r="X365" s="62" t="s">
        <v>402</v>
      </c>
      <c r="Y365" s="93">
        <v>1</v>
      </c>
      <c r="Z365" s="94">
        <v>1</v>
      </c>
      <c r="AA365" s="74">
        <v>11</v>
      </c>
      <c r="AB365" s="75">
        <v>22</v>
      </c>
      <c r="AC365" s="75">
        <v>2938.1553191464618</v>
      </c>
      <c r="AD365" s="76">
        <v>3525.7863829292401</v>
      </c>
      <c r="AE365" s="77">
        <v>7.7271544277000004</v>
      </c>
      <c r="AF365" s="75">
        <v>15.454308855000001</v>
      </c>
      <c r="AG365" s="78">
        <v>2052.6314372928659</v>
      </c>
      <c r="AH365" s="79">
        <v>2463.1577247514388</v>
      </c>
      <c r="AI365" s="74">
        <v>837.47362639688356</v>
      </c>
      <c r="AJ365" s="75">
        <v>0</v>
      </c>
      <c r="AK365" s="75">
        <v>0</v>
      </c>
      <c r="AL365" s="80">
        <v>837.47362639688356</v>
      </c>
      <c r="AM365" s="74">
        <v>0</v>
      </c>
      <c r="AN365" s="74">
        <v>0</v>
      </c>
      <c r="AO365" s="81" t="s">
        <v>403</v>
      </c>
      <c r="AP365" s="82">
        <v>0</v>
      </c>
      <c r="AQ365" s="75">
        <v>0</v>
      </c>
      <c r="AR365" s="75">
        <v>0</v>
      </c>
      <c r="AS365" s="80">
        <v>0</v>
      </c>
      <c r="AT365" s="74">
        <v>61.973048353974072</v>
      </c>
      <c r="AU365" s="75">
        <v>61.784206261991976</v>
      </c>
      <c r="AV365" s="75">
        <v>120.30062328042328</v>
      </c>
      <c r="AW365" s="75">
        <v>56.747869766846911</v>
      </c>
      <c r="AX365" s="80">
        <v>300.80574766323622</v>
      </c>
      <c r="AY365" s="81">
        <v>0</v>
      </c>
      <c r="AZ365" s="83" t="s">
        <v>403</v>
      </c>
      <c r="BA365" s="80" t="s">
        <v>403</v>
      </c>
      <c r="BB365" s="84">
        <v>1034.6526865131696</v>
      </c>
      <c r="BC365" s="85">
        <v>8.6005596504797186</v>
      </c>
      <c r="BD365" s="86">
        <v>0.50406160001024436</v>
      </c>
      <c r="BE365" s="84">
        <v>1091.4005562800164</v>
      </c>
      <c r="BF365" s="87">
        <v>6.16441596025685</v>
      </c>
      <c r="BG365" s="88">
        <v>0.53170800000969554</v>
      </c>
      <c r="BH365" s="89">
        <v>0</v>
      </c>
      <c r="BI365" s="90">
        <v>0.40799999999093567</v>
      </c>
      <c r="BJ365" s="90">
        <v>0.14654640000055585</v>
      </c>
      <c r="BK365" s="91">
        <v>0.55454639999149147</v>
      </c>
      <c r="BL365" s="92">
        <v>914.3520632327461</v>
      </c>
      <c r="BM365" s="95">
        <v>0</v>
      </c>
      <c r="BN365" t="s">
        <v>402</v>
      </c>
      <c r="BO365">
        <v>0.85994999999999999</v>
      </c>
    </row>
    <row r="366" spans="1:67">
      <c r="A366" s="61" t="str">
        <f t="shared" si="6"/>
        <v>UK</v>
      </c>
      <c r="B366" s="62" t="s">
        <v>64</v>
      </c>
      <c r="C366" s="62" t="s">
        <v>176</v>
      </c>
      <c r="D366" s="63" t="s">
        <v>97</v>
      </c>
      <c r="E366" s="64">
        <v>43831</v>
      </c>
      <c r="F366" s="64">
        <v>43921</v>
      </c>
      <c r="G366" s="65">
        <v>43995</v>
      </c>
      <c r="H366" s="66" t="s">
        <v>132</v>
      </c>
      <c r="I366" s="67">
        <v>3</v>
      </c>
      <c r="J366" s="68">
        <v>2020</v>
      </c>
      <c r="K366" s="69">
        <v>1</v>
      </c>
      <c r="L366" s="70">
        <v>3</v>
      </c>
      <c r="M366" s="71" t="s">
        <v>140</v>
      </c>
      <c r="N366" s="71" t="s">
        <v>18</v>
      </c>
      <c r="O366" s="71" t="s">
        <v>114</v>
      </c>
      <c r="P366" s="71" t="s">
        <v>102</v>
      </c>
      <c r="Q366" s="61" t="s">
        <v>74</v>
      </c>
      <c r="R366" s="63" t="s">
        <v>112</v>
      </c>
      <c r="S366" s="72" t="s">
        <v>444</v>
      </c>
      <c r="T366" s="61" t="s">
        <v>888</v>
      </c>
      <c r="U366" s="73" t="s">
        <v>894</v>
      </c>
      <c r="V366" s="62">
        <v>106580</v>
      </c>
      <c r="W366" s="62" t="s">
        <v>495</v>
      </c>
      <c r="X366" s="62" t="s">
        <v>402</v>
      </c>
      <c r="Y366" s="93">
        <v>1</v>
      </c>
      <c r="Z366" s="94">
        <v>1</v>
      </c>
      <c r="AA366" s="74">
        <v>0</v>
      </c>
      <c r="AB366" s="75">
        <v>0</v>
      </c>
      <c r="AC366" s="75">
        <v>0</v>
      </c>
      <c r="AD366" s="76">
        <v>0</v>
      </c>
      <c r="AE366" s="77">
        <v>2.5753425000000002E-3</v>
      </c>
      <c r="AF366" s="75">
        <v>1.0301369899999999E-2</v>
      </c>
      <c r="AG366" s="78">
        <v>0.8460192413512414</v>
      </c>
      <c r="AH366" s="79">
        <v>1.0152230895982324</v>
      </c>
      <c r="AI366" s="74">
        <v>0.34517585045642191</v>
      </c>
      <c r="AJ366" s="75">
        <v>0</v>
      </c>
      <c r="AK366" s="75">
        <v>0</v>
      </c>
      <c r="AL366" s="80">
        <v>0.34517585045642191</v>
      </c>
      <c r="AM366" s="74">
        <v>0</v>
      </c>
      <c r="AN366" s="74">
        <v>0</v>
      </c>
      <c r="AO366" s="81" t="s">
        <v>403</v>
      </c>
      <c r="AP366" s="82">
        <v>0</v>
      </c>
      <c r="AQ366" s="75">
        <v>0</v>
      </c>
      <c r="AR366" s="75">
        <v>0</v>
      </c>
      <c r="AS366" s="80">
        <v>0</v>
      </c>
      <c r="AT366" s="74">
        <v>2.554301296587011E-2</v>
      </c>
      <c r="AU366" s="75">
        <v>2.5465179138321997E-2</v>
      </c>
      <c r="AV366" s="75">
        <v>4.9583495668352809E-2</v>
      </c>
      <c r="AW366" s="75">
        <v>2.3389386359672075E-2</v>
      </c>
      <c r="AX366" s="80">
        <v>0.12398107413221698</v>
      </c>
      <c r="AY366" s="81">
        <v>0</v>
      </c>
      <c r="AZ366" s="83" t="s">
        <v>403</v>
      </c>
      <c r="BA366" s="80" t="s">
        <v>403</v>
      </c>
      <c r="BB366" s="84">
        <v>0.42644581243095531</v>
      </c>
      <c r="BC366" s="85">
        <v>8.6005596556424084</v>
      </c>
      <c r="BD366" s="86">
        <v>0.50406160000551103</v>
      </c>
      <c r="BE366" s="84">
        <v>0.44983519879062739</v>
      </c>
      <c r="BF366" s="87">
        <v>6.1644159623279018</v>
      </c>
      <c r="BG366" s="88">
        <v>0.5317080000121055</v>
      </c>
      <c r="BH366" s="89">
        <v>0</v>
      </c>
      <c r="BI366" s="90">
        <v>0.40799999998240633</v>
      </c>
      <c r="BJ366" s="90">
        <v>0.14654639997808727</v>
      </c>
      <c r="BK366" s="91">
        <v>0.5545463999604936</v>
      </c>
      <c r="BL366" s="92">
        <v>0.37686231676260251</v>
      </c>
      <c r="BM366" s="95">
        <v>0</v>
      </c>
      <c r="BN366" t="s">
        <v>402</v>
      </c>
      <c r="BO366">
        <v>0.85994999999999999</v>
      </c>
    </row>
    <row r="367" spans="1:67">
      <c r="A367" s="61" t="str">
        <f t="shared" si="6"/>
        <v>UK</v>
      </c>
      <c r="B367" s="62" t="s">
        <v>64</v>
      </c>
      <c r="C367" s="62" t="s">
        <v>176</v>
      </c>
      <c r="D367" s="63" t="s">
        <v>97</v>
      </c>
      <c r="E367" s="64">
        <v>43831</v>
      </c>
      <c r="F367" s="64">
        <v>43921</v>
      </c>
      <c r="G367" s="65">
        <v>43995</v>
      </c>
      <c r="H367" s="66" t="s">
        <v>132</v>
      </c>
      <c r="I367" s="67">
        <v>3</v>
      </c>
      <c r="J367" s="68">
        <v>2020</v>
      </c>
      <c r="K367" s="69">
        <v>1</v>
      </c>
      <c r="L367" s="70">
        <v>3</v>
      </c>
      <c r="M367" s="71" t="s">
        <v>140</v>
      </c>
      <c r="N367" s="71" t="s">
        <v>18</v>
      </c>
      <c r="O367" s="71" t="s">
        <v>114</v>
      </c>
      <c r="P367" s="71" t="s">
        <v>102</v>
      </c>
      <c r="Q367" s="61" t="s">
        <v>74</v>
      </c>
      <c r="R367" s="63" t="s">
        <v>112</v>
      </c>
      <c r="S367" s="72" t="s">
        <v>444</v>
      </c>
      <c r="T367" s="61" t="s">
        <v>888</v>
      </c>
      <c r="U367" s="73" t="s">
        <v>895</v>
      </c>
      <c r="V367" s="62">
        <v>107463</v>
      </c>
      <c r="W367" s="62" t="s">
        <v>495</v>
      </c>
      <c r="X367" s="62" t="s">
        <v>402</v>
      </c>
      <c r="Y367" s="93">
        <v>1</v>
      </c>
      <c r="Z367" s="94">
        <v>1</v>
      </c>
      <c r="AA367" s="74">
        <v>2</v>
      </c>
      <c r="AB367" s="75">
        <v>8</v>
      </c>
      <c r="AC367" s="75">
        <v>521.34814039188325</v>
      </c>
      <c r="AD367" s="76">
        <v>625.61776847491137</v>
      </c>
      <c r="AE367" s="77">
        <v>3.5729639942999998</v>
      </c>
      <c r="AF367" s="75">
        <v>13.642194176</v>
      </c>
      <c r="AG367" s="78">
        <v>911.73730839002269</v>
      </c>
      <c r="AH367" s="79">
        <v>1094.0847700680272</v>
      </c>
      <c r="AI367" s="74">
        <v>371.98882182685043</v>
      </c>
      <c r="AJ367" s="75">
        <v>0</v>
      </c>
      <c r="AK367" s="75">
        <v>0</v>
      </c>
      <c r="AL367" s="80">
        <v>371.98882182685043</v>
      </c>
      <c r="AM367" s="74">
        <v>0</v>
      </c>
      <c r="AN367" s="74">
        <v>0</v>
      </c>
      <c r="AO367" s="81" t="s">
        <v>403</v>
      </c>
      <c r="AP367" s="82">
        <v>1</v>
      </c>
      <c r="AQ367" s="75">
        <v>0</v>
      </c>
      <c r="AR367" s="75">
        <v>0</v>
      </c>
      <c r="AS367" s="80">
        <v>0</v>
      </c>
      <c r="AT367" s="74">
        <v>27.527172814698528</v>
      </c>
      <c r="AU367" s="75">
        <v>27.443292982150126</v>
      </c>
      <c r="AV367" s="75">
        <v>53.435100169777314</v>
      </c>
      <c r="AW367" s="75">
        <v>25.206254322925751</v>
      </c>
      <c r="AX367" s="80">
        <v>133.61182028955173</v>
      </c>
      <c r="AY367" s="81">
        <v>7.3301991387811197E-2</v>
      </c>
      <c r="AZ367" s="83">
        <v>0</v>
      </c>
      <c r="BA367" s="80">
        <v>0</v>
      </c>
      <c r="BB367" s="84">
        <v>459.57176644339785</v>
      </c>
      <c r="BC367" s="85">
        <v>8.6005596505521265</v>
      </c>
      <c r="BD367" s="86">
        <v>0.50406159999630329</v>
      </c>
      <c r="BE367" s="84">
        <v>484.77802076632361</v>
      </c>
      <c r="BF367" s="87">
        <v>6.1644159601969326</v>
      </c>
      <c r="BG367" s="88">
        <v>0.53170799999657947</v>
      </c>
      <c r="BH367" s="89">
        <v>0</v>
      </c>
      <c r="BI367" s="90">
        <v>0.40800000000408143</v>
      </c>
      <c r="BJ367" s="90">
        <v>0.14654639999923674</v>
      </c>
      <c r="BK367" s="91">
        <v>0.55454640000331823</v>
      </c>
      <c r="BL367" s="92">
        <v>406.13666627362056</v>
      </c>
      <c r="BM367" s="95">
        <v>0</v>
      </c>
      <c r="BN367" t="s">
        <v>402</v>
      </c>
      <c r="BO367">
        <v>0.85994999999999999</v>
      </c>
    </row>
    <row r="368" spans="1:67">
      <c r="A368" s="61" t="str">
        <f t="shared" si="6"/>
        <v>UK</v>
      </c>
      <c r="B368" s="62" t="s">
        <v>64</v>
      </c>
      <c r="C368" s="62" t="s">
        <v>176</v>
      </c>
      <c r="D368" s="63" t="s">
        <v>97</v>
      </c>
      <c r="E368" s="64">
        <v>43831</v>
      </c>
      <c r="F368" s="64">
        <v>43921</v>
      </c>
      <c r="G368" s="65">
        <v>43995</v>
      </c>
      <c r="H368" s="66" t="s">
        <v>132</v>
      </c>
      <c r="I368" s="67">
        <v>3</v>
      </c>
      <c r="J368" s="68">
        <v>2020</v>
      </c>
      <c r="K368" s="69">
        <v>1</v>
      </c>
      <c r="L368" s="70">
        <v>3</v>
      </c>
      <c r="M368" s="71" t="s">
        <v>140</v>
      </c>
      <c r="N368" s="71" t="s">
        <v>18</v>
      </c>
      <c r="O368" s="71" t="s">
        <v>114</v>
      </c>
      <c r="P368" s="71" t="s">
        <v>102</v>
      </c>
      <c r="Q368" s="61" t="s">
        <v>74</v>
      </c>
      <c r="R368" s="63" t="s">
        <v>112</v>
      </c>
      <c r="S368" s="72" t="s">
        <v>444</v>
      </c>
      <c r="T368" s="61" t="s">
        <v>888</v>
      </c>
      <c r="U368" s="73" t="s">
        <v>896</v>
      </c>
      <c r="V368" s="62">
        <v>106581</v>
      </c>
      <c r="W368" s="62" t="s">
        <v>495</v>
      </c>
      <c r="X368" s="62" t="s">
        <v>402</v>
      </c>
      <c r="Y368" s="93">
        <v>1</v>
      </c>
      <c r="Z368" s="94">
        <v>1</v>
      </c>
      <c r="AA368" s="74">
        <v>0</v>
      </c>
      <c r="AB368" s="75">
        <v>0</v>
      </c>
      <c r="AC368" s="75">
        <v>0</v>
      </c>
      <c r="AD368" s="76">
        <v>0</v>
      </c>
      <c r="AE368" s="77">
        <v>7.9835616400000003E-2</v>
      </c>
      <c r="AF368" s="75">
        <v>7.9835616400000003E-2</v>
      </c>
      <c r="AG368" s="78">
        <v>13.46143890226176</v>
      </c>
      <c r="AH368" s="79">
        <v>16.153726681783823</v>
      </c>
      <c r="AI368" s="74">
        <v>5.492267071922786</v>
      </c>
      <c r="AJ368" s="75">
        <v>0</v>
      </c>
      <c r="AK368" s="75">
        <v>0</v>
      </c>
      <c r="AL368" s="80">
        <v>5.492267071922786</v>
      </c>
      <c r="AM368" s="74">
        <v>0</v>
      </c>
      <c r="AN368" s="74">
        <v>0</v>
      </c>
      <c r="AO368" s="81" t="s">
        <v>403</v>
      </c>
      <c r="AP368" s="82">
        <v>0</v>
      </c>
      <c r="AQ368" s="75">
        <v>0</v>
      </c>
      <c r="AR368" s="75">
        <v>0</v>
      </c>
      <c r="AS368" s="80">
        <v>0</v>
      </c>
      <c r="AT368" s="74">
        <v>0.40642776335833475</v>
      </c>
      <c r="AU368" s="75">
        <v>0.40518931089016808</v>
      </c>
      <c r="AV368" s="75">
        <v>0.78894801116343971</v>
      </c>
      <c r="AW368" s="75">
        <v>0.37216032443746733</v>
      </c>
      <c r="AX368" s="80">
        <v>1.9727254098494098</v>
      </c>
      <c r="AY368" s="81">
        <v>0</v>
      </c>
      <c r="AZ368" s="83" t="s">
        <v>403</v>
      </c>
      <c r="BA368" s="80" t="s">
        <v>403</v>
      </c>
      <c r="BB368" s="84">
        <v>6.7853944316530042</v>
      </c>
      <c r="BC368" s="85">
        <v>8.6005596511318547</v>
      </c>
      <c r="BD368" s="86">
        <v>0.50406160002055489</v>
      </c>
      <c r="BE368" s="84">
        <v>7.1575547560904713</v>
      </c>
      <c r="BF368" s="87">
        <v>6.1644159607089808</v>
      </c>
      <c r="BG368" s="88">
        <v>0.53170800001832463</v>
      </c>
      <c r="BH368" s="89">
        <v>0</v>
      </c>
      <c r="BI368" s="90">
        <v>0.40799999998514186</v>
      </c>
      <c r="BJ368" s="90">
        <v>0.14654639999279401</v>
      </c>
      <c r="BK368" s="91">
        <v>0.55454639997793587</v>
      </c>
      <c r="BL368" s="92">
        <v>5.9964464204895638</v>
      </c>
      <c r="BM368" s="95">
        <v>0</v>
      </c>
      <c r="BN368" t="s">
        <v>402</v>
      </c>
      <c r="BO368">
        <v>0.85994999999999999</v>
      </c>
    </row>
    <row r="369" spans="1:67">
      <c r="A369" s="61" t="str">
        <f t="shared" si="6"/>
        <v>UK</v>
      </c>
      <c r="B369" s="62" t="s">
        <v>64</v>
      </c>
      <c r="C369" s="62" t="s">
        <v>176</v>
      </c>
      <c r="D369" s="63" t="s">
        <v>97</v>
      </c>
      <c r="E369" s="64">
        <v>43831</v>
      </c>
      <c r="F369" s="64">
        <v>43921</v>
      </c>
      <c r="G369" s="65">
        <v>43995</v>
      </c>
      <c r="H369" s="66" t="s">
        <v>132</v>
      </c>
      <c r="I369" s="67">
        <v>3</v>
      </c>
      <c r="J369" s="68">
        <v>2020</v>
      </c>
      <c r="K369" s="69">
        <v>1</v>
      </c>
      <c r="L369" s="70">
        <v>3</v>
      </c>
      <c r="M369" s="71" t="s">
        <v>140</v>
      </c>
      <c r="N369" s="71" t="s">
        <v>18</v>
      </c>
      <c r="O369" s="71" t="s">
        <v>114</v>
      </c>
      <c r="P369" s="71" t="s">
        <v>102</v>
      </c>
      <c r="Q369" s="61" t="s">
        <v>74</v>
      </c>
      <c r="R369" s="63" t="s">
        <v>112</v>
      </c>
      <c r="S369" s="72" t="s">
        <v>444</v>
      </c>
      <c r="T369" s="61" t="s">
        <v>888</v>
      </c>
      <c r="U369" s="73" t="s">
        <v>897</v>
      </c>
      <c r="V369" s="62">
        <v>107464</v>
      </c>
      <c r="W369" s="62" t="s">
        <v>495</v>
      </c>
      <c r="X369" s="62" t="s">
        <v>402</v>
      </c>
      <c r="Y369" s="93">
        <v>1</v>
      </c>
      <c r="Z369" s="94">
        <v>1</v>
      </c>
      <c r="AA369" s="74">
        <v>31</v>
      </c>
      <c r="AB369" s="75">
        <v>35</v>
      </c>
      <c r="AC369" s="75">
        <v>5593.3387652770516</v>
      </c>
      <c r="AD369" s="76">
        <v>6712.0065184022324</v>
      </c>
      <c r="AE369" s="77">
        <v>20.876000534999999</v>
      </c>
      <c r="AF369" s="75">
        <v>22.252831136000001</v>
      </c>
      <c r="AG369" s="78">
        <v>3872.4565184022326</v>
      </c>
      <c r="AH369" s="79">
        <v>4646.9478220826786</v>
      </c>
      <c r="AI369" s="74">
        <v>1579.9622595499739</v>
      </c>
      <c r="AJ369" s="75">
        <v>0</v>
      </c>
      <c r="AK369" s="75">
        <v>0</v>
      </c>
      <c r="AL369" s="80">
        <v>1579.9622595499739</v>
      </c>
      <c r="AM369" s="74">
        <v>2</v>
      </c>
      <c r="AN369" s="74">
        <v>0</v>
      </c>
      <c r="AO369" s="81">
        <v>0</v>
      </c>
      <c r="AP369" s="82">
        <v>4</v>
      </c>
      <c r="AQ369" s="75">
        <v>758.56735182278044</v>
      </c>
      <c r="AR369" s="75">
        <v>758.56736069538931</v>
      </c>
      <c r="AS369" s="80">
        <v>1517.1347125181696</v>
      </c>
      <c r="AT369" s="74">
        <v>116.9172072097215</v>
      </c>
      <c r="AU369" s="75">
        <v>116.56094120588406</v>
      </c>
      <c r="AV369" s="75">
        <v>226.95693163556021</v>
      </c>
      <c r="AW369" s="75">
        <v>107.0594818908076</v>
      </c>
      <c r="AX369" s="80">
        <v>567.49456194197342</v>
      </c>
      <c r="AY369" s="81">
        <v>0.1797524088307538</v>
      </c>
      <c r="AZ369" s="83">
        <v>379.28367812954241</v>
      </c>
      <c r="BA369" s="80">
        <v>68.177154773973541</v>
      </c>
      <c r="BB369" s="84">
        <v>434.82191602767625</v>
      </c>
      <c r="BC369" s="85">
        <v>1.9158785452999454</v>
      </c>
      <c r="BD369" s="86">
        <v>0.11228580978543379</v>
      </c>
      <c r="BE369" s="84">
        <v>541.8813979184838</v>
      </c>
      <c r="BF369" s="87">
        <v>1.6223196704544782</v>
      </c>
      <c r="BG369" s="88">
        <v>0.13993220978555052</v>
      </c>
      <c r="BH369" s="89">
        <v>0.3917757902015479</v>
      </c>
      <c r="BI369" s="90">
        <v>0.40800000001081044</v>
      </c>
      <c r="BJ369" s="90">
        <v>0.14654640000351005</v>
      </c>
      <c r="BK369" s="91">
        <v>0.94632219021586839</v>
      </c>
      <c r="BL369" s="92">
        <v>207.86498439211618</v>
      </c>
      <c r="BM369" s="95">
        <v>0</v>
      </c>
      <c r="BN369" t="s">
        <v>402</v>
      </c>
      <c r="BO369">
        <v>0.85994999999999999</v>
      </c>
    </row>
    <row r="370" spans="1:67">
      <c r="A370" s="61" t="str">
        <f t="shared" si="6"/>
        <v>UK</v>
      </c>
      <c r="B370" s="62" t="s">
        <v>64</v>
      </c>
      <c r="C370" s="62" t="s">
        <v>176</v>
      </c>
      <c r="D370" s="63" t="s">
        <v>97</v>
      </c>
      <c r="E370" s="64">
        <v>43831</v>
      </c>
      <c r="F370" s="64">
        <v>43921</v>
      </c>
      <c r="G370" s="65">
        <v>43995</v>
      </c>
      <c r="H370" s="66" t="s">
        <v>132</v>
      </c>
      <c r="I370" s="67">
        <v>3</v>
      </c>
      <c r="J370" s="68">
        <v>2020</v>
      </c>
      <c r="K370" s="69">
        <v>1</v>
      </c>
      <c r="L370" s="70">
        <v>3</v>
      </c>
      <c r="M370" s="71" t="s">
        <v>140</v>
      </c>
      <c r="N370" s="71" t="s">
        <v>18</v>
      </c>
      <c r="O370" s="71" t="s">
        <v>114</v>
      </c>
      <c r="P370" s="71" t="s">
        <v>102</v>
      </c>
      <c r="Q370" s="61" t="s">
        <v>74</v>
      </c>
      <c r="R370" s="63" t="s">
        <v>112</v>
      </c>
      <c r="S370" s="72" t="s">
        <v>444</v>
      </c>
      <c r="T370" s="61" t="s">
        <v>888</v>
      </c>
      <c r="U370" s="73" t="s">
        <v>898</v>
      </c>
      <c r="V370" s="62">
        <v>106582</v>
      </c>
      <c r="W370" s="62" t="s">
        <v>495</v>
      </c>
      <c r="X370" s="62" t="s">
        <v>402</v>
      </c>
      <c r="Y370" s="93">
        <v>1</v>
      </c>
      <c r="Z370" s="94">
        <v>1</v>
      </c>
      <c r="AA370" s="74">
        <v>0</v>
      </c>
      <c r="AB370" s="75">
        <v>0</v>
      </c>
      <c r="AC370" s="75">
        <v>0</v>
      </c>
      <c r="AD370" s="76">
        <v>0</v>
      </c>
      <c r="AE370" s="77">
        <v>0.23114754100000001</v>
      </c>
      <c r="AF370" s="75">
        <v>0.23114754100000001</v>
      </c>
      <c r="AG370" s="78">
        <v>8.5117415327635335</v>
      </c>
      <c r="AH370" s="79">
        <v>10.214089839409269</v>
      </c>
      <c r="AI370" s="74">
        <v>3.4727905453805454</v>
      </c>
      <c r="AJ370" s="75">
        <v>0</v>
      </c>
      <c r="AK370" s="75">
        <v>0</v>
      </c>
      <c r="AL370" s="80">
        <v>3.4727905453805454</v>
      </c>
      <c r="AM370" s="74">
        <v>0</v>
      </c>
      <c r="AN370" s="74">
        <v>0</v>
      </c>
      <c r="AO370" s="81" t="s">
        <v>403</v>
      </c>
      <c r="AP370" s="82">
        <v>0</v>
      </c>
      <c r="AQ370" s="75">
        <v>0</v>
      </c>
      <c r="AR370" s="75">
        <v>0</v>
      </c>
      <c r="AS370" s="80">
        <v>0</v>
      </c>
      <c r="AT370" s="74">
        <v>0.25698650037792892</v>
      </c>
      <c r="AU370" s="75">
        <v>0.25620342008256297</v>
      </c>
      <c r="AV370" s="75">
        <v>0.49885614779929066</v>
      </c>
      <c r="AW370" s="75">
        <v>0.23531901110529682</v>
      </c>
      <c r="AX370" s="80">
        <v>1.2473650793650792</v>
      </c>
      <c r="AY370" s="81">
        <v>0</v>
      </c>
      <c r="AZ370" s="83" t="s">
        <v>403</v>
      </c>
      <c r="BA370" s="80" t="s">
        <v>403</v>
      </c>
      <c r="BB370" s="84">
        <v>4.2904420558171994</v>
      </c>
      <c r="BC370" s="85">
        <v>8.6005596497999104</v>
      </c>
      <c r="BD370" s="86">
        <v>0.50406160000304989</v>
      </c>
      <c r="BE370" s="84">
        <v>4.5257610669224961</v>
      </c>
      <c r="BF370" s="87">
        <v>6.1644159599121746</v>
      </c>
      <c r="BG370" s="88">
        <v>0.53170800000233365</v>
      </c>
      <c r="BH370" s="89">
        <v>0</v>
      </c>
      <c r="BI370" s="90">
        <v>0.40800000000153008</v>
      </c>
      <c r="BJ370" s="90">
        <v>0.14654640000095179</v>
      </c>
      <c r="BK370" s="91">
        <v>0.5545464000024819</v>
      </c>
      <c r="BL370" s="92">
        <v>3.7915859080179093</v>
      </c>
      <c r="BM370" s="95">
        <v>0</v>
      </c>
      <c r="BN370" t="s">
        <v>402</v>
      </c>
      <c r="BO370">
        <v>0.85994999999999999</v>
      </c>
    </row>
    <row r="371" spans="1:67">
      <c r="A371" s="61" t="str">
        <f t="shared" si="6"/>
        <v>UK</v>
      </c>
      <c r="B371" s="62" t="s">
        <v>64</v>
      </c>
      <c r="C371" s="62" t="s">
        <v>176</v>
      </c>
      <c r="D371" s="63" t="s">
        <v>97</v>
      </c>
      <c r="E371" s="64">
        <v>43831</v>
      </c>
      <c r="F371" s="64">
        <v>43921</v>
      </c>
      <c r="G371" s="65">
        <v>43995</v>
      </c>
      <c r="H371" s="66" t="s">
        <v>132</v>
      </c>
      <c r="I371" s="67">
        <v>3</v>
      </c>
      <c r="J371" s="68">
        <v>2020</v>
      </c>
      <c r="K371" s="69">
        <v>1</v>
      </c>
      <c r="L371" s="70">
        <v>3</v>
      </c>
      <c r="M371" s="71" t="s">
        <v>140</v>
      </c>
      <c r="N371" s="71" t="s">
        <v>18</v>
      </c>
      <c r="O371" s="71" t="s">
        <v>114</v>
      </c>
      <c r="P371" s="71" t="s">
        <v>102</v>
      </c>
      <c r="Q371" s="61" t="s">
        <v>74</v>
      </c>
      <c r="R371" s="63" t="s">
        <v>112</v>
      </c>
      <c r="S371" s="72" t="s">
        <v>444</v>
      </c>
      <c r="T371" s="61" t="s">
        <v>888</v>
      </c>
      <c r="U371" s="73" t="s">
        <v>899</v>
      </c>
      <c r="V371" s="62">
        <v>107465</v>
      </c>
      <c r="W371" s="62" t="s">
        <v>495</v>
      </c>
      <c r="X371" s="62" t="s">
        <v>402</v>
      </c>
      <c r="Y371" s="93">
        <v>1</v>
      </c>
      <c r="Z371" s="94">
        <v>1</v>
      </c>
      <c r="AA371" s="74">
        <v>5</v>
      </c>
      <c r="AB371" s="75">
        <v>5</v>
      </c>
      <c r="AC371" s="75">
        <v>203.5002035002035</v>
      </c>
      <c r="AD371" s="76">
        <v>244.20024420024421</v>
      </c>
      <c r="AE371" s="77">
        <v>1.1281904333999999</v>
      </c>
      <c r="AF371" s="75">
        <v>1.1281904333999999</v>
      </c>
      <c r="AG371" s="78">
        <v>41.213539394150821</v>
      </c>
      <c r="AH371" s="79">
        <v>49.456247273678706</v>
      </c>
      <c r="AI371" s="74">
        <v>16.815124073492644</v>
      </c>
      <c r="AJ371" s="75">
        <v>0</v>
      </c>
      <c r="AK371" s="75">
        <v>0</v>
      </c>
      <c r="AL371" s="80">
        <v>16.815124073492644</v>
      </c>
      <c r="AM371" s="74">
        <v>0</v>
      </c>
      <c r="AN371" s="74">
        <v>0</v>
      </c>
      <c r="AO371" s="81" t="s">
        <v>403</v>
      </c>
      <c r="AP371" s="82">
        <v>0</v>
      </c>
      <c r="AQ371" s="75">
        <v>0</v>
      </c>
      <c r="AR371" s="75">
        <v>0</v>
      </c>
      <c r="AS371" s="80">
        <v>0</v>
      </c>
      <c r="AT371" s="74">
        <v>1.2443191813477528</v>
      </c>
      <c r="AU371" s="75">
        <v>1.2405275357869643</v>
      </c>
      <c r="AV371" s="75">
        <v>2.4154431168091168</v>
      </c>
      <c r="AW371" s="75">
        <v>1.1394059954648526</v>
      </c>
      <c r="AX371" s="80">
        <v>6.0396958294086867</v>
      </c>
      <c r="AY371" s="81">
        <v>0</v>
      </c>
      <c r="AZ371" s="83" t="s">
        <v>403</v>
      </c>
      <c r="BA371" s="80" t="s">
        <v>403</v>
      </c>
      <c r="BB371" s="84">
        <v>20.77416260805861</v>
      </c>
      <c r="BC371" s="85">
        <v>8.6005596503145938</v>
      </c>
      <c r="BD371" s="86">
        <v>0.50406159998495437</v>
      </c>
      <c r="BE371" s="84">
        <v>21.913568603523462</v>
      </c>
      <c r="BF371" s="87">
        <v>6.1644159601209534</v>
      </c>
      <c r="BG371" s="88">
        <v>0.53170799998394502</v>
      </c>
      <c r="BH371" s="89">
        <v>0</v>
      </c>
      <c r="BI371" s="90">
        <v>0.40800000001647779</v>
      </c>
      <c r="BJ371" s="90">
        <v>0.14654639999848842</v>
      </c>
      <c r="BK371" s="91">
        <v>0.55454640001496625</v>
      </c>
      <c r="BL371" s="92">
        <v>18.358719491249492</v>
      </c>
      <c r="BM371" s="95">
        <v>0</v>
      </c>
      <c r="BN371" t="s">
        <v>402</v>
      </c>
      <c r="BO371">
        <v>0.85994999999999999</v>
      </c>
    </row>
    <row r="372" spans="1:67">
      <c r="A372" s="61" t="str">
        <f t="shared" si="6"/>
        <v>UK</v>
      </c>
      <c r="B372" s="62" t="s">
        <v>64</v>
      </c>
      <c r="C372" s="62" t="s">
        <v>176</v>
      </c>
      <c r="D372" s="63" t="s">
        <v>97</v>
      </c>
      <c r="E372" s="64">
        <v>43831</v>
      </c>
      <c r="F372" s="64">
        <v>43921</v>
      </c>
      <c r="G372" s="65">
        <v>43995</v>
      </c>
      <c r="H372" s="66" t="s">
        <v>132</v>
      </c>
      <c r="I372" s="67">
        <v>3</v>
      </c>
      <c r="J372" s="68">
        <v>2020</v>
      </c>
      <c r="K372" s="69">
        <v>1</v>
      </c>
      <c r="L372" s="70">
        <v>3</v>
      </c>
      <c r="M372" s="71" t="s">
        <v>140</v>
      </c>
      <c r="N372" s="71" t="s">
        <v>18</v>
      </c>
      <c r="O372" s="71" t="s">
        <v>114</v>
      </c>
      <c r="P372" s="71" t="s">
        <v>102</v>
      </c>
      <c r="Q372" s="61" t="s">
        <v>74</v>
      </c>
      <c r="R372" s="63" t="s">
        <v>112</v>
      </c>
      <c r="S372" s="72" t="s">
        <v>444</v>
      </c>
      <c r="T372" s="61" t="s">
        <v>888</v>
      </c>
      <c r="U372" s="73" t="s">
        <v>900</v>
      </c>
      <c r="V372" s="62">
        <v>106583</v>
      </c>
      <c r="W372" s="62" t="s">
        <v>495</v>
      </c>
      <c r="X372" s="62" t="s">
        <v>402</v>
      </c>
      <c r="Y372" s="93">
        <v>1</v>
      </c>
      <c r="Z372" s="94">
        <v>1</v>
      </c>
      <c r="AA372" s="74">
        <v>0</v>
      </c>
      <c r="AB372" s="75">
        <v>0</v>
      </c>
      <c r="AC372" s="75">
        <v>0</v>
      </c>
      <c r="AD372" s="76">
        <v>0</v>
      </c>
      <c r="AE372" s="77">
        <v>0.85328273070000005</v>
      </c>
      <c r="AF372" s="75">
        <v>1.7065654615000001</v>
      </c>
      <c r="AG372" s="78">
        <v>229.53616050933192</v>
      </c>
      <c r="AH372" s="79">
        <v>275.44339260422117</v>
      </c>
      <c r="AI372" s="74">
        <v>93.650753486830624</v>
      </c>
      <c r="AJ372" s="75">
        <v>0</v>
      </c>
      <c r="AK372" s="75">
        <v>0</v>
      </c>
      <c r="AL372" s="80">
        <v>93.650753486830624</v>
      </c>
      <c r="AM372" s="74">
        <v>0</v>
      </c>
      <c r="AN372" s="74">
        <v>0</v>
      </c>
      <c r="AO372" s="81" t="s">
        <v>403</v>
      </c>
      <c r="AP372" s="82">
        <v>0</v>
      </c>
      <c r="AQ372" s="75">
        <v>0</v>
      </c>
      <c r="AR372" s="75">
        <v>0</v>
      </c>
      <c r="AS372" s="80">
        <v>0</v>
      </c>
      <c r="AT372" s="74">
        <v>6.9301557581254727</v>
      </c>
      <c r="AU372" s="75">
        <v>6.9090384313041451</v>
      </c>
      <c r="AV372" s="75">
        <v>13.452655295075294</v>
      </c>
      <c r="AW372" s="75">
        <v>6.3458485078202225</v>
      </c>
      <c r="AX372" s="80">
        <v>33.637697992325137</v>
      </c>
      <c r="AY372" s="81">
        <v>0</v>
      </c>
      <c r="AZ372" s="83" t="s">
        <v>403</v>
      </c>
      <c r="BA372" s="80" t="s">
        <v>403</v>
      </c>
      <c r="BB372" s="84">
        <v>115.70036432525146</v>
      </c>
      <c r="BC372" s="85">
        <v>8.6005596506740698</v>
      </c>
      <c r="BD372" s="86">
        <v>0.50406160000462141</v>
      </c>
      <c r="BE372" s="84">
        <v>122.04621283307168</v>
      </c>
      <c r="BF372" s="87">
        <v>6.1644159603223407</v>
      </c>
      <c r="BG372" s="88">
        <v>0.53170800000425122</v>
      </c>
      <c r="BH372" s="89">
        <v>0</v>
      </c>
      <c r="BI372" s="90">
        <v>0.40799999999574443</v>
      </c>
      <c r="BJ372" s="90">
        <v>0.14654639999939173</v>
      </c>
      <c r="BK372" s="91">
        <v>0.55454639999513611</v>
      </c>
      <c r="BL372" s="92">
        <v>102.24770903017617</v>
      </c>
      <c r="BM372" s="95">
        <v>0</v>
      </c>
      <c r="BN372" t="s">
        <v>402</v>
      </c>
      <c r="BO372">
        <v>0.85994999999999999</v>
      </c>
    </row>
    <row r="373" spans="1:67">
      <c r="A373" s="61" t="str">
        <f t="shared" si="6"/>
        <v>UK</v>
      </c>
      <c r="B373" s="62" t="s">
        <v>64</v>
      </c>
      <c r="C373" s="62" t="s">
        <v>176</v>
      </c>
      <c r="D373" s="63" t="s">
        <v>97</v>
      </c>
      <c r="E373" s="64">
        <v>43831</v>
      </c>
      <c r="F373" s="64">
        <v>43921</v>
      </c>
      <c r="G373" s="65">
        <v>43995</v>
      </c>
      <c r="H373" s="66" t="s">
        <v>132</v>
      </c>
      <c r="I373" s="67">
        <v>3</v>
      </c>
      <c r="J373" s="68">
        <v>2020</v>
      </c>
      <c r="K373" s="69">
        <v>1</v>
      </c>
      <c r="L373" s="70">
        <v>3</v>
      </c>
      <c r="M373" s="71" t="s">
        <v>140</v>
      </c>
      <c r="N373" s="71" t="s">
        <v>18</v>
      </c>
      <c r="O373" s="71" t="s">
        <v>114</v>
      </c>
      <c r="P373" s="71" t="s">
        <v>102</v>
      </c>
      <c r="Q373" s="61" t="s">
        <v>74</v>
      </c>
      <c r="R373" s="63" t="s">
        <v>112</v>
      </c>
      <c r="S373" s="72" t="s">
        <v>444</v>
      </c>
      <c r="T373" s="61" t="s">
        <v>888</v>
      </c>
      <c r="U373" s="73" t="s">
        <v>901</v>
      </c>
      <c r="V373" s="62">
        <v>107466</v>
      </c>
      <c r="W373" s="62" t="s">
        <v>495</v>
      </c>
      <c r="X373" s="62" t="s">
        <v>402</v>
      </c>
      <c r="Y373" s="93">
        <v>1</v>
      </c>
      <c r="Z373" s="94">
        <v>1</v>
      </c>
      <c r="AA373" s="74">
        <v>32</v>
      </c>
      <c r="AB373" s="75">
        <v>64</v>
      </c>
      <c r="AC373" s="75">
        <v>9574.2000503517629</v>
      </c>
      <c r="AD373" s="76">
        <v>11489.040060468633</v>
      </c>
      <c r="AE373" s="77">
        <v>22.530557526999999</v>
      </c>
      <c r="AF373" s="75">
        <v>45.744284452000002</v>
      </c>
      <c r="AG373" s="78">
        <v>6648.3513436827725</v>
      </c>
      <c r="AH373" s="79">
        <v>7978.0216124193266</v>
      </c>
      <c r="AI373" s="74">
        <v>2712.5273482179196</v>
      </c>
      <c r="AJ373" s="75">
        <v>0</v>
      </c>
      <c r="AK373" s="75">
        <v>0</v>
      </c>
      <c r="AL373" s="80">
        <v>2712.5273482179196</v>
      </c>
      <c r="AM373" s="74">
        <v>2</v>
      </c>
      <c r="AN373" s="74">
        <v>1</v>
      </c>
      <c r="AO373" s="81">
        <v>0.5</v>
      </c>
      <c r="AP373" s="82">
        <v>10</v>
      </c>
      <c r="AQ373" s="75">
        <v>95.889294824117684</v>
      </c>
      <c r="AR373" s="75">
        <v>3298.5291080876796</v>
      </c>
      <c r="AS373" s="80">
        <v>3394.4184029117973</v>
      </c>
      <c r="AT373" s="74">
        <v>200.72702376882376</v>
      </c>
      <c r="AU373" s="75">
        <v>200.11537544043259</v>
      </c>
      <c r="AV373" s="75">
        <v>389.64657554508983</v>
      </c>
      <c r="AW373" s="75">
        <v>183.80298059189488</v>
      </c>
      <c r="AX373" s="80">
        <v>974.29195534624102</v>
      </c>
      <c r="AY373" s="81">
        <v>0.21860654549079489</v>
      </c>
      <c r="AZ373" s="83">
        <v>339.44184029117974</v>
      </c>
      <c r="BA373" s="80">
        <v>74.204208101092917</v>
      </c>
      <c r="BB373" s="84">
        <v>-43.239787248095126</v>
      </c>
      <c r="BC373" s="85">
        <v>-0.11097181384849981</v>
      </c>
      <c r="BD373" s="86">
        <v>-6.5038360659415715E-3</v>
      </c>
      <c r="BE373" s="84">
        <v>140.56319334379987</v>
      </c>
      <c r="BF373" s="87">
        <v>0.24511867144984303</v>
      </c>
      <c r="BG373" s="88">
        <v>2.1142563934645579E-2</v>
      </c>
      <c r="BH373" s="89">
        <v>0.51056543606666571</v>
      </c>
      <c r="BI373" s="90">
        <v>0.40799999999930031</v>
      </c>
      <c r="BJ373" s="90">
        <v>0.14654639999915287</v>
      </c>
      <c r="BK373" s="91">
        <v>1.0651118360651188</v>
      </c>
      <c r="BL373" s="92">
        <v>-432.88636279318507</v>
      </c>
      <c r="BM373" s="95">
        <v>0</v>
      </c>
      <c r="BN373" t="s">
        <v>402</v>
      </c>
      <c r="BO373">
        <v>0.85994999999999999</v>
      </c>
    </row>
    <row r="374" spans="1:67">
      <c r="A374" s="61" t="str">
        <f t="shared" si="6"/>
        <v>UK</v>
      </c>
      <c r="B374" s="62" t="s">
        <v>64</v>
      </c>
      <c r="C374" s="62" t="s">
        <v>176</v>
      </c>
      <c r="D374" s="63" t="s">
        <v>97</v>
      </c>
      <c r="E374" s="64">
        <v>43831</v>
      </c>
      <c r="F374" s="64">
        <v>43921</v>
      </c>
      <c r="G374" s="65">
        <v>43995</v>
      </c>
      <c r="H374" s="66" t="s">
        <v>132</v>
      </c>
      <c r="I374" s="67">
        <v>3</v>
      </c>
      <c r="J374" s="68">
        <v>2020</v>
      </c>
      <c r="K374" s="69">
        <v>1</v>
      </c>
      <c r="L374" s="70">
        <v>3</v>
      </c>
      <c r="M374" s="71" t="s">
        <v>140</v>
      </c>
      <c r="N374" s="71" t="s">
        <v>18</v>
      </c>
      <c r="O374" s="71" t="s">
        <v>114</v>
      </c>
      <c r="P374" s="71" t="s">
        <v>102</v>
      </c>
      <c r="Q374" s="61" t="s">
        <v>74</v>
      </c>
      <c r="R374" s="63" t="s">
        <v>112</v>
      </c>
      <c r="S374" s="72" t="s">
        <v>444</v>
      </c>
      <c r="T374" s="61" t="s">
        <v>888</v>
      </c>
      <c r="U374" s="73" t="s">
        <v>902</v>
      </c>
      <c r="V374" s="62">
        <v>107467</v>
      </c>
      <c r="W374" s="62" t="s">
        <v>495</v>
      </c>
      <c r="X374" s="62" t="s">
        <v>402</v>
      </c>
      <c r="Y374" s="93">
        <v>1</v>
      </c>
      <c r="Z374" s="94">
        <v>1</v>
      </c>
      <c r="AA374" s="74">
        <v>13</v>
      </c>
      <c r="AB374" s="75">
        <v>52</v>
      </c>
      <c r="AC374" s="75">
        <v>4457.6817049828478</v>
      </c>
      <c r="AD374" s="76">
        <v>5349.2180459329029</v>
      </c>
      <c r="AE374" s="77">
        <v>8.8044855153999997</v>
      </c>
      <c r="AF374" s="75">
        <v>33.129741148000001</v>
      </c>
      <c r="AG374" s="78">
        <v>2808.8523160648874</v>
      </c>
      <c r="AH374" s="79">
        <v>3370.6227792313507</v>
      </c>
      <c r="AI374" s="74">
        <v>1146.0117449502879</v>
      </c>
      <c r="AJ374" s="75">
        <v>0</v>
      </c>
      <c r="AK374" s="75">
        <v>0</v>
      </c>
      <c r="AL374" s="80">
        <v>1146.0117449502879</v>
      </c>
      <c r="AM374" s="74">
        <v>0</v>
      </c>
      <c r="AN374" s="74">
        <v>0</v>
      </c>
      <c r="AO374" s="81" t="s">
        <v>403</v>
      </c>
      <c r="AP374" s="82">
        <v>3</v>
      </c>
      <c r="AQ374" s="75">
        <v>0</v>
      </c>
      <c r="AR374" s="75">
        <v>0</v>
      </c>
      <c r="AS374" s="80">
        <v>0</v>
      </c>
      <c r="AT374" s="74">
        <v>84.804869126111981</v>
      </c>
      <c r="AU374" s="75">
        <v>84.546454713646156</v>
      </c>
      <c r="AV374" s="75">
        <v>164.62121653584512</v>
      </c>
      <c r="AW374" s="75">
        <v>77.654654670620388</v>
      </c>
      <c r="AX374" s="80">
        <v>411.62719504622368</v>
      </c>
      <c r="AY374" s="81">
        <v>9.0553076964837859E-2</v>
      </c>
      <c r="AZ374" s="83">
        <v>0</v>
      </c>
      <c r="BA374" s="80">
        <v>0</v>
      </c>
      <c r="BB374" s="84">
        <v>1415.8345926042209</v>
      </c>
      <c r="BC374" s="85">
        <v>8.6005596508025608</v>
      </c>
      <c r="BD374" s="86">
        <v>0.50406160000172595</v>
      </c>
      <c r="BE374" s="84">
        <v>1493.4892472748413</v>
      </c>
      <c r="BF374" s="87">
        <v>6.1644159603582729</v>
      </c>
      <c r="BG374" s="88">
        <v>0.53170800000164198</v>
      </c>
      <c r="BH374" s="89">
        <v>0</v>
      </c>
      <c r="BI374" s="90">
        <v>0.40799999999850967</v>
      </c>
      <c r="BJ374" s="90">
        <v>0.14654639999830973</v>
      </c>
      <c r="BK374" s="91">
        <v>0.55454639999681943</v>
      </c>
      <c r="BL374" s="92">
        <v>1251.2133760683757</v>
      </c>
      <c r="BM374" s="95">
        <v>0</v>
      </c>
      <c r="BN374" t="s">
        <v>402</v>
      </c>
      <c r="BO374">
        <v>0.85994999999999999</v>
      </c>
    </row>
    <row r="375" spans="1:67">
      <c r="A375" s="61" t="str">
        <f t="shared" si="6"/>
        <v>UK</v>
      </c>
      <c r="B375" s="62" t="s">
        <v>64</v>
      </c>
      <c r="C375" s="62" t="s">
        <v>176</v>
      </c>
      <c r="D375" s="63" t="s">
        <v>97</v>
      </c>
      <c r="E375" s="64">
        <v>43831</v>
      </c>
      <c r="F375" s="64">
        <v>43921</v>
      </c>
      <c r="G375" s="65">
        <v>43995</v>
      </c>
      <c r="H375" s="66" t="s">
        <v>132</v>
      </c>
      <c r="I375" s="67">
        <v>3</v>
      </c>
      <c r="J375" s="68">
        <v>2020</v>
      </c>
      <c r="K375" s="69">
        <v>1</v>
      </c>
      <c r="L375" s="70">
        <v>3</v>
      </c>
      <c r="M375" s="71" t="s">
        <v>140</v>
      </c>
      <c r="N375" s="71" t="s">
        <v>18</v>
      </c>
      <c r="O375" s="71" t="s">
        <v>114</v>
      </c>
      <c r="P375" s="71" t="s">
        <v>102</v>
      </c>
      <c r="Q375" s="61" t="s">
        <v>74</v>
      </c>
      <c r="R375" s="63" t="s">
        <v>112</v>
      </c>
      <c r="S375" s="72" t="s">
        <v>444</v>
      </c>
      <c r="T375" s="61" t="s">
        <v>888</v>
      </c>
      <c r="U375" s="73" t="s">
        <v>903</v>
      </c>
      <c r="V375" s="62">
        <v>106585</v>
      </c>
      <c r="W375" s="62" t="s">
        <v>495</v>
      </c>
      <c r="X375" s="62" t="s">
        <v>402</v>
      </c>
      <c r="Y375" s="93">
        <v>1</v>
      </c>
      <c r="Z375" s="94">
        <v>1</v>
      </c>
      <c r="AA375" s="74">
        <v>0</v>
      </c>
      <c r="AB375" s="75">
        <v>0</v>
      </c>
      <c r="AC375" s="75">
        <v>0</v>
      </c>
      <c r="AD375" s="76">
        <v>0</v>
      </c>
      <c r="AE375" s="77">
        <v>0.54791466430000002</v>
      </c>
      <c r="AF375" s="75">
        <v>0.54791466430000002</v>
      </c>
      <c r="AG375" s="78">
        <v>99.538322446653865</v>
      </c>
      <c r="AH375" s="79">
        <v>119.44598694110122</v>
      </c>
      <c r="AI375" s="74">
        <v>40.611635557881279</v>
      </c>
      <c r="AJ375" s="75">
        <v>0</v>
      </c>
      <c r="AK375" s="75">
        <v>0</v>
      </c>
      <c r="AL375" s="80">
        <v>40.611635557881279</v>
      </c>
      <c r="AM375" s="74">
        <v>0</v>
      </c>
      <c r="AN375" s="74">
        <v>0</v>
      </c>
      <c r="AO375" s="81" t="s">
        <v>403</v>
      </c>
      <c r="AP375" s="82">
        <v>0</v>
      </c>
      <c r="AQ375" s="75">
        <v>0</v>
      </c>
      <c r="AR375" s="75">
        <v>0</v>
      </c>
      <c r="AS375" s="80">
        <v>0</v>
      </c>
      <c r="AT375" s="74">
        <v>3.0052610313390313</v>
      </c>
      <c r="AU375" s="75">
        <v>2.9961035056689345</v>
      </c>
      <c r="AV375" s="75">
        <v>5.8337420019768587</v>
      </c>
      <c r="AW375" s="75">
        <v>2.7518762776905636</v>
      </c>
      <c r="AX375" s="80">
        <v>14.586982816675388</v>
      </c>
      <c r="AY375" s="81">
        <v>0</v>
      </c>
      <c r="AZ375" s="83" t="s">
        <v>403</v>
      </c>
      <c r="BA375" s="80" t="s">
        <v>403</v>
      </c>
      <c r="BB375" s="84">
        <v>50.173446074074057</v>
      </c>
      <c r="BC375" s="85">
        <v>8.6005596505762458</v>
      </c>
      <c r="BD375" s="86">
        <v>0.50406160000299172</v>
      </c>
      <c r="BE375" s="84">
        <v>52.925322351764621</v>
      </c>
      <c r="BF375" s="87">
        <v>6.1644159602463446</v>
      </c>
      <c r="BG375" s="88">
        <v>0.53170800000300578</v>
      </c>
      <c r="BH375" s="89">
        <v>0</v>
      </c>
      <c r="BI375" s="90">
        <v>0.40799999999644865</v>
      </c>
      <c r="BJ375" s="90">
        <v>0.14654640000079439</v>
      </c>
      <c r="BK375" s="91">
        <v>0.55454639999724309</v>
      </c>
      <c r="BL375" s="92">
        <v>44.339704072097199</v>
      </c>
      <c r="BM375" s="95">
        <v>0</v>
      </c>
      <c r="BN375" t="s">
        <v>402</v>
      </c>
      <c r="BO375">
        <v>0.85994999999999999</v>
      </c>
    </row>
    <row r="376" spans="1:67">
      <c r="A376" s="61" t="str">
        <f t="shared" si="6"/>
        <v>UK</v>
      </c>
      <c r="B376" s="62" t="s">
        <v>64</v>
      </c>
      <c r="C376" s="62" t="s">
        <v>176</v>
      </c>
      <c r="D376" s="63" t="s">
        <v>97</v>
      </c>
      <c r="E376" s="64">
        <v>43831</v>
      </c>
      <c r="F376" s="64">
        <v>43921</v>
      </c>
      <c r="G376" s="65">
        <v>43995</v>
      </c>
      <c r="H376" s="66" t="s">
        <v>132</v>
      </c>
      <c r="I376" s="67">
        <v>3</v>
      </c>
      <c r="J376" s="68">
        <v>2020</v>
      </c>
      <c r="K376" s="69">
        <v>1</v>
      </c>
      <c r="L376" s="70">
        <v>3</v>
      </c>
      <c r="M376" s="71" t="s">
        <v>140</v>
      </c>
      <c r="N376" s="71" t="s">
        <v>18</v>
      </c>
      <c r="O376" s="71" t="s">
        <v>114</v>
      </c>
      <c r="P376" s="71" t="s">
        <v>102</v>
      </c>
      <c r="Q376" s="61" t="s">
        <v>74</v>
      </c>
      <c r="R376" s="63" t="s">
        <v>112</v>
      </c>
      <c r="S376" s="72" t="s">
        <v>444</v>
      </c>
      <c r="T376" s="61" t="s">
        <v>888</v>
      </c>
      <c r="U376" s="73" t="s">
        <v>904</v>
      </c>
      <c r="V376" s="62">
        <v>107468</v>
      </c>
      <c r="W376" s="62" t="s">
        <v>495</v>
      </c>
      <c r="X376" s="62" t="s">
        <v>402</v>
      </c>
      <c r="Y376" s="93">
        <v>1</v>
      </c>
      <c r="Z376" s="94">
        <v>1</v>
      </c>
      <c r="AA376" s="74">
        <v>59</v>
      </c>
      <c r="AB376" s="75">
        <v>63</v>
      </c>
      <c r="AC376" s="75">
        <v>12236.176521890808</v>
      </c>
      <c r="AD376" s="76">
        <v>14683.41182626897</v>
      </c>
      <c r="AE376" s="77">
        <v>46.466434100000001</v>
      </c>
      <c r="AF376" s="75">
        <v>49.984136921999998</v>
      </c>
      <c r="AG376" s="78">
        <v>9547.3822916448626</v>
      </c>
      <c r="AH376" s="79">
        <v>11456.858749927322</v>
      </c>
      <c r="AI376" s="74">
        <v>3895.3319749985467</v>
      </c>
      <c r="AJ376" s="75">
        <v>0</v>
      </c>
      <c r="AK376" s="75">
        <v>0</v>
      </c>
      <c r="AL376" s="80">
        <v>3895.3319749985467</v>
      </c>
      <c r="AM376" s="74">
        <v>1</v>
      </c>
      <c r="AN376" s="74">
        <v>1</v>
      </c>
      <c r="AO376" s="81">
        <v>1</v>
      </c>
      <c r="AP376" s="82">
        <v>5</v>
      </c>
      <c r="AQ376" s="75">
        <v>0</v>
      </c>
      <c r="AR376" s="75">
        <v>2325.716611430897</v>
      </c>
      <c r="AS376" s="80">
        <v>2325.716611430897</v>
      </c>
      <c r="AT376" s="74">
        <v>288.25456614919472</v>
      </c>
      <c r="AU376" s="75">
        <v>287.37620697714982</v>
      </c>
      <c r="AV376" s="75">
        <v>559.55298134775273</v>
      </c>
      <c r="AW376" s="75">
        <v>263.95074978777836</v>
      </c>
      <c r="AX376" s="80">
        <v>1399.1345042618759</v>
      </c>
      <c r="AY376" s="81">
        <v>0.10003173622468416</v>
      </c>
      <c r="AZ376" s="83">
        <v>465.1433222861794</v>
      </c>
      <c r="BA376" s="80">
        <v>46.529094121604352</v>
      </c>
      <c r="BB376" s="84">
        <v>2486.7521823012949</v>
      </c>
      <c r="BC376" s="85">
        <v>4.4441764501221028</v>
      </c>
      <c r="BD376" s="86">
        <v>0.26046429338830496</v>
      </c>
      <c r="BE376" s="84">
        <v>2750.7029320890733</v>
      </c>
      <c r="BF376" s="87">
        <v>3.3402434355654016</v>
      </c>
      <c r="BG376" s="88">
        <v>0.28811069338830997</v>
      </c>
      <c r="BH376" s="89">
        <v>0.24359730661106826</v>
      </c>
      <c r="BI376" s="90">
        <v>0.40800000000077957</v>
      </c>
      <c r="BJ376" s="90">
        <v>0.14654639999974561</v>
      </c>
      <c r="BK376" s="91">
        <v>0.79814370661159351</v>
      </c>
      <c r="BL376" s="92">
        <v>1927.1992009535425</v>
      </c>
      <c r="BM376" s="95">
        <v>0</v>
      </c>
      <c r="BN376" t="s">
        <v>402</v>
      </c>
      <c r="BO376">
        <v>0.85994999999999999</v>
      </c>
    </row>
    <row r="377" spans="1:67">
      <c r="A377" s="61" t="str">
        <f t="shared" si="6"/>
        <v>UK</v>
      </c>
      <c r="B377" s="62" t="s">
        <v>64</v>
      </c>
      <c r="C377" s="62" t="s">
        <v>176</v>
      </c>
      <c r="D377" s="63" t="s">
        <v>97</v>
      </c>
      <c r="E377" s="64">
        <v>43831</v>
      </c>
      <c r="F377" s="64">
        <v>43921</v>
      </c>
      <c r="G377" s="65">
        <v>43995</v>
      </c>
      <c r="H377" s="66" t="s">
        <v>132</v>
      </c>
      <c r="I377" s="67">
        <v>3</v>
      </c>
      <c r="J377" s="68">
        <v>2020</v>
      </c>
      <c r="K377" s="69">
        <v>1</v>
      </c>
      <c r="L377" s="70">
        <v>3</v>
      </c>
      <c r="M377" s="71" t="s">
        <v>140</v>
      </c>
      <c r="N377" s="71" t="s">
        <v>18</v>
      </c>
      <c r="O377" s="71" t="s">
        <v>114</v>
      </c>
      <c r="P377" s="71" t="s">
        <v>102</v>
      </c>
      <c r="Q377" s="61" t="s">
        <v>74</v>
      </c>
      <c r="R377" s="63" t="s">
        <v>106</v>
      </c>
      <c r="S377" s="72" t="s">
        <v>444</v>
      </c>
      <c r="T377" s="61" t="s">
        <v>905</v>
      </c>
      <c r="U377" s="73" t="s">
        <v>906</v>
      </c>
      <c r="V377" s="62">
        <v>107469</v>
      </c>
      <c r="W377" s="62" t="s">
        <v>495</v>
      </c>
      <c r="X377" s="62" t="s">
        <v>402</v>
      </c>
      <c r="Y377" s="93">
        <v>1</v>
      </c>
      <c r="Z377" s="94">
        <v>1</v>
      </c>
      <c r="AA377" s="74">
        <v>6</v>
      </c>
      <c r="AB377" s="75">
        <v>8</v>
      </c>
      <c r="AC377" s="75">
        <v>123.55369498226641</v>
      </c>
      <c r="AD377" s="76">
        <v>148.26443397871969</v>
      </c>
      <c r="AE377" s="77">
        <v>7.4444999999999997</v>
      </c>
      <c r="AF377" s="75">
        <v>8.5045000000000002</v>
      </c>
      <c r="AG377" s="78">
        <v>135.73608930751786</v>
      </c>
      <c r="AH377" s="79">
        <v>162.88330716902144</v>
      </c>
      <c r="AI377" s="74">
        <v>59.452407116692832</v>
      </c>
      <c r="AJ377" s="75">
        <v>0</v>
      </c>
      <c r="AK377" s="75">
        <v>0</v>
      </c>
      <c r="AL377" s="80">
        <v>59.452407116692832</v>
      </c>
      <c r="AM377" s="74">
        <v>0</v>
      </c>
      <c r="AN377" s="74">
        <v>0</v>
      </c>
      <c r="AO377" s="81" t="s">
        <v>403</v>
      </c>
      <c r="AP377" s="82">
        <v>0</v>
      </c>
      <c r="AQ377" s="75">
        <v>0</v>
      </c>
      <c r="AR377" s="75">
        <v>0</v>
      </c>
      <c r="AS377" s="80">
        <v>0</v>
      </c>
      <c r="AT377" s="74">
        <v>3.8904677917320778</v>
      </c>
      <c r="AU377" s="75">
        <v>4.0856562881562883</v>
      </c>
      <c r="AV377" s="75">
        <v>7.5520845368916802</v>
      </c>
      <c r="AW377" s="75">
        <v>3.5624479583696727</v>
      </c>
      <c r="AX377" s="80">
        <v>19.090656575149719</v>
      </c>
      <c r="AY377" s="81">
        <v>0</v>
      </c>
      <c r="AZ377" s="83" t="s">
        <v>403</v>
      </c>
      <c r="BA377" s="80" t="s">
        <v>403</v>
      </c>
      <c r="BB377" s="84">
        <v>64.74511015256698</v>
      </c>
      <c r="BC377" s="85">
        <v>8.5731442539194678</v>
      </c>
      <c r="BD377" s="86">
        <v>0.4769925999995715</v>
      </c>
      <c r="BE377" s="84">
        <v>68.307558110936654</v>
      </c>
      <c r="BF377" s="87">
        <v>6.1457877908998313</v>
      </c>
      <c r="BG377" s="88">
        <v>0.50323799999999985</v>
      </c>
      <c r="BH377" s="89">
        <v>0</v>
      </c>
      <c r="BI377" s="90">
        <v>0.43800000000000006</v>
      </c>
      <c r="BJ377" s="90">
        <v>0.14064540000042838</v>
      </c>
      <c r="BK377" s="91">
        <v>0.57864540000042841</v>
      </c>
      <c r="BL377" s="92">
        <v>57.19302561567531</v>
      </c>
      <c r="BM377" s="95">
        <v>0</v>
      </c>
      <c r="BN377" t="s">
        <v>402</v>
      </c>
      <c r="BO377">
        <v>0.85994999999999999</v>
      </c>
    </row>
    <row r="378" spans="1:67">
      <c r="A378" s="61" t="str">
        <f t="shared" si="6"/>
        <v>UK</v>
      </c>
      <c r="B378" s="62" t="s">
        <v>64</v>
      </c>
      <c r="C378" s="62" t="s">
        <v>176</v>
      </c>
      <c r="D378" s="63" t="s">
        <v>97</v>
      </c>
      <c r="E378" s="64">
        <v>43831</v>
      </c>
      <c r="F378" s="64">
        <v>43921</v>
      </c>
      <c r="G378" s="65">
        <v>43995</v>
      </c>
      <c r="H378" s="66" t="s">
        <v>132</v>
      </c>
      <c r="I378" s="67">
        <v>3</v>
      </c>
      <c r="J378" s="68">
        <v>2020</v>
      </c>
      <c r="K378" s="69">
        <v>1</v>
      </c>
      <c r="L378" s="70">
        <v>3</v>
      </c>
      <c r="M378" s="71" t="s">
        <v>140</v>
      </c>
      <c r="N378" s="71" t="s">
        <v>18</v>
      </c>
      <c r="O378" s="71" t="s">
        <v>114</v>
      </c>
      <c r="P378" s="71" t="s">
        <v>102</v>
      </c>
      <c r="Q378" s="61" t="s">
        <v>74</v>
      </c>
      <c r="R378" s="63" t="s">
        <v>106</v>
      </c>
      <c r="S378" s="72" t="s">
        <v>444</v>
      </c>
      <c r="T378" s="61" t="s">
        <v>905</v>
      </c>
      <c r="U378" s="73" t="s">
        <v>907</v>
      </c>
      <c r="V378" s="62">
        <v>107470</v>
      </c>
      <c r="W378" s="62" t="s">
        <v>495</v>
      </c>
      <c r="X378" s="62" t="s">
        <v>402</v>
      </c>
      <c r="Y378" s="93">
        <v>1</v>
      </c>
      <c r="Z378" s="94">
        <v>1</v>
      </c>
      <c r="AA378" s="74">
        <v>12</v>
      </c>
      <c r="AB378" s="75">
        <v>14</v>
      </c>
      <c r="AC378" s="75">
        <v>340.13605442176873</v>
      </c>
      <c r="AD378" s="76">
        <v>408.16326530612247</v>
      </c>
      <c r="AE378" s="77">
        <v>19.683158498000001</v>
      </c>
      <c r="AF378" s="75">
        <v>21.875624208000001</v>
      </c>
      <c r="AG378" s="78">
        <v>535.28997973137973</v>
      </c>
      <c r="AH378" s="79">
        <v>642.34797567300427</v>
      </c>
      <c r="AI378" s="74">
        <v>234.4570111169254</v>
      </c>
      <c r="AJ378" s="75">
        <v>0</v>
      </c>
      <c r="AK378" s="75">
        <v>0</v>
      </c>
      <c r="AL378" s="80">
        <v>234.4570111169254</v>
      </c>
      <c r="AM378" s="74">
        <v>0</v>
      </c>
      <c r="AN378" s="74">
        <v>0</v>
      </c>
      <c r="AO378" s="81" t="s">
        <v>403</v>
      </c>
      <c r="AP378" s="82">
        <v>0</v>
      </c>
      <c r="AQ378" s="75">
        <v>0</v>
      </c>
      <c r="AR378" s="75">
        <v>0</v>
      </c>
      <c r="AS378" s="80">
        <v>0</v>
      </c>
      <c r="AT378" s="74">
        <v>15.342481398918542</v>
      </c>
      <c r="AU378" s="75">
        <v>16.112228390022675</v>
      </c>
      <c r="AV378" s="75">
        <v>29.782463892086746</v>
      </c>
      <c r="AW378" s="75">
        <v>14.048899633699634</v>
      </c>
      <c r="AX378" s="80">
        <v>75.286073314727588</v>
      </c>
      <c r="AY378" s="81">
        <v>0</v>
      </c>
      <c r="AZ378" s="83" t="s">
        <v>403</v>
      </c>
      <c r="BA378" s="80" t="s">
        <v>403</v>
      </c>
      <c r="BB378" s="84">
        <v>255.32935919181347</v>
      </c>
      <c r="BC378" s="85">
        <v>8.5731442541815674</v>
      </c>
      <c r="BD378" s="86">
        <v>0.47699260001082655</v>
      </c>
      <c r="BE378" s="84">
        <v>269.37825882551311</v>
      </c>
      <c r="BF378" s="87">
        <v>6.1457877911335226</v>
      </c>
      <c r="BG378" s="88">
        <v>0.50323800001018704</v>
      </c>
      <c r="BH378" s="89">
        <v>0</v>
      </c>
      <c r="BI378" s="90">
        <v>0.43799999998987665</v>
      </c>
      <c r="BJ378" s="90">
        <v>0.14064539999890863</v>
      </c>
      <c r="BK378" s="91">
        <v>0.57864539998878528</v>
      </c>
      <c r="BL378" s="92">
        <v>225.54689529972677</v>
      </c>
      <c r="BM378" s="95">
        <v>0</v>
      </c>
      <c r="BN378" t="s">
        <v>402</v>
      </c>
      <c r="BO378">
        <v>0.85994999999999999</v>
      </c>
    </row>
    <row r="379" spans="1:67">
      <c r="A379" s="61" t="str">
        <f t="shared" si="6"/>
        <v>UK</v>
      </c>
      <c r="B379" s="62" t="s">
        <v>64</v>
      </c>
      <c r="C379" s="62" t="s">
        <v>176</v>
      </c>
      <c r="D379" s="63" t="s">
        <v>97</v>
      </c>
      <c r="E379" s="64">
        <v>43831</v>
      </c>
      <c r="F379" s="64">
        <v>43921</v>
      </c>
      <c r="G379" s="65">
        <v>43995</v>
      </c>
      <c r="H379" s="66" t="s">
        <v>132</v>
      </c>
      <c r="I379" s="67">
        <v>3</v>
      </c>
      <c r="J379" s="68">
        <v>2020</v>
      </c>
      <c r="K379" s="69">
        <v>1</v>
      </c>
      <c r="L379" s="70">
        <v>3</v>
      </c>
      <c r="M379" s="71" t="s">
        <v>140</v>
      </c>
      <c r="N379" s="71" t="s">
        <v>18</v>
      </c>
      <c r="O379" s="71" t="s">
        <v>114</v>
      </c>
      <c r="P379" s="71" t="s">
        <v>102</v>
      </c>
      <c r="Q379" s="61" t="s">
        <v>74</v>
      </c>
      <c r="R379" s="63" t="s">
        <v>106</v>
      </c>
      <c r="S379" s="72" t="s">
        <v>444</v>
      </c>
      <c r="T379" s="61" t="s">
        <v>908</v>
      </c>
      <c r="U379" s="73" t="s">
        <v>909</v>
      </c>
      <c r="V379" s="62">
        <v>107471</v>
      </c>
      <c r="W379" s="62" t="s">
        <v>495</v>
      </c>
      <c r="X379" s="62" t="s">
        <v>402</v>
      </c>
      <c r="Y379" s="93">
        <v>1</v>
      </c>
      <c r="Z379" s="94">
        <v>1</v>
      </c>
      <c r="AA379" s="74">
        <v>7</v>
      </c>
      <c r="AB379" s="75">
        <v>9</v>
      </c>
      <c r="AC379" s="75">
        <v>453.51473922902494</v>
      </c>
      <c r="AD379" s="76">
        <v>544.21768707482988</v>
      </c>
      <c r="AE379" s="77">
        <v>7.3200855615</v>
      </c>
      <c r="AF379" s="75">
        <v>8.4309946524000008</v>
      </c>
      <c r="AG379" s="78">
        <v>496.08028655154368</v>
      </c>
      <c r="AH379" s="79">
        <v>595.29634386882958</v>
      </c>
      <c r="AI379" s="74">
        <v>119.0592687714402</v>
      </c>
      <c r="AJ379" s="75">
        <v>0</v>
      </c>
      <c r="AK379" s="75">
        <v>0</v>
      </c>
      <c r="AL379" s="80">
        <v>119.0592687714402</v>
      </c>
      <c r="AM379" s="74">
        <v>0</v>
      </c>
      <c r="AN379" s="74">
        <v>0</v>
      </c>
      <c r="AO379" s="81" t="s">
        <v>403</v>
      </c>
      <c r="AP379" s="82">
        <v>0</v>
      </c>
      <c r="AQ379" s="75">
        <v>0</v>
      </c>
      <c r="AR379" s="75">
        <v>0</v>
      </c>
      <c r="AS379" s="80">
        <v>0</v>
      </c>
      <c r="AT379" s="74">
        <v>19.228071906506194</v>
      </c>
      <c r="AU379" s="75">
        <v>14.932016625385197</v>
      </c>
      <c r="AV379" s="75">
        <v>37.32508076050933</v>
      </c>
      <c r="AW379" s="75">
        <v>17.60688153032153</v>
      </c>
      <c r="AX379" s="80">
        <v>89.092050822722243</v>
      </c>
      <c r="AY379" s="81">
        <v>0</v>
      </c>
      <c r="AZ379" s="83" t="s">
        <v>403</v>
      </c>
      <c r="BA379" s="80" t="s">
        <v>403</v>
      </c>
      <c r="BB379" s="84">
        <v>325.25404771789056</v>
      </c>
      <c r="BC379" s="85">
        <v>8.7140882508689899</v>
      </c>
      <c r="BD379" s="86">
        <v>0.65564800000190304</v>
      </c>
      <c r="BE379" s="84">
        <v>342.86092924821207</v>
      </c>
      <c r="BF379" s="87">
        <v>6.2415561896910745</v>
      </c>
      <c r="BG379" s="88">
        <v>0.69114000000197184</v>
      </c>
      <c r="BH379" s="89">
        <v>0</v>
      </c>
      <c r="BI379" s="90">
        <v>0.23999999999812474</v>
      </c>
      <c r="BJ379" s="90">
        <v>0.17959200000072048</v>
      </c>
      <c r="BK379" s="91">
        <v>0.41959199999884522</v>
      </c>
      <c r="BL379" s="92">
        <v>287.92896695738125</v>
      </c>
      <c r="BM379" s="95">
        <v>0</v>
      </c>
      <c r="BN379" t="s">
        <v>402</v>
      </c>
      <c r="BO379">
        <v>0.85994999999999999</v>
      </c>
    </row>
    <row r="380" spans="1:67">
      <c r="A380" s="61" t="str">
        <f t="shared" si="6"/>
        <v>UK</v>
      </c>
      <c r="B380" s="62" t="s">
        <v>64</v>
      </c>
      <c r="C380" s="62" t="s">
        <v>176</v>
      </c>
      <c r="D380" s="63" t="s">
        <v>97</v>
      </c>
      <c r="E380" s="64">
        <v>43831</v>
      </c>
      <c r="F380" s="64">
        <v>43921</v>
      </c>
      <c r="G380" s="65">
        <v>43995</v>
      </c>
      <c r="H380" s="66" t="s">
        <v>132</v>
      </c>
      <c r="I380" s="67">
        <v>3</v>
      </c>
      <c r="J380" s="68">
        <v>2020</v>
      </c>
      <c r="K380" s="69">
        <v>1</v>
      </c>
      <c r="L380" s="70">
        <v>3</v>
      </c>
      <c r="M380" s="71" t="s">
        <v>140</v>
      </c>
      <c r="N380" s="71" t="s">
        <v>18</v>
      </c>
      <c r="O380" s="71" t="s">
        <v>114</v>
      </c>
      <c r="P380" s="71" t="s">
        <v>102</v>
      </c>
      <c r="Q380" s="61" t="s">
        <v>74</v>
      </c>
      <c r="R380" s="63" t="s">
        <v>106</v>
      </c>
      <c r="S380" s="72" t="s">
        <v>444</v>
      </c>
      <c r="T380" s="61" t="s">
        <v>908</v>
      </c>
      <c r="U380" s="73" t="s">
        <v>910</v>
      </c>
      <c r="V380" s="62">
        <v>107472</v>
      </c>
      <c r="W380" s="62" t="s">
        <v>495</v>
      </c>
      <c r="X380" s="62" t="s">
        <v>402</v>
      </c>
      <c r="Y380" s="93">
        <v>1</v>
      </c>
      <c r="Z380" s="94">
        <v>1</v>
      </c>
      <c r="AA380" s="74">
        <v>2</v>
      </c>
      <c r="AB380" s="75">
        <v>2</v>
      </c>
      <c r="AC380" s="75">
        <v>572.32010204081632</v>
      </c>
      <c r="AD380" s="76">
        <v>686.78412244897959</v>
      </c>
      <c r="AE380" s="77">
        <v>6.3254703879000003</v>
      </c>
      <c r="AF380" s="75">
        <v>6.3254703879000003</v>
      </c>
      <c r="AG380" s="78">
        <v>3275.093077620792</v>
      </c>
      <c r="AH380" s="79">
        <v>3930.1116932379787</v>
      </c>
      <c r="AI380" s="74">
        <v>786.02233863596723</v>
      </c>
      <c r="AJ380" s="75">
        <v>0</v>
      </c>
      <c r="AK380" s="75">
        <v>0</v>
      </c>
      <c r="AL380" s="80">
        <v>786.02233863596723</v>
      </c>
      <c r="AM380" s="74">
        <v>0</v>
      </c>
      <c r="AN380" s="74">
        <v>0</v>
      </c>
      <c r="AO380" s="81" t="s">
        <v>403</v>
      </c>
      <c r="AP380" s="82">
        <v>4</v>
      </c>
      <c r="AQ380" s="75">
        <v>0</v>
      </c>
      <c r="AR380" s="75">
        <v>0</v>
      </c>
      <c r="AS380" s="80">
        <v>0</v>
      </c>
      <c r="AT380" s="74">
        <v>126.9426076864934</v>
      </c>
      <c r="AU380" s="75">
        <v>98.580301637304487</v>
      </c>
      <c r="AV380" s="75">
        <v>246.4180031629746</v>
      </c>
      <c r="AW380" s="75">
        <v>116.23960351183209</v>
      </c>
      <c r="AX380" s="80">
        <v>588.18051599860462</v>
      </c>
      <c r="AY380" s="81">
        <v>0.63236403851508094</v>
      </c>
      <c r="AZ380" s="83">
        <v>0</v>
      </c>
      <c r="BA380" s="80">
        <v>0</v>
      </c>
      <c r="BB380" s="84">
        <v>2147.3082261491945</v>
      </c>
      <c r="BC380" s="85">
        <v>8.7140882508045472</v>
      </c>
      <c r="BD380" s="86">
        <v>0.65564799999794743</v>
      </c>
      <c r="BE380" s="84">
        <v>2263.5478296610268</v>
      </c>
      <c r="BF380" s="87">
        <v>6.2415561896396099</v>
      </c>
      <c r="BG380" s="88">
        <v>0.69113999999822684</v>
      </c>
      <c r="BH380" s="89">
        <v>0</v>
      </c>
      <c r="BI380" s="90">
        <v>0.24000000000213037</v>
      </c>
      <c r="BJ380" s="90">
        <v>0.17959200000077291</v>
      </c>
      <c r="BK380" s="91">
        <v>0.41959200000290331</v>
      </c>
      <c r="BL380" s="92">
        <v>1900.8902229862201</v>
      </c>
      <c r="BM380" s="95">
        <v>0</v>
      </c>
      <c r="BN380" t="s">
        <v>402</v>
      </c>
      <c r="BO380">
        <v>0.85994999999999999</v>
      </c>
    </row>
    <row r="381" spans="1:67">
      <c r="A381" s="61" t="str">
        <f t="shared" si="6"/>
        <v>UK</v>
      </c>
      <c r="B381" s="62" t="s">
        <v>64</v>
      </c>
      <c r="C381" s="62" t="s">
        <v>176</v>
      </c>
      <c r="D381" s="63" t="s">
        <v>97</v>
      </c>
      <c r="E381" s="64">
        <v>43831</v>
      </c>
      <c r="F381" s="64">
        <v>43921</v>
      </c>
      <c r="G381" s="65">
        <v>43995</v>
      </c>
      <c r="H381" s="66" t="s">
        <v>132</v>
      </c>
      <c r="I381" s="67">
        <v>3</v>
      </c>
      <c r="J381" s="68">
        <v>2020</v>
      </c>
      <c r="K381" s="69">
        <v>1</v>
      </c>
      <c r="L381" s="70">
        <v>3</v>
      </c>
      <c r="M381" s="71" t="s">
        <v>140</v>
      </c>
      <c r="N381" s="71" t="s">
        <v>18</v>
      </c>
      <c r="O381" s="71" t="s">
        <v>114</v>
      </c>
      <c r="P381" s="71" t="s">
        <v>102</v>
      </c>
      <c r="Q381" s="61" t="s">
        <v>74</v>
      </c>
      <c r="R381" s="63" t="s">
        <v>106</v>
      </c>
      <c r="S381" s="72" t="s">
        <v>444</v>
      </c>
      <c r="T381" s="61" t="s">
        <v>908</v>
      </c>
      <c r="U381" s="73" t="s">
        <v>911</v>
      </c>
      <c r="V381" s="62">
        <v>107473</v>
      </c>
      <c r="W381" s="62" t="s">
        <v>495</v>
      </c>
      <c r="X381" s="62" t="s">
        <v>402</v>
      </c>
      <c r="Y381" s="93">
        <v>1</v>
      </c>
      <c r="Z381" s="94">
        <v>1</v>
      </c>
      <c r="AA381" s="74">
        <v>2</v>
      </c>
      <c r="AB381" s="75">
        <v>2</v>
      </c>
      <c r="AC381" s="75">
        <v>91.090567280655847</v>
      </c>
      <c r="AD381" s="76">
        <v>109.30868073725216</v>
      </c>
      <c r="AE381" s="77">
        <v>2.4700000000000002</v>
      </c>
      <c r="AF381" s="75">
        <v>2.94</v>
      </c>
      <c r="AG381" s="78">
        <v>125.34061918716205</v>
      </c>
      <c r="AH381" s="79">
        <v>150.40874303157159</v>
      </c>
      <c r="AI381" s="74">
        <v>30.081748605151464</v>
      </c>
      <c r="AJ381" s="75">
        <v>0</v>
      </c>
      <c r="AK381" s="75">
        <v>0</v>
      </c>
      <c r="AL381" s="80">
        <v>30.081748605151464</v>
      </c>
      <c r="AM381" s="74">
        <v>0</v>
      </c>
      <c r="AN381" s="74">
        <v>0</v>
      </c>
      <c r="AO381" s="81" t="s">
        <v>403</v>
      </c>
      <c r="AP381" s="82">
        <v>0</v>
      </c>
      <c r="AQ381" s="75">
        <v>0</v>
      </c>
      <c r="AR381" s="75">
        <v>0</v>
      </c>
      <c r="AS381" s="80">
        <v>0</v>
      </c>
      <c r="AT381" s="74">
        <v>4.8582023997906854</v>
      </c>
      <c r="AU381" s="75">
        <v>3.7727526375952092</v>
      </c>
      <c r="AV381" s="75">
        <v>9.4306281878016165</v>
      </c>
      <c r="AW381" s="75">
        <v>4.4485892562358273</v>
      </c>
      <c r="AX381" s="80">
        <v>22.510172481423339</v>
      </c>
      <c r="AY381" s="81">
        <v>0</v>
      </c>
      <c r="AZ381" s="83" t="s">
        <v>403</v>
      </c>
      <c r="BA381" s="80" t="s">
        <v>403</v>
      </c>
      <c r="BB381" s="84">
        <v>82.179326288388864</v>
      </c>
      <c r="BC381" s="85">
        <v>8.714088250736749</v>
      </c>
      <c r="BD381" s="86">
        <v>0.65564799999652501</v>
      </c>
      <c r="BE381" s="84">
        <v>86.627915544624685</v>
      </c>
      <c r="BF381" s="87">
        <v>6.2415561895991702</v>
      </c>
      <c r="BG381" s="88">
        <v>0.69113999999688458</v>
      </c>
      <c r="BH381" s="89">
        <v>0</v>
      </c>
      <c r="BI381" s="90">
        <v>0.24000000000185553</v>
      </c>
      <c r="BJ381" s="90">
        <v>0.17959200000289238</v>
      </c>
      <c r="BK381" s="91">
        <v>0.41959200000474794</v>
      </c>
      <c r="BL381" s="92">
        <v>72.748698100587248</v>
      </c>
      <c r="BM381" s="95">
        <v>0</v>
      </c>
      <c r="BN381" t="s">
        <v>402</v>
      </c>
      <c r="BO381">
        <v>0.85994999999999999</v>
      </c>
    </row>
    <row r="382" spans="1:67">
      <c r="A382" s="61" t="str">
        <f t="shared" si="6"/>
        <v>UK</v>
      </c>
      <c r="B382" s="62" t="s">
        <v>64</v>
      </c>
      <c r="C382" s="62" t="s">
        <v>176</v>
      </c>
      <c r="D382" s="63" t="s">
        <v>97</v>
      </c>
      <c r="E382" s="64">
        <v>43831</v>
      </c>
      <c r="F382" s="64">
        <v>43921</v>
      </c>
      <c r="G382" s="65">
        <v>43995</v>
      </c>
      <c r="H382" s="66" t="s">
        <v>132</v>
      </c>
      <c r="I382" s="67">
        <v>3</v>
      </c>
      <c r="J382" s="68">
        <v>2020</v>
      </c>
      <c r="K382" s="69">
        <v>1</v>
      </c>
      <c r="L382" s="70">
        <v>3</v>
      </c>
      <c r="M382" s="71" t="s">
        <v>140</v>
      </c>
      <c r="N382" s="71" t="s">
        <v>18</v>
      </c>
      <c r="O382" s="71" t="s">
        <v>114</v>
      </c>
      <c r="P382" s="71" t="s">
        <v>102</v>
      </c>
      <c r="Q382" s="61" t="s">
        <v>74</v>
      </c>
      <c r="R382" s="63" t="s">
        <v>106</v>
      </c>
      <c r="S382" s="72" t="s">
        <v>444</v>
      </c>
      <c r="T382" s="61" t="s">
        <v>912</v>
      </c>
      <c r="U382" s="73" t="s">
        <v>913</v>
      </c>
      <c r="V382" s="62">
        <v>107475</v>
      </c>
      <c r="W382" s="62" t="s">
        <v>495</v>
      </c>
      <c r="X382" s="62" t="s">
        <v>402</v>
      </c>
      <c r="Y382" s="93">
        <v>1</v>
      </c>
      <c r="Z382" s="94">
        <v>1</v>
      </c>
      <c r="AA382" s="74">
        <v>2</v>
      </c>
      <c r="AB382" s="75">
        <v>4</v>
      </c>
      <c r="AC382" s="75">
        <v>1108.5915847781848</v>
      </c>
      <c r="AD382" s="76">
        <v>1330.3099017384732</v>
      </c>
      <c r="AE382" s="77">
        <v>0.57548387099999998</v>
      </c>
      <c r="AF382" s="75">
        <v>0.57548387099999998</v>
      </c>
      <c r="AG382" s="78">
        <v>118.22642851328567</v>
      </c>
      <c r="AH382" s="79">
        <v>141.87171422757137</v>
      </c>
      <c r="AI382" s="74">
        <v>45.398948550497124</v>
      </c>
      <c r="AJ382" s="75">
        <v>0</v>
      </c>
      <c r="AK382" s="75">
        <v>0</v>
      </c>
      <c r="AL382" s="80">
        <v>45.398948550497124</v>
      </c>
      <c r="AM382" s="74">
        <v>0</v>
      </c>
      <c r="AN382" s="74">
        <v>0</v>
      </c>
      <c r="AO382" s="81" t="s">
        <v>403</v>
      </c>
      <c r="AP382" s="82">
        <v>1</v>
      </c>
      <c r="AQ382" s="75">
        <v>0</v>
      </c>
      <c r="AR382" s="75">
        <v>0</v>
      </c>
      <c r="AS382" s="80">
        <v>0</v>
      </c>
      <c r="AT382" s="74">
        <v>3.7142014783417641</v>
      </c>
      <c r="AU382" s="75">
        <v>3.558615498342927</v>
      </c>
      <c r="AV382" s="75">
        <v>7.2099205167742308</v>
      </c>
      <c r="AW382" s="75">
        <v>3.4010433144950287</v>
      </c>
      <c r="AX382" s="80">
        <v>17.883780807953951</v>
      </c>
      <c r="AY382" s="81">
        <v>1.7376681613375746</v>
      </c>
      <c r="AZ382" s="83">
        <v>0</v>
      </c>
      <c r="BA382" s="80">
        <v>0</v>
      </c>
      <c r="BB382" s="84">
        <v>62.15361967160883</v>
      </c>
      <c r="BC382" s="85">
        <v>8.6205693290245584</v>
      </c>
      <c r="BD382" s="86">
        <v>0.525716799984568</v>
      </c>
      <c r="BE382" s="84">
        <v>65.554662986103864</v>
      </c>
      <c r="BF382" s="87">
        <v>6.1780121041334626</v>
      </c>
      <c r="BG382" s="88">
        <v>0.55448399998598596</v>
      </c>
      <c r="BH382" s="89">
        <v>0</v>
      </c>
      <c r="BI382" s="90">
        <v>0.38400000001180301</v>
      </c>
      <c r="BJ382" s="90">
        <v>0.15126720000633584</v>
      </c>
      <c r="BK382" s="91">
        <v>0.53526720001813888</v>
      </c>
      <c r="BL382" s="92">
        <v>54.94369915483459</v>
      </c>
      <c r="BM382" s="95">
        <v>0</v>
      </c>
      <c r="BN382" t="s">
        <v>402</v>
      </c>
      <c r="BO382">
        <v>0.85994999999999999</v>
      </c>
    </row>
    <row r="383" spans="1:67">
      <c r="A383" s="61" t="str">
        <f t="shared" si="6"/>
        <v>UK</v>
      </c>
      <c r="B383" s="62" t="s">
        <v>64</v>
      </c>
      <c r="C383" s="62" t="s">
        <v>176</v>
      </c>
      <c r="D383" s="63" t="s">
        <v>97</v>
      </c>
      <c r="E383" s="64">
        <v>43831</v>
      </c>
      <c r="F383" s="64">
        <v>43921</v>
      </c>
      <c r="G383" s="65">
        <v>43995</v>
      </c>
      <c r="H383" s="66" t="s">
        <v>132</v>
      </c>
      <c r="I383" s="67">
        <v>3</v>
      </c>
      <c r="J383" s="68">
        <v>2020</v>
      </c>
      <c r="K383" s="69">
        <v>1</v>
      </c>
      <c r="L383" s="70">
        <v>3</v>
      </c>
      <c r="M383" s="71" t="s">
        <v>140</v>
      </c>
      <c r="N383" s="71" t="s">
        <v>18</v>
      </c>
      <c r="O383" s="71" t="s">
        <v>114</v>
      </c>
      <c r="P383" s="71" t="s">
        <v>102</v>
      </c>
      <c r="Q383" s="61" t="s">
        <v>74</v>
      </c>
      <c r="R383" s="63" t="s">
        <v>106</v>
      </c>
      <c r="S383" s="72" t="s">
        <v>444</v>
      </c>
      <c r="T383" s="61" t="s">
        <v>912</v>
      </c>
      <c r="U383" s="73" t="s">
        <v>914</v>
      </c>
      <c r="V383" s="62">
        <v>107477</v>
      </c>
      <c r="W383" s="62" t="s">
        <v>495</v>
      </c>
      <c r="X383" s="62" t="s">
        <v>402</v>
      </c>
      <c r="Y383" s="93">
        <v>1</v>
      </c>
      <c r="Z383" s="94">
        <v>1</v>
      </c>
      <c r="AA383" s="74">
        <v>3</v>
      </c>
      <c r="AB383" s="75">
        <v>3</v>
      </c>
      <c r="AC383" s="75">
        <v>162.80016280016281</v>
      </c>
      <c r="AD383" s="76">
        <v>195.36019536019535</v>
      </c>
      <c r="AE383" s="77">
        <v>3</v>
      </c>
      <c r="AF383" s="75">
        <v>3</v>
      </c>
      <c r="AG383" s="78">
        <v>162.80016280016281</v>
      </c>
      <c r="AH383" s="79">
        <v>195.36019536019535</v>
      </c>
      <c r="AI383" s="74">
        <v>62.515262515262513</v>
      </c>
      <c r="AJ383" s="75">
        <v>0</v>
      </c>
      <c r="AK383" s="75">
        <v>0</v>
      </c>
      <c r="AL383" s="80">
        <v>62.515262515262513</v>
      </c>
      <c r="AM383" s="74">
        <v>0</v>
      </c>
      <c r="AN383" s="74">
        <v>0</v>
      </c>
      <c r="AO383" s="81" t="s">
        <v>403</v>
      </c>
      <c r="AP383" s="82">
        <v>0</v>
      </c>
      <c r="AQ383" s="75">
        <v>0</v>
      </c>
      <c r="AR383" s="75">
        <v>0</v>
      </c>
      <c r="AS383" s="80">
        <v>0</v>
      </c>
      <c r="AT383" s="74">
        <v>5.114529914529915</v>
      </c>
      <c r="AU383" s="75">
        <v>4.9002849002849009</v>
      </c>
      <c r="AV383" s="75">
        <v>9.9282051282051285</v>
      </c>
      <c r="AW383" s="75">
        <v>4.6833048433048434</v>
      </c>
      <c r="AX383" s="80">
        <v>24.626324786324787</v>
      </c>
      <c r="AY383" s="81">
        <v>0</v>
      </c>
      <c r="AZ383" s="83" t="s">
        <v>403</v>
      </c>
      <c r="BA383" s="80" t="s">
        <v>403</v>
      </c>
      <c r="BB383" s="84">
        <v>85.586780626780637</v>
      </c>
      <c r="BC383" s="85">
        <v>8.6205693296602401</v>
      </c>
      <c r="BD383" s="86">
        <v>0.52571679999999998</v>
      </c>
      <c r="BE383" s="84">
        <v>90.270085470085476</v>
      </c>
      <c r="BF383" s="87">
        <v>6.1780121045735328</v>
      </c>
      <c r="BG383" s="88">
        <v>0.55448399999999998</v>
      </c>
      <c r="BH383" s="89">
        <v>0</v>
      </c>
      <c r="BI383" s="90">
        <v>0.38399999999999995</v>
      </c>
      <c r="BJ383" s="90">
        <v>0.15126719999999999</v>
      </c>
      <c r="BK383" s="91">
        <v>0.53526719999999994</v>
      </c>
      <c r="BL383" s="92">
        <v>75.658575498575516</v>
      </c>
      <c r="BM383" s="95">
        <v>0</v>
      </c>
      <c r="BN383" t="s">
        <v>402</v>
      </c>
      <c r="BO383">
        <v>0.85994999999999999</v>
      </c>
    </row>
    <row r="384" spans="1:67">
      <c r="A384" s="61" t="str">
        <f t="shared" si="6"/>
        <v>UK</v>
      </c>
      <c r="B384" s="62" t="s">
        <v>64</v>
      </c>
      <c r="C384" s="62" t="s">
        <v>176</v>
      </c>
      <c r="D384" s="63" t="s">
        <v>97</v>
      </c>
      <c r="E384" s="64">
        <v>43831</v>
      </c>
      <c r="F384" s="64">
        <v>43921</v>
      </c>
      <c r="G384" s="65">
        <v>43995</v>
      </c>
      <c r="H384" s="66" t="s">
        <v>132</v>
      </c>
      <c r="I384" s="67">
        <v>3</v>
      </c>
      <c r="J384" s="68">
        <v>2020</v>
      </c>
      <c r="K384" s="69">
        <v>1</v>
      </c>
      <c r="L384" s="70">
        <v>3</v>
      </c>
      <c r="M384" s="71" t="s">
        <v>140</v>
      </c>
      <c r="N384" s="71" t="s">
        <v>18</v>
      </c>
      <c r="O384" s="71" t="s">
        <v>114</v>
      </c>
      <c r="P384" s="71" t="s">
        <v>102</v>
      </c>
      <c r="Q384" s="61" t="s">
        <v>74</v>
      </c>
      <c r="R384" s="63" t="s">
        <v>106</v>
      </c>
      <c r="S384" s="72" t="s">
        <v>444</v>
      </c>
      <c r="T384" s="61" t="s">
        <v>915</v>
      </c>
      <c r="U384" s="73" t="s">
        <v>916</v>
      </c>
      <c r="V384" s="62">
        <v>107478</v>
      </c>
      <c r="W384" s="62" t="s">
        <v>495</v>
      </c>
      <c r="X384" s="62" t="s">
        <v>402</v>
      </c>
      <c r="Y384" s="93">
        <v>1</v>
      </c>
      <c r="Z384" s="94">
        <v>1</v>
      </c>
      <c r="AA384" s="74">
        <v>0</v>
      </c>
      <c r="AB384" s="75">
        <v>0</v>
      </c>
      <c r="AC384" s="75">
        <v>0</v>
      </c>
      <c r="AD384" s="76">
        <v>0</v>
      </c>
      <c r="AE384" s="77">
        <v>0.23114754100000001</v>
      </c>
      <c r="AF384" s="75">
        <v>0.23114754100000001</v>
      </c>
      <c r="AG384" s="78">
        <v>174.26670822722252</v>
      </c>
      <c r="AH384" s="79">
        <v>209.12004987499273</v>
      </c>
      <c r="AI384" s="74">
        <v>58.553613963602537</v>
      </c>
      <c r="AJ384" s="75">
        <v>0</v>
      </c>
      <c r="AK384" s="75">
        <v>0</v>
      </c>
      <c r="AL384" s="80">
        <v>58.553613963602537</v>
      </c>
      <c r="AM384" s="74">
        <v>0</v>
      </c>
      <c r="AN384" s="74">
        <v>0</v>
      </c>
      <c r="AO384" s="81" t="s">
        <v>403</v>
      </c>
      <c r="AP384" s="82">
        <v>0</v>
      </c>
      <c r="AQ384" s="75">
        <v>0</v>
      </c>
      <c r="AR384" s="75">
        <v>0</v>
      </c>
      <c r="AS384" s="80">
        <v>0</v>
      </c>
      <c r="AT384" s="74">
        <v>5.9013678073143794</v>
      </c>
      <c r="AU384" s="75">
        <v>5.2454279175533465</v>
      </c>
      <c r="AV384" s="75">
        <v>11.455596331879761</v>
      </c>
      <c r="AW384" s="75">
        <v>5.403801501947787</v>
      </c>
      <c r="AX384" s="80">
        <v>28.006193558695273</v>
      </c>
      <c r="AY384" s="81">
        <v>0</v>
      </c>
      <c r="AZ384" s="83" t="s">
        <v>403</v>
      </c>
      <c r="BA384" s="80" t="s">
        <v>403</v>
      </c>
      <c r="BB384" s="84">
        <v>99.162497036804481</v>
      </c>
      <c r="BC384" s="85">
        <v>8.6562492395830439</v>
      </c>
      <c r="BD384" s="86">
        <v>0.56902720000603146</v>
      </c>
      <c r="BE384" s="84">
        <v>104.56629853875226</v>
      </c>
      <c r="BF384" s="87">
        <v>6.202255831993309</v>
      </c>
      <c r="BG384" s="88">
        <v>0.600036000005294</v>
      </c>
      <c r="BH384" s="89">
        <v>0</v>
      </c>
      <c r="BI384" s="90">
        <v>0.33599999999572938</v>
      </c>
      <c r="BJ384" s="90">
        <v>0.1607087999974075</v>
      </c>
      <c r="BK384" s="91">
        <v>0.49670879999313688</v>
      </c>
      <c r="BL384" s="92">
        <v>87.70690070492472</v>
      </c>
      <c r="BM384" s="95">
        <v>0</v>
      </c>
      <c r="BN384" t="s">
        <v>402</v>
      </c>
      <c r="BO384">
        <v>0.85994999999999999</v>
      </c>
    </row>
    <row r="385" spans="1:67">
      <c r="A385" s="61" t="str">
        <f t="shared" si="6"/>
        <v>UK</v>
      </c>
      <c r="B385" s="62" t="s">
        <v>64</v>
      </c>
      <c r="C385" s="62" t="s">
        <v>176</v>
      </c>
      <c r="D385" s="63" t="s">
        <v>97</v>
      </c>
      <c r="E385" s="64">
        <v>43831</v>
      </c>
      <c r="F385" s="64">
        <v>43921</v>
      </c>
      <c r="G385" s="65">
        <v>43995</v>
      </c>
      <c r="H385" s="66" t="s">
        <v>132</v>
      </c>
      <c r="I385" s="67">
        <v>3</v>
      </c>
      <c r="J385" s="68">
        <v>2020</v>
      </c>
      <c r="K385" s="69">
        <v>1</v>
      </c>
      <c r="L385" s="70">
        <v>3</v>
      </c>
      <c r="M385" s="71" t="s">
        <v>140</v>
      </c>
      <c r="N385" s="71" t="s">
        <v>18</v>
      </c>
      <c r="O385" s="71" t="s">
        <v>114</v>
      </c>
      <c r="P385" s="71" t="s">
        <v>102</v>
      </c>
      <c r="Q385" s="61" t="s">
        <v>74</v>
      </c>
      <c r="R385" s="63" t="s">
        <v>106</v>
      </c>
      <c r="S385" s="72" t="s">
        <v>444</v>
      </c>
      <c r="T385" s="61" t="s">
        <v>915</v>
      </c>
      <c r="U385" s="73" t="s">
        <v>917</v>
      </c>
      <c r="V385" s="62">
        <v>107479</v>
      </c>
      <c r="W385" s="62" t="s">
        <v>495</v>
      </c>
      <c r="X385" s="62" t="s">
        <v>402</v>
      </c>
      <c r="Y385" s="93">
        <v>1</v>
      </c>
      <c r="Z385" s="94">
        <v>1</v>
      </c>
      <c r="AA385" s="74">
        <v>0</v>
      </c>
      <c r="AB385" s="75">
        <v>0</v>
      </c>
      <c r="AC385" s="75">
        <v>0</v>
      </c>
      <c r="AD385" s="76">
        <v>0</v>
      </c>
      <c r="AE385" s="77">
        <v>0.23114754100000001</v>
      </c>
      <c r="AF385" s="75">
        <v>0.23114754100000001</v>
      </c>
      <c r="AG385" s="78">
        <v>164.41100750043609</v>
      </c>
      <c r="AH385" s="79">
        <v>197.29320900052329</v>
      </c>
      <c r="AI385" s="74">
        <v>55.242098520844237</v>
      </c>
      <c r="AJ385" s="75">
        <v>0</v>
      </c>
      <c r="AK385" s="75">
        <v>0</v>
      </c>
      <c r="AL385" s="80">
        <v>55.242098520844237</v>
      </c>
      <c r="AM385" s="74">
        <v>0</v>
      </c>
      <c r="AN385" s="74">
        <v>0</v>
      </c>
      <c r="AO385" s="81" t="s">
        <v>403</v>
      </c>
      <c r="AP385" s="82">
        <v>0</v>
      </c>
      <c r="AQ385" s="75">
        <v>0</v>
      </c>
      <c r="AR385" s="75">
        <v>0</v>
      </c>
      <c r="AS385" s="80">
        <v>0</v>
      </c>
      <c r="AT385" s="74">
        <v>5.5676143580440725</v>
      </c>
      <c r="AU385" s="75">
        <v>4.9487713257747545</v>
      </c>
      <c r="AV385" s="75">
        <v>10.807721989185417</v>
      </c>
      <c r="AW385" s="75">
        <v>5.0981880494214789</v>
      </c>
      <c r="AX385" s="80">
        <v>26.422295722425723</v>
      </c>
      <c r="AY385" s="81">
        <v>0</v>
      </c>
      <c r="AZ385" s="83" t="s">
        <v>403</v>
      </c>
      <c r="BA385" s="80" t="s">
        <v>403</v>
      </c>
      <c r="BB385" s="84">
        <v>93.554335246351542</v>
      </c>
      <c r="BC385" s="85">
        <v>8.6562492391981642</v>
      </c>
      <c r="BD385" s="86">
        <v>0.56902719999513052</v>
      </c>
      <c r="BE385" s="84">
        <v>98.652523295773022</v>
      </c>
      <c r="BF385" s="87">
        <v>6.2022558317206107</v>
      </c>
      <c r="BG385" s="88">
        <v>0.6000359999953857</v>
      </c>
      <c r="BH385" s="89">
        <v>0</v>
      </c>
      <c r="BI385" s="90">
        <v>0.33600000000424374</v>
      </c>
      <c r="BJ385" s="90">
        <v>0.16070880000145757</v>
      </c>
      <c r="BK385" s="91">
        <v>0.49670880000570128</v>
      </c>
      <c r="BL385" s="92">
        <v>82.746613257166132</v>
      </c>
      <c r="BM385" s="95">
        <v>0</v>
      </c>
      <c r="BN385" t="s">
        <v>402</v>
      </c>
      <c r="BO385">
        <v>0.85994999999999999</v>
      </c>
    </row>
    <row r="386" spans="1:67">
      <c r="A386" s="61" t="str">
        <f t="shared" si="6"/>
        <v>UK</v>
      </c>
      <c r="B386" s="62" t="s">
        <v>64</v>
      </c>
      <c r="C386" s="62" t="s">
        <v>176</v>
      </c>
      <c r="D386" s="63" t="s">
        <v>97</v>
      </c>
      <c r="E386" s="64">
        <v>43831</v>
      </c>
      <c r="F386" s="64">
        <v>43921</v>
      </c>
      <c r="G386" s="65">
        <v>43995</v>
      </c>
      <c r="H386" s="66" t="s">
        <v>132</v>
      </c>
      <c r="I386" s="67">
        <v>3</v>
      </c>
      <c r="J386" s="68">
        <v>2020</v>
      </c>
      <c r="K386" s="69">
        <v>1</v>
      </c>
      <c r="L386" s="70">
        <v>3</v>
      </c>
      <c r="M386" s="71" t="s">
        <v>140</v>
      </c>
      <c r="N386" s="71" t="s">
        <v>18</v>
      </c>
      <c r="O386" s="71" t="s">
        <v>114</v>
      </c>
      <c r="P386" s="71" t="s">
        <v>102</v>
      </c>
      <c r="Q386" s="61" t="s">
        <v>170</v>
      </c>
      <c r="R386" s="63" t="s">
        <v>918</v>
      </c>
      <c r="S386" s="72" t="s">
        <v>398</v>
      </c>
      <c r="T386" s="61" t="s">
        <v>399</v>
      </c>
      <c r="U386" s="73" t="s">
        <v>919</v>
      </c>
      <c r="V386" s="62">
        <v>108048</v>
      </c>
      <c r="W386" s="62" t="s">
        <v>401</v>
      </c>
      <c r="X386" s="62" t="s">
        <v>402</v>
      </c>
      <c r="Y386" s="93">
        <v>1</v>
      </c>
      <c r="Z386" s="94">
        <v>1</v>
      </c>
      <c r="AA386" s="74">
        <v>39</v>
      </c>
      <c r="AB386" s="75">
        <v>58</v>
      </c>
      <c r="AC386" s="75">
        <v>375.89394879934878</v>
      </c>
      <c r="AD386" s="76">
        <v>451.07273856619571</v>
      </c>
      <c r="AE386" s="77">
        <v>26.503709677</v>
      </c>
      <c r="AF386" s="75">
        <v>35.194032258</v>
      </c>
      <c r="AG386" s="78">
        <v>233.73999103436248</v>
      </c>
      <c r="AH386" s="79">
        <v>280.48798923193209</v>
      </c>
      <c r="AI386" s="74">
        <v>93.49599641258213</v>
      </c>
      <c r="AJ386" s="75">
        <v>0</v>
      </c>
      <c r="AK386" s="75">
        <v>0</v>
      </c>
      <c r="AL386" s="80">
        <v>93.49599641258213</v>
      </c>
      <c r="AM386" s="74">
        <v>0</v>
      </c>
      <c r="AN386" s="74">
        <v>0</v>
      </c>
      <c r="AO386" s="81" t="s">
        <v>403</v>
      </c>
      <c r="AP386" s="82">
        <v>0</v>
      </c>
      <c r="AQ386" s="75">
        <v>0</v>
      </c>
      <c r="AR386" s="75">
        <v>0</v>
      </c>
      <c r="AS386" s="80">
        <v>0</v>
      </c>
      <c r="AT386" s="74">
        <v>7.1524437255654396</v>
      </c>
      <c r="AU386" s="75">
        <v>7.0355737299843017</v>
      </c>
      <c r="AV386" s="75">
        <v>13.884155467178324</v>
      </c>
      <c r="AW386" s="75">
        <v>6.5493945486365481</v>
      </c>
      <c r="AX386" s="80">
        <v>34.621567471364614</v>
      </c>
      <c r="AY386" s="81">
        <v>0</v>
      </c>
      <c r="AZ386" s="83" t="s">
        <v>403</v>
      </c>
      <c r="BA386" s="80" t="s">
        <v>403</v>
      </c>
      <c r="BB386" s="84">
        <v>119.50658261759406</v>
      </c>
      <c r="BC386" s="85">
        <v>8.6074074076816274</v>
      </c>
      <c r="BD386" s="86">
        <v>0.51128000000661078</v>
      </c>
      <c r="BE386" s="84">
        <v>126.0559771662306</v>
      </c>
      <c r="BF386" s="87">
        <v>6.1690688631523924</v>
      </c>
      <c r="BG386" s="88">
        <v>0.53930000000598499</v>
      </c>
      <c r="BH386" s="89">
        <v>0</v>
      </c>
      <c r="BI386" s="90">
        <v>0.399999999995025</v>
      </c>
      <c r="BJ386" s="90">
        <v>0.14811999999723985</v>
      </c>
      <c r="BK386" s="91">
        <v>0.54811999999226479</v>
      </c>
      <c r="BL386" s="92">
        <v>105.62242715041575</v>
      </c>
      <c r="BM386" s="95">
        <v>0</v>
      </c>
      <c r="BN386" t="s">
        <v>402</v>
      </c>
      <c r="BO386">
        <v>0.85994999999999999</v>
      </c>
    </row>
    <row r="387" spans="1:67">
      <c r="A387" s="61" t="str">
        <f t="shared" si="6"/>
        <v>UK</v>
      </c>
      <c r="B387" s="62" t="s">
        <v>64</v>
      </c>
      <c r="C387" s="62" t="s">
        <v>176</v>
      </c>
      <c r="D387" s="63" t="s">
        <v>97</v>
      </c>
      <c r="E387" s="64">
        <v>43831</v>
      </c>
      <c r="F387" s="64">
        <v>43921</v>
      </c>
      <c r="G387" s="65">
        <v>43995</v>
      </c>
      <c r="H387" s="66" t="s">
        <v>132</v>
      </c>
      <c r="I387" s="67">
        <v>3</v>
      </c>
      <c r="J387" s="68">
        <v>2020</v>
      </c>
      <c r="K387" s="69">
        <v>1</v>
      </c>
      <c r="L387" s="70">
        <v>3</v>
      </c>
      <c r="M387" s="71" t="s">
        <v>140</v>
      </c>
      <c r="N387" s="71" t="s">
        <v>18</v>
      </c>
      <c r="O387" s="71" t="s">
        <v>114</v>
      </c>
      <c r="P387" s="71" t="s">
        <v>102</v>
      </c>
      <c r="Q387" s="61" t="s">
        <v>170</v>
      </c>
      <c r="R387" s="63" t="s">
        <v>918</v>
      </c>
      <c r="S387" s="72" t="s">
        <v>398</v>
      </c>
      <c r="T387" s="61" t="s">
        <v>399</v>
      </c>
      <c r="U387" s="73" t="s">
        <v>920</v>
      </c>
      <c r="V387" s="62">
        <v>108051</v>
      </c>
      <c r="W387" s="62" t="s">
        <v>401</v>
      </c>
      <c r="X387" s="62" t="s">
        <v>402</v>
      </c>
      <c r="Y387" s="93">
        <v>1</v>
      </c>
      <c r="Z387" s="94">
        <v>1</v>
      </c>
      <c r="AA387" s="74">
        <v>57</v>
      </c>
      <c r="AB387" s="75">
        <v>93</v>
      </c>
      <c r="AC387" s="75">
        <v>1064.0153497296355</v>
      </c>
      <c r="AD387" s="76">
        <v>1276.8184196755626</v>
      </c>
      <c r="AE387" s="77">
        <v>33.349556452000002</v>
      </c>
      <c r="AF387" s="75">
        <v>47.308911289999998</v>
      </c>
      <c r="AG387" s="78">
        <v>481.97030397116112</v>
      </c>
      <c r="AH387" s="79">
        <v>578.36436476539336</v>
      </c>
      <c r="AI387" s="74">
        <v>192.78812158846443</v>
      </c>
      <c r="AJ387" s="75">
        <v>0</v>
      </c>
      <c r="AK387" s="75">
        <v>0</v>
      </c>
      <c r="AL387" s="80">
        <v>192.78812158846443</v>
      </c>
      <c r="AM387" s="74">
        <v>0</v>
      </c>
      <c r="AN387" s="74">
        <v>0</v>
      </c>
      <c r="AO387" s="81" t="s">
        <v>403</v>
      </c>
      <c r="AP387" s="82">
        <v>0</v>
      </c>
      <c r="AQ387" s="75">
        <v>0</v>
      </c>
      <c r="AR387" s="75">
        <v>0</v>
      </c>
      <c r="AS387" s="80">
        <v>0</v>
      </c>
      <c r="AT387" s="74">
        <v>14.748291301819874</v>
      </c>
      <c r="AU387" s="75">
        <v>14.50730614919472</v>
      </c>
      <c r="AV387" s="75">
        <v>28.629036055584628</v>
      </c>
      <c r="AW387" s="75">
        <v>13.504807917902204</v>
      </c>
      <c r="AX387" s="80">
        <v>71.389441424501427</v>
      </c>
      <c r="AY387" s="81">
        <v>0</v>
      </c>
      <c r="AZ387" s="83" t="s">
        <v>403</v>
      </c>
      <c r="BA387" s="80" t="s">
        <v>403</v>
      </c>
      <c r="BB387" s="84">
        <v>246.42177701377986</v>
      </c>
      <c r="BC387" s="85">
        <v>8.6074074074775115</v>
      </c>
      <c r="BD387" s="86">
        <v>0.51127999999876461</v>
      </c>
      <c r="BE387" s="84">
        <v>259.9265849316821</v>
      </c>
      <c r="BF387" s="87">
        <v>6.1690688629132353</v>
      </c>
      <c r="BG387" s="88">
        <v>0.53930000000007239</v>
      </c>
      <c r="BH387" s="89">
        <v>0</v>
      </c>
      <c r="BI387" s="90">
        <v>0.39999999999999997</v>
      </c>
      <c r="BJ387" s="90">
        <v>0.14812000000060802</v>
      </c>
      <c r="BK387" s="91">
        <v>0.54812000000060801</v>
      </c>
      <c r="BL387" s="92">
        <v>217.79274095819528</v>
      </c>
      <c r="BM387" s="95">
        <v>0</v>
      </c>
      <c r="BN387" t="s">
        <v>402</v>
      </c>
      <c r="BO387">
        <v>0.85994999999999999</v>
      </c>
    </row>
    <row r="388" spans="1:67">
      <c r="A388" s="61" t="str">
        <f t="shared" si="6"/>
        <v>UK</v>
      </c>
      <c r="B388" s="62" t="s">
        <v>64</v>
      </c>
      <c r="C388" s="62" t="s">
        <v>176</v>
      </c>
      <c r="D388" s="63" t="s">
        <v>97</v>
      </c>
      <c r="E388" s="64">
        <v>43831</v>
      </c>
      <c r="F388" s="64">
        <v>43921</v>
      </c>
      <c r="G388" s="65">
        <v>43995</v>
      </c>
      <c r="H388" s="66" t="s">
        <v>132</v>
      </c>
      <c r="I388" s="67">
        <v>3</v>
      </c>
      <c r="J388" s="68">
        <v>2020</v>
      </c>
      <c r="K388" s="69">
        <v>1</v>
      </c>
      <c r="L388" s="70">
        <v>3</v>
      </c>
      <c r="M388" s="71" t="s">
        <v>140</v>
      </c>
      <c r="N388" s="71" t="s">
        <v>18</v>
      </c>
      <c r="O388" s="71" t="s">
        <v>114</v>
      </c>
      <c r="P388" s="71" t="s">
        <v>102</v>
      </c>
      <c r="Q388" s="61" t="s">
        <v>170</v>
      </c>
      <c r="R388" s="63" t="s">
        <v>103</v>
      </c>
      <c r="S388" s="72" t="s">
        <v>398</v>
      </c>
      <c r="T388" s="61" t="s">
        <v>399</v>
      </c>
      <c r="U388" s="73" t="s">
        <v>921</v>
      </c>
      <c r="V388" s="62">
        <v>108049</v>
      </c>
      <c r="W388" s="62" t="s">
        <v>401</v>
      </c>
      <c r="X388" s="62" t="s">
        <v>402</v>
      </c>
      <c r="Y388" s="93">
        <v>1</v>
      </c>
      <c r="Z388" s="94">
        <v>1</v>
      </c>
      <c r="AA388" s="74">
        <v>2056</v>
      </c>
      <c r="AB388" s="75">
        <v>3066</v>
      </c>
      <c r="AC388" s="75">
        <v>7235.3818979010412</v>
      </c>
      <c r="AD388" s="76">
        <v>8682.4582774579922</v>
      </c>
      <c r="AE388" s="77">
        <v>942.40953314000001</v>
      </c>
      <c r="AF388" s="75">
        <v>1270.1544120999999</v>
      </c>
      <c r="AG388" s="78">
        <v>2989.3367272515843</v>
      </c>
      <c r="AH388" s="79">
        <v>3587.2040726786445</v>
      </c>
      <c r="AI388" s="74">
        <v>1195.7346908541194</v>
      </c>
      <c r="AJ388" s="75">
        <v>0</v>
      </c>
      <c r="AK388" s="75">
        <v>0</v>
      </c>
      <c r="AL388" s="80">
        <v>1195.7346908541194</v>
      </c>
      <c r="AM388" s="74">
        <v>0</v>
      </c>
      <c r="AN388" s="74">
        <v>0</v>
      </c>
      <c r="AO388" s="81" t="s">
        <v>403</v>
      </c>
      <c r="AP388" s="82">
        <v>9</v>
      </c>
      <c r="AQ388" s="75">
        <v>0</v>
      </c>
      <c r="AR388" s="75">
        <v>0</v>
      </c>
      <c r="AS388" s="80">
        <v>0</v>
      </c>
      <c r="AT388" s="74">
        <v>91.473703853712436</v>
      </c>
      <c r="AU388" s="75">
        <v>89.979035489272619</v>
      </c>
      <c r="AV388" s="75">
        <v>177.56660159311588</v>
      </c>
      <c r="AW388" s="75">
        <v>83.761215097389382</v>
      </c>
      <c r="AX388" s="80">
        <v>442.78055603349031</v>
      </c>
      <c r="AY388" s="81">
        <v>7.0857526567340108E-3</v>
      </c>
      <c r="AZ388" s="83">
        <v>0</v>
      </c>
      <c r="BA388" s="80">
        <v>0</v>
      </c>
      <c r="BB388" s="84">
        <v>1528.3880819570907</v>
      </c>
      <c r="BC388" s="85">
        <v>8.607407407949994</v>
      </c>
      <c r="BD388" s="86">
        <v>0.51128000001602381</v>
      </c>
      <c r="BE388" s="84">
        <v>1612.14929705448</v>
      </c>
      <c r="BF388" s="87">
        <v>6.1690688632805379</v>
      </c>
      <c r="BG388" s="88">
        <v>0.5393000000159569</v>
      </c>
      <c r="BH388" s="89">
        <v>0</v>
      </c>
      <c r="BI388" s="90">
        <v>0.39999999998443991</v>
      </c>
      <c r="BJ388" s="90">
        <v>0.14811999999765355</v>
      </c>
      <c r="BK388" s="91">
        <v>0.54811999998209349</v>
      </c>
      <c r="BL388" s="92">
        <v>1350.8214803639746</v>
      </c>
      <c r="BM388" s="95">
        <v>0</v>
      </c>
      <c r="BN388" t="s">
        <v>402</v>
      </c>
      <c r="BO388">
        <v>0.85994999999999999</v>
      </c>
    </row>
    <row r="389" spans="1:67">
      <c r="A389" s="61" t="str">
        <f t="shared" si="6"/>
        <v>UK</v>
      </c>
      <c r="B389" s="62" t="s">
        <v>64</v>
      </c>
      <c r="C389" s="62" t="s">
        <v>176</v>
      </c>
      <c r="D389" s="63" t="s">
        <v>97</v>
      </c>
      <c r="E389" s="64">
        <v>43831</v>
      </c>
      <c r="F389" s="64">
        <v>43921</v>
      </c>
      <c r="G389" s="65">
        <v>43995</v>
      </c>
      <c r="H389" s="66" t="s">
        <v>132</v>
      </c>
      <c r="I389" s="67">
        <v>3</v>
      </c>
      <c r="J389" s="68">
        <v>2020</v>
      </c>
      <c r="K389" s="69">
        <v>1</v>
      </c>
      <c r="L389" s="70">
        <v>3</v>
      </c>
      <c r="M389" s="71" t="s">
        <v>140</v>
      </c>
      <c r="N389" s="71" t="s">
        <v>18</v>
      </c>
      <c r="O389" s="71" t="s">
        <v>114</v>
      </c>
      <c r="P389" s="71" t="s">
        <v>102</v>
      </c>
      <c r="Q389" s="61" t="s">
        <v>170</v>
      </c>
      <c r="R389" s="63" t="s">
        <v>106</v>
      </c>
      <c r="S389" s="72" t="s">
        <v>398</v>
      </c>
      <c r="T389" s="61" t="s">
        <v>399</v>
      </c>
      <c r="U389" s="73" t="s">
        <v>400</v>
      </c>
      <c r="V389" s="62">
        <v>108050</v>
      </c>
      <c r="W389" s="62" t="s">
        <v>401</v>
      </c>
      <c r="X389" s="62" t="s">
        <v>402</v>
      </c>
      <c r="Y389" s="93">
        <v>1</v>
      </c>
      <c r="Z389" s="94">
        <v>1</v>
      </c>
      <c r="AA389" s="74">
        <v>124</v>
      </c>
      <c r="AB389" s="75">
        <v>192</v>
      </c>
      <c r="AC389" s="75">
        <v>3247.4756291644862</v>
      </c>
      <c r="AD389" s="76">
        <v>3896.970755043898</v>
      </c>
      <c r="AE389" s="77">
        <v>63.475806452</v>
      </c>
      <c r="AF389" s="75">
        <v>90.344193548000007</v>
      </c>
      <c r="AG389" s="78">
        <v>1501.4746738763881</v>
      </c>
      <c r="AH389" s="79">
        <v>1801.7696086981803</v>
      </c>
      <c r="AI389" s="74">
        <v>600.58986955055536</v>
      </c>
      <c r="AJ389" s="75">
        <v>0</v>
      </c>
      <c r="AK389" s="75">
        <v>0</v>
      </c>
      <c r="AL389" s="80">
        <v>600.58986955055536</v>
      </c>
      <c r="AM389" s="74">
        <v>0</v>
      </c>
      <c r="AN389" s="74">
        <v>0</v>
      </c>
      <c r="AO389" s="81" t="s">
        <v>403</v>
      </c>
      <c r="AP389" s="82">
        <v>2</v>
      </c>
      <c r="AQ389" s="75">
        <v>0</v>
      </c>
      <c r="AR389" s="75">
        <v>0</v>
      </c>
      <c r="AS389" s="80">
        <v>0</v>
      </c>
      <c r="AT389" s="74">
        <v>45.945125020059308</v>
      </c>
      <c r="AU389" s="75">
        <v>45.194387683004827</v>
      </c>
      <c r="AV389" s="75">
        <v>89.187595627652769</v>
      </c>
      <c r="AW389" s="75">
        <v>42.07132036164893</v>
      </c>
      <c r="AX389" s="80">
        <v>222.39842869236583</v>
      </c>
      <c r="AY389" s="81">
        <v>2.2137559941108966E-2</v>
      </c>
      <c r="AZ389" s="83">
        <v>0</v>
      </c>
      <c r="BA389" s="80">
        <v>0</v>
      </c>
      <c r="BB389" s="84">
        <v>767.67397126111973</v>
      </c>
      <c r="BC389" s="85">
        <v>8.6074074074837057</v>
      </c>
      <c r="BD389" s="86">
        <v>0.51128000000106566</v>
      </c>
      <c r="BE389" s="84">
        <v>809.7452916227686</v>
      </c>
      <c r="BF389" s="87">
        <v>6.1690688630155011</v>
      </c>
      <c r="BG389" s="88">
        <v>0.5393000000008209</v>
      </c>
      <c r="BH389" s="89">
        <v>0</v>
      </c>
      <c r="BI389" s="90">
        <v>0.40000000000000008</v>
      </c>
      <c r="BJ389" s="90">
        <v>0.14811999999853159</v>
      </c>
      <c r="BK389" s="91">
        <v>0.54811999999853167</v>
      </c>
      <c r="BL389" s="92">
        <v>678.48637563346688</v>
      </c>
      <c r="BM389" s="95">
        <v>0</v>
      </c>
      <c r="BN389" t="s">
        <v>402</v>
      </c>
      <c r="BO389">
        <v>0.85994999999999999</v>
      </c>
    </row>
    <row r="390" spans="1:67">
      <c r="A390" s="61" t="str">
        <f t="shared" si="6"/>
        <v>UK</v>
      </c>
      <c r="B390" s="62" t="s">
        <v>64</v>
      </c>
      <c r="C390" s="62" t="s">
        <v>176</v>
      </c>
      <c r="D390" s="63" t="s">
        <v>97</v>
      </c>
      <c r="E390" s="64">
        <v>43831</v>
      </c>
      <c r="F390" s="64">
        <v>43921</v>
      </c>
      <c r="G390" s="65">
        <v>43995</v>
      </c>
      <c r="H390" s="66" t="s">
        <v>132</v>
      </c>
      <c r="I390" s="67">
        <v>3</v>
      </c>
      <c r="J390" s="68">
        <v>2020</v>
      </c>
      <c r="K390" s="69">
        <v>1</v>
      </c>
      <c r="L390" s="70">
        <v>3</v>
      </c>
      <c r="M390" s="71" t="s">
        <v>140</v>
      </c>
      <c r="N390" s="71" t="s">
        <v>18</v>
      </c>
      <c r="O390" s="71" t="s">
        <v>114</v>
      </c>
      <c r="P390" s="71" t="s">
        <v>102</v>
      </c>
      <c r="Q390" s="61" t="s">
        <v>73</v>
      </c>
      <c r="R390" s="63" t="s">
        <v>165</v>
      </c>
      <c r="S390" s="72" t="s">
        <v>404</v>
      </c>
      <c r="T390" s="61" t="s">
        <v>405</v>
      </c>
      <c r="U390" s="73" t="s">
        <v>406</v>
      </c>
      <c r="V390" s="62">
        <v>106873</v>
      </c>
      <c r="W390" s="62" t="s">
        <v>407</v>
      </c>
      <c r="X390" s="62" t="s">
        <v>402</v>
      </c>
      <c r="Y390" s="93">
        <v>1</v>
      </c>
      <c r="Z390" s="94">
        <v>1</v>
      </c>
      <c r="AA390" s="74">
        <v>0</v>
      </c>
      <c r="AB390" s="75">
        <v>0</v>
      </c>
      <c r="AC390" s="75">
        <v>0</v>
      </c>
      <c r="AD390" s="76">
        <v>0</v>
      </c>
      <c r="AE390" s="77">
        <v>0</v>
      </c>
      <c r="AF390" s="75">
        <v>0</v>
      </c>
      <c r="AG390" s="78">
        <v>0</v>
      </c>
      <c r="AH390" s="79">
        <v>0</v>
      </c>
      <c r="AI390" s="74">
        <v>0</v>
      </c>
      <c r="AJ390" s="75">
        <v>0</v>
      </c>
      <c r="AK390" s="75">
        <v>0</v>
      </c>
      <c r="AL390" s="80">
        <v>0</v>
      </c>
      <c r="AM390" s="74">
        <v>0</v>
      </c>
      <c r="AN390" s="74">
        <v>0</v>
      </c>
      <c r="AO390" s="81" t="s">
        <v>403</v>
      </c>
      <c r="AP390" s="82">
        <v>0</v>
      </c>
      <c r="AQ390" s="75">
        <v>0</v>
      </c>
      <c r="AR390" s="75">
        <v>0</v>
      </c>
      <c r="AS390" s="80">
        <v>0</v>
      </c>
      <c r="AT390" s="74">
        <v>0</v>
      </c>
      <c r="AU390" s="75">
        <v>0</v>
      </c>
      <c r="AV390" s="75">
        <v>0</v>
      </c>
      <c r="AW390" s="75">
        <v>0</v>
      </c>
      <c r="AX390" s="80">
        <v>0</v>
      </c>
      <c r="AY390" s="81" t="s">
        <v>403</v>
      </c>
      <c r="AZ390" s="83" t="s">
        <v>403</v>
      </c>
      <c r="BA390" s="80" t="s">
        <v>403</v>
      </c>
      <c r="BB390" s="84">
        <v>0</v>
      </c>
      <c r="BC390" s="85" t="s">
        <v>403</v>
      </c>
      <c r="BD390" s="86" t="s">
        <v>403</v>
      </c>
      <c r="BE390" s="84">
        <v>0</v>
      </c>
      <c r="BF390" s="87" t="s">
        <v>403</v>
      </c>
      <c r="BG390" s="88" t="s">
        <v>403</v>
      </c>
      <c r="BH390" s="89" t="s">
        <v>403</v>
      </c>
      <c r="BI390" s="90" t="s">
        <v>403</v>
      </c>
      <c r="BJ390" s="90" t="s">
        <v>403</v>
      </c>
      <c r="BK390" s="91">
        <v>0</v>
      </c>
      <c r="BL390" s="92">
        <v>0</v>
      </c>
      <c r="BM390" s="95">
        <v>0</v>
      </c>
      <c r="BN390" t="s">
        <v>402</v>
      </c>
      <c r="BO390">
        <v>0.85994999999999999</v>
      </c>
    </row>
    <row r="391" spans="1:67">
      <c r="A391" s="61" t="str">
        <f t="shared" si="6"/>
        <v>UK</v>
      </c>
      <c r="B391" s="62" t="s">
        <v>64</v>
      </c>
      <c r="C391" s="62" t="s">
        <v>176</v>
      </c>
      <c r="D391" s="63" t="s">
        <v>97</v>
      </c>
      <c r="E391" s="64">
        <v>43831</v>
      </c>
      <c r="F391" s="64">
        <v>43921</v>
      </c>
      <c r="G391" s="65">
        <v>43995</v>
      </c>
      <c r="H391" s="66" t="s">
        <v>132</v>
      </c>
      <c r="I391" s="67">
        <v>3</v>
      </c>
      <c r="J391" s="68">
        <v>2020</v>
      </c>
      <c r="K391" s="69">
        <v>1</v>
      </c>
      <c r="L391" s="70">
        <v>3</v>
      </c>
      <c r="M391" s="71" t="s">
        <v>140</v>
      </c>
      <c r="N391" s="71" t="s">
        <v>18</v>
      </c>
      <c r="O391" s="71" t="s">
        <v>114</v>
      </c>
      <c r="P391" s="71" t="s">
        <v>102</v>
      </c>
      <c r="Q391" s="61" t="s">
        <v>73</v>
      </c>
      <c r="R391" s="63" t="s">
        <v>112</v>
      </c>
      <c r="S391" s="72" t="s">
        <v>404</v>
      </c>
      <c r="T391" s="61" t="s">
        <v>405</v>
      </c>
      <c r="U391" s="73" t="s">
        <v>408</v>
      </c>
      <c r="V391" s="62">
        <v>107593</v>
      </c>
      <c r="W391" s="62" t="s">
        <v>407</v>
      </c>
      <c r="X391" s="62" t="s">
        <v>402</v>
      </c>
      <c r="Y391" s="93">
        <v>1</v>
      </c>
      <c r="Z391" s="94">
        <v>1</v>
      </c>
      <c r="AA391" s="74">
        <v>0</v>
      </c>
      <c r="AB391" s="75">
        <v>0</v>
      </c>
      <c r="AC391" s="75">
        <v>0</v>
      </c>
      <c r="AD391" s="76">
        <v>0</v>
      </c>
      <c r="AE391" s="77">
        <v>0</v>
      </c>
      <c r="AF391" s="75">
        <v>0</v>
      </c>
      <c r="AG391" s="78">
        <v>0</v>
      </c>
      <c r="AH391" s="79">
        <v>0</v>
      </c>
      <c r="AI391" s="74">
        <v>0</v>
      </c>
      <c r="AJ391" s="75">
        <v>0</v>
      </c>
      <c r="AK391" s="75">
        <v>0</v>
      </c>
      <c r="AL391" s="80">
        <v>0</v>
      </c>
      <c r="AM391" s="74">
        <v>0</v>
      </c>
      <c r="AN391" s="74">
        <v>0</v>
      </c>
      <c r="AO391" s="81" t="s">
        <v>403</v>
      </c>
      <c r="AP391" s="82">
        <v>0</v>
      </c>
      <c r="AQ391" s="75">
        <v>0</v>
      </c>
      <c r="AR391" s="75">
        <v>0</v>
      </c>
      <c r="AS391" s="80">
        <v>0</v>
      </c>
      <c r="AT391" s="74">
        <v>0</v>
      </c>
      <c r="AU391" s="75">
        <v>0</v>
      </c>
      <c r="AV391" s="75">
        <v>0</v>
      </c>
      <c r="AW391" s="75">
        <v>0</v>
      </c>
      <c r="AX391" s="80">
        <v>0</v>
      </c>
      <c r="AY391" s="81" t="s">
        <v>403</v>
      </c>
      <c r="AZ391" s="83" t="s">
        <v>403</v>
      </c>
      <c r="BA391" s="80" t="s">
        <v>403</v>
      </c>
      <c r="BB391" s="84">
        <v>0</v>
      </c>
      <c r="BC391" s="85" t="s">
        <v>403</v>
      </c>
      <c r="BD391" s="86" t="s">
        <v>403</v>
      </c>
      <c r="BE391" s="84">
        <v>0</v>
      </c>
      <c r="BF391" s="87" t="s">
        <v>403</v>
      </c>
      <c r="BG391" s="88" t="s">
        <v>403</v>
      </c>
      <c r="BH391" s="89" t="s">
        <v>403</v>
      </c>
      <c r="BI391" s="90" t="s">
        <v>403</v>
      </c>
      <c r="BJ391" s="90" t="s">
        <v>403</v>
      </c>
      <c r="BK391" s="91">
        <v>0</v>
      </c>
      <c r="BL391" s="92">
        <v>0</v>
      </c>
      <c r="BM391" s="95">
        <v>0</v>
      </c>
      <c r="BN391" t="s">
        <v>402</v>
      </c>
      <c r="BO391">
        <v>0.85994999999999999</v>
      </c>
    </row>
    <row r="392" spans="1:67">
      <c r="A392" s="61" t="str">
        <f t="shared" si="6"/>
        <v>UK</v>
      </c>
      <c r="B392" s="62" t="s">
        <v>64</v>
      </c>
      <c r="C392" s="62" t="s">
        <v>176</v>
      </c>
      <c r="D392" s="63" t="s">
        <v>97</v>
      </c>
      <c r="E392" s="64">
        <v>43831</v>
      </c>
      <c r="F392" s="64">
        <v>43921</v>
      </c>
      <c r="G392" s="65">
        <v>43995</v>
      </c>
      <c r="H392" s="66" t="s">
        <v>132</v>
      </c>
      <c r="I392" s="67">
        <v>3</v>
      </c>
      <c r="J392" s="68">
        <v>2020</v>
      </c>
      <c r="K392" s="69">
        <v>1</v>
      </c>
      <c r="L392" s="70">
        <v>3</v>
      </c>
      <c r="M392" s="71" t="s">
        <v>140</v>
      </c>
      <c r="N392" s="71" t="s">
        <v>18</v>
      </c>
      <c r="O392" s="71" t="s">
        <v>114</v>
      </c>
      <c r="P392" s="71" t="s">
        <v>102</v>
      </c>
      <c r="Q392" s="61" t="s">
        <v>73</v>
      </c>
      <c r="R392" s="63" t="s">
        <v>165</v>
      </c>
      <c r="S392" s="72" t="s">
        <v>404</v>
      </c>
      <c r="T392" s="61" t="s">
        <v>405</v>
      </c>
      <c r="U392" s="73" t="s">
        <v>409</v>
      </c>
      <c r="V392" s="62">
        <v>106874</v>
      </c>
      <c r="W392" s="62" t="s">
        <v>407</v>
      </c>
      <c r="X392" s="62" t="s">
        <v>402</v>
      </c>
      <c r="Y392" s="93">
        <v>1</v>
      </c>
      <c r="Z392" s="94">
        <v>1</v>
      </c>
      <c r="AA392" s="74">
        <v>0</v>
      </c>
      <c r="AB392" s="75">
        <v>0</v>
      </c>
      <c r="AC392" s="75">
        <v>0</v>
      </c>
      <c r="AD392" s="76">
        <v>0</v>
      </c>
      <c r="AE392" s="77">
        <v>0</v>
      </c>
      <c r="AF392" s="75">
        <v>0</v>
      </c>
      <c r="AG392" s="78">
        <v>0</v>
      </c>
      <c r="AH392" s="79">
        <v>0</v>
      </c>
      <c r="AI392" s="74">
        <v>0</v>
      </c>
      <c r="AJ392" s="75">
        <v>0</v>
      </c>
      <c r="AK392" s="75">
        <v>0</v>
      </c>
      <c r="AL392" s="80">
        <v>0</v>
      </c>
      <c r="AM392" s="74">
        <v>0</v>
      </c>
      <c r="AN392" s="74">
        <v>0</v>
      </c>
      <c r="AO392" s="81" t="s">
        <v>403</v>
      </c>
      <c r="AP392" s="82">
        <v>0</v>
      </c>
      <c r="AQ392" s="75">
        <v>0</v>
      </c>
      <c r="AR392" s="75">
        <v>0</v>
      </c>
      <c r="AS392" s="80">
        <v>0</v>
      </c>
      <c r="AT392" s="74">
        <v>0</v>
      </c>
      <c r="AU392" s="75">
        <v>0</v>
      </c>
      <c r="AV392" s="75">
        <v>0</v>
      </c>
      <c r="AW392" s="75">
        <v>0</v>
      </c>
      <c r="AX392" s="80">
        <v>0</v>
      </c>
      <c r="AY392" s="81" t="s">
        <v>403</v>
      </c>
      <c r="AZ392" s="83" t="s">
        <v>403</v>
      </c>
      <c r="BA392" s="80" t="s">
        <v>403</v>
      </c>
      <c r="BB392" s="84">
        <v>0</v>
      </c>
      <c r="BC392" s="85" t="s">
        <v>403</v>
      </c>
      <c r="BD392" s="86" t="s">
        <v>403</v>
      </c>
      <c r="BE392" s="84">
        <v>0</v>
      </c>
      <c r="BF392" s="87" t="s">
        <v>403</v>
      </c>
      <c r="BG392" s="88" t="s">
        <v>403</v>
      </c>
      <c r="BH392" s="89" t="s">
        <v>403</v>
      </c>
      <c r="BI392" s="90" t="s">
        <v>403</v>
      </c>
      <c r="BJ392" s="90" t="s">
        <v>403</v>
      </c>
      <c r="BK392" s="91">
        <v>0</v>
      </c>
      <c r="BL392" s="92">
        <v>0</v>
      </c>
      <c r="BM392" s="95">
        <v>0</v>
      </c>
      <c r="BN392" t="s">
        <v>402</v>
      </c>
      <c r="BO392">
        <v>0.85994999999999999</v>
      </c>
    </row>
    <row r="393" spans="1:67">
      <c r="A393" s="61" t="str">
        <f t="shared" si="6"/>
        <v>UK</v>
      </c>
      <c r="B393" s="62" t="s">
        <v>64</v>
      </c>
      <c r="C393" s="62" t="s">
        <v>176</v>
      </c>
      <c r="D393" s="63" t="s">
        <v>97</v>
      </c>
      <c r="E393" s="64">
        <v>43831</v>
      </c>
      <c r="F393" s="64">
        <v>43921</v>
      </c>
      <c r="G393" s="65">
        <v>43995</v>
      </c>
      <c r="H393" s="66" t="s">
        <v>132</v>
      </c>
      <c r="I393" s="67">
        <v>3</v>
      </c>
      <c r="J393" s="68">
        <v>2020</v>
      </c>
      <c r="K393" s="69">
        <v>1</v>
      </c>
      <c r="L393" s="70">
        <v>3</v>
      </c>
      <c r="M393" s="71" t="s">
        <v>140</v>
      </c>
      <c r="N393" s="71" t="s">
        <v>18</v>
      </c>
      <c r="O393" s="71" t="s">
        <v>114</v>
      </c>
      <c r="P393" s="71" t="s">
        <v>102</v>
      </c>
      <c r="Q393" s="61" t="s">
        <v>73</v>
      </c>
      <c r="R393" s="63" t="s">
        <v>112</v>
      </c>
      <c r="S393" s="72" t="s">
        <v>404</v>
      </c>
      <c r="T393" s="61" t="s">
        <v>405</v>
      </c>
      <c r="U393" s="73" t="s">
        <v>410</v>
      </c>
      <c r="V393" s="62">
        <v>107594</v>
      </c>
      <c r="W393" s="62" t="s">
        <v>407</v>
      </c>
      <c r="X393" s="62" t="s">
        <v>402</v>
      </c>
      <c r="Y393" s="93">
        <v>1</v>
      </c>
      <c r="Z393" s="94">
        <v>1</v>
      </c>
      <c r="AA393" s="74">
        <v>0</v>
      </c>
      <c r="AB393" s="75">
        <v>0</v>
      </c>
      <c r="AC393" s="75">
        <v>0</v>
      </c>
      <c r="AD393" s="76">
        <v>0</v>
      </c>
      <c r="AE393" s="77">
        <v>0</v>
      </c>
      <c r="AF393" s="75">
        <v>0</v>
      </c>
      <c r="AG393" s="78">
        <v>0</v>
      </c>
      <c r="AH393" s="79">
        <v>0</v>
      </c>
      <c r="AI393" s="74">
        <v>0</v>
      </c>
      <c r="AJ393" s="75">
        <v>0</v>
      </c>
      <c r="AK393" s="75">
        <v>0</v>
      </c>
      <c r="AL393" s="80">
        <v>0</v>
      </c>
      <c r="AM393" s="74">
        <v>0</v>
      </c>
      <c r="AN393" s="74">
        <v>0</v>
      </c>
      <c r="AO393" s="81" t="s">
        <v>403</v>
      </c>
      <c r="AP393" s="82">
        <v>0</v>
      </c>
      <c r="AQ393" s="75">
        <v>0</v>
      </c>
      <c r="AR393" s="75">
        <v>0</v>
      </c>
      <c r="AS393" s="80">
        <v>0</v>
      </c>
      <c r="AT393" s="74">
        <v>0</v>
      </c>
      <c r="AU393" s="75">
        <v>0</v>
      </c>
      <c r="AV393" s="75">
        <v>0</v>
      </c>
      <c r="AW393" s="75">
        <v>0</v>
      </c>
      <c r="AX393" s="80">
        <v>0</v>
      </c>
      <c r="AY393" s="81" t="s">
        <v>403</v>
      </c>
      <c r="AZ393" s="83" t="s">
        <v>403</v>
      </c>
      <c r="BA393" s="80" t="s">
        <v>403</v>
      </c>
      <c r="BB393" s="84">
        <v>0</v>
      </c>
      <c r="BC393" s="85" t="s">
        <v>403</v>
      </c>
      <c r="BD393" s="86" t="s">
        <v>403</v>
      </c>
      <c r="BE393" s="84">
        <v>0</v>
      </c>
      <c r="BF393" s="87" t="s">
        <v>403</v>
      </c>
      <c r="BG393" s="88" t="s">
        <v>403</v>
      </c>
      <c r="BH393" s="89" t="s">
        <v>403</v>
      </c>
      <c r="BI393" s="90" t="s">
        <v>403</v>
      </c>
      <c r="BJ393" s="90" t="s">
        <v>403</v>
      </c>
      <c r="BK393" s="91">
        <v>0</v>
      </c>
      <c r="BL393" s="92">
        <v>0</v>
      </c>
      <c r="BM393" s="95">
        <v>0</v>
      </c>
      <c r="BN393" t="s">
        <v>402</v>
      </c>
      <c r="BO393">
        <v>0.85994999999999999</v>
      </c>
    </row>
    <row r="394" spans="1:67">
      <c r="A394" s="61" t="str">
        <f t="shared" si="6"/>
        <v>UK</v>
      </c>
      <c r="B394" s="62" t="s">
        <v>64</v>
      </c>
      <c r="C394" s="62" t="s">
        <v>176</v>
      </c>
      <c r="D394" s="63" t="s">
        <v>97</v>
      </c>
      <c r="E394" s="64">
        <v>43831</v>
      </c>
      <c r="F394" s="64">
        <v>43921</v>
      </c>
      <c r="G394" s="65">
        <v>43995</v>
      </c>
      <c r="H394" s="66" t="s">
        <v>132</v>
      </c>
      <c r="I394" s="67">
        <v>3</v>
      </c>
      <c r="J394" s="68">
        <v>2020</v>
      </c>
      <c r="K394" s="69">
        <v>1</v>
      </c>
      <c r="L394" s="70">
        <v>3</v>
      </c>
      <c r="M394" s="71" t="s">
        <v>140</v>
      </c>
      <c r="N394" s="71" t="s">
        <v>18</v>
      </c>
      <c r="O394" s="71" t="s">
        <v>114</v>
      </c>
      <c r="P394" s="71" t="s">
        <v>102</v>
      </c>
      <c r="Q394" s="61" t="s">
        <v>73</v>
      </c>
      <c r="R394" s="63" t="s">
        <v>106</v>
      </c>
      <c r="S394" s="72" t="s">
        <v>404</v>
      </c>
      <c r="T394" s="61" t="s">
        <v>405</v>
      </c>
      <c r="U394" s="73" t="s">
        <v>411</v>
      </c>
      <c r="V394" s="62">
        <v>107598</v>
      </c>
      <c r="W394" s="62" t="s">
        <v>407</v>
      </c>
      <c r="X394" s="62" t="s">
        <v>402</v>
      </c>
      <c r="Y394" s="93">
        <v>1</v>
      </c>
      <c r="Z394" s="94">
        <v>1</v>
      </c>
      <c r="AA394" s="74">
        <v>0</v>
      </c>
      <c r="AB394" s="75">
        <v>0</v>
      </c>
      <c r="AC394" s="75">
        <v>0</v>
      </c>
      <c r="AD394" s="76">
        <v>0</v>
      </c>
      <c r="AE394" s="77">
        <v>0</v>
      </c>
      <c r="AF394" s="75">
        <v>0</v>
      </c>
      <c r="AG394" s="78">
        <v>0</v>
      </c>
      <c r="AH394" s="79">
        <v>0</v>
      </c>
      <c r="AI394" s="74">
        <v>0</v>
      </c>
      <c r="AJ394" s="75">
        <v>0</v>
      </c>
      <c r="AK394" s="75">
        <v>0</v>
      </c>
      <c r="AL394" s="80">
        <v>0</v>
      </c>
      <c r="AM394" s="74">
        <v>0</v>
      </c>
      <c r="AN394" s="74">
        <v>0</v>
      </c>
      <c r="AO394" s="81" t="s">
        <v>403</v>
      </c>
      <c r="AP394" s="82">
        <v>0</v>
      </c>
      <c r="AQ394" s="75">
        <v>0</v>
      </c>
      <c r="AR394" s="75">
        <v>0</v>
      </c>
      <c r="AS394" s="80">
        <v>0</v>
      </c>
      <c r="AT394" s="74">
        <v>0</v>
      </c>
      <c r="AU394" s="75">
        <v>0</v>
      </c>
      <c r="AV394" s="75">
        <v>0</v>
      </c>
      <c r="AW394" s="75">
        <v>0</v>
      </c>
      <c r="AX394" s="80">
        <v>0</v>
      </c>
      <c r="AY394" s="81" t="s">
        <v>403</v>
      </c>
      <c r="AZ394" s="83" t="s">
        <v>403</v>
      </c>
      <c r="BA394" s="80" t="s">
        <v>403</v>
      </c>
      <c r="BB394" s="84">
        <v>0</v>
      </c>
      <c r="BC394" s="85" t="s">
        <v>403</v>
      </c>
      <c r="BD394" s="86" t="s">
        <v>403</v>
      </c>
      <c r="BE394" s="84">
        <v>0</v>
      </c>
      <c r="BF394" s="87" t="s">
        <v>403</v>
      </c>
      <c r="BG394" s="88" t="s">
        <v>403</v>
      </c>
      <c r="BH394" s="89" t="s">
        <v>403</v>
      </c>
      <c r="BI394" s="90" t="s">
        <v>403</v>
      </c>
      <c r="BJ394" s="90" t="s">
        <v>403</v>
      </c>
      <c r="BK394" s="91">
        <v>0</v>
      </c>
      <c r="BL394" s="92">
        <v>0</v>
      </c>
      <c r="BM394" s="95">
        <v>0</v>
      </c>
      <c r="BN394" t="s">
        <v>402</v>
      </c>
      <c r="BO394">
        <v>0.85994999999999999</v>
      </c>
    </row>
    <row r="395" spans="1:67">
      <c r="A395" s="61" t="str">
        <f t="shared" si="6"/>
        <v>UK</v>
      </c>
      <c r="B395" s="62" t="s">
        <v>64</v>
      </c>
      <c r="C395" s="62" t="s">
        <v>176</v>
      </c>
      <c r="D395" s="63" t="s">
        <v>97</v>
      </c>
      <c r="E395" s="64">
        <v>43831</v>
      </c>
      <c r="F395" s="64">
        <v>43921</v>
      </c>
      <c r="G395" s="65">
        <v>43995</v>
      </c>
      <c r="H395" s="66" t="s">
        <v>132</v>
      </c>
      <c r="I395" s="67">
        <v>3</v>
      </c>
      <c r="J395" s="68">
        <v>2020</v>
      </c>
      <c r="K395" s="69">
        <v>1</v>
      </c>
      <c r="L395" s="70">
        <v>3</v>
      </c>
      <c r="M395" s="71" t="s">
        <v>140</v>
      </c>
      <c r="N395" s="71" t="s">
        <v>18</v>
      </c>
      <c r="O395" s="71" t="s">
        <v>114</v>
      </c>
      <c r="P395" s="71" t="s">
        <v>102</v>
      </c>
      <c r="Q395" s="61" t="s">
        <v>73</v>
      </c>
      <c r="R395" s="63" t="s">
        <v>106</v>
      </c>
      <c r="S395" s="72" t="s">
        <v>404</v>
      </c>
      <c r="T395" s="61" t="s">
        <v>405</v>
      </c>
      <c r="U395" s="73" t="s">
        <v>412</v>
      </c>
      <c r="V395" s="62">
        <v>107597</v>
      </c>
      <c r="W395" s="62" t="s">
        <v>407</v>
      </c>
      <c r="X395" s="62" t="s">
        <v>402</v>
      </c>
      <c r="Y395" s="93">
        <v>1</v>
      </c>
      <c r="Z395" s="94">
        <v>1</v>
      </c>
      <c r="AA395" s="74">
        <v>0</v>
      </c>
      <c r="AB395" s="75">
        <v>0</v>
      </c>
      <c r="AC395" s="75">
        <v>0</v>
      </c>
      <c r="AD395" s="76">
        <v>0</v>
      </c>
      <c r="AE395" s="77">
        <v>0</v>
      </c>
      <c r="AF395" s="75">
        <v>0</v>
      </c>
      <c r="AG395" s="78">
        <v>0</v>
      </c>
      <c r="AH395" s="79">
        <v>0</v>
      </c>
      <c r="AI395" s="74">
        <v>0</v>
      </c>
      <c r="AJ395" s="75">
        <v>0</v>
      </c>
      <c r="AK395" s="75">
        <v>0</v>
      </c>
      <c r="AL395" s="80">
        <v>0</v>
      </c>
      <c r="AM395" s="74">
        <v>0</v>
      </c>
      <c r="AN395" s="74">
        <v>0</v>
      </c>
      <c r="AO395" s="81" t="s">
        <v>403</v>
      </c>
      <c r="AP395" s="82">
        <v>0</v>
      </c>
      <c r="AQ395" s="75">
        <v>0</v>
      </c>
      <c r="AR395" s="75">
        <v>0</v>
      </c>
      <c r="AS395" s="80">
        <v>0</v>
      </c>
      <c r="AT395" s="74">
        <v>0</v>
      </c>
      <c r="AU395" s="75">
        <v>0</v>
      </c>
      <c r="AV395" s="75">
        <v>0</v>
      </c>
      <c r="AW395" s="75">
        <v>0</v>
      </c>
      <c r="AX395" s="80">
        <v>0</v>
      </c>
      <c r="AY395" s="81" t="s">
        <v>403</v>
      </c>
      <c r="AZ395" s="83" t="s">
        <v>403</v>
      </c>
      <c r="BA395" s="80" t="s">
        <v>403</v>
      </c>
      <c r="BB395" s="84">
        <v>0</v>
      </c>
      <c r="BC395" s="85" t="s">
        <v>403</v>
      </c>
      <c r="BD395" s="86" t="s">
        <v>403</v>
      </c>
      <c r="BE395" s="84">
        <v>0</v>
      </c>
      <c r="BF395" s="87" t="s">
        <v>403</v>
      </c>
      <c r="BG395" s="88" t="s">
        <v>403</v>
      </c>
      <c r="BH395" s="89" t="s">
        <v>403</v>
      </c>
      <c r="BI395" s="90" t="s">
        <v>403</v>
      </c>
      <c r="BJ395" s="90" t="s">
        <v>403</v>
      </c>
      <c r="BK395" s="91">
        <v>0</v>
      </c>
      <c r="BL395" s="92">
        <v>0</v>
      </c>
      <c r="BM395" s="95">
        <v>0</v>
      </c>
      <c r="BN395" t="s">
        <v>402</v>
      </c>
      <c r="BO395">
        <v>0.85994999999999999</v>
      </c>
    </row>
    <row r="396" spans="1:67">
      <c r="A396" s="61" t="str">
        <f t="shared" si="6"/>
        <v>UK</v>
      </c>
      <c r="B396" s="62" t="s">
        <v>64</v>
      </c>
      <c r="C396" s="62" t="s">
        <v>176</v>
      </c>
      <c r="D396" s="63" t="s">
        <v>97</v>
      </c>
      <c r="E396" s="64">
        <v>43831</v>
      </c>
      <c r="F396" s="64">
        <v>43921</v>
      </c>
      <c r="G396" s="65">
        <v>43995</v>
      </c>
      <c r="H396" s="66" t="s">
        <v>132</v>
      </c>
      <c r="I396" s="67">
        <v>3</v>
      </c>
      <c r="J396" s="68">
        <v>2020</v>
      </c>
      <c r="K396" s="69">
        <v>1</v>
      </c>
      <c r="L396" s="70">
        <v>3</v>
      </c>
      <c r="M396" s="71" t="s">
        <v>140</v>
      </c>
      <c r="N396" s="71" t="s">
        <v>18</v>
      </c>
      <c r="O396" s="71" t="s">
        <v>114</v>
      </c>
      <c r="P396" s="71" t="s">
        <v>102</v>
      </c>
      <c r="Q396" s="61" t="s">
        <v>73</v>
      </c>
      <c r="R396" s="63" t="s">
        <v>165</v>
      </c>
      <c r="S396" s="72" t="s">
        <v>404</v>
      </c>
      <c r="T396" s="61" t="s">
        <v>405</v>
      </c>
      <c r="U396" s="73" t="s">
        <v>413</v>
      </c>
      <c r="V396" s="62">
        <v>106875</v>
      </c>
      <c r="W396" s="62" t="s">
        <v>407</v>
      </c>
      <c r="X396" s="62" t="s">
        <v>402</v>
      </c>
      <c r="Y396" s="93">
        <v>1</v>
      </c>
      <c r="Z396" s="94">
        <v>1</v>
      </c>
      <c r="AA396" s="74">
        <v>0</v>
      </c>
      <c r="AB396" s="75">
        <v>0</v>
      </c>
      <c r="AC396" s="75">
        <v>0</v>
      </c>
      <c r="AD396" s="76">
        <v>0</v>
      </c>
      <c r="AE396" s="77">
        <v>0</v>
      </c>
      <c r="AF396" s="75">
        <v>0</v>
      </c>
      <c r="AG396" s="78">
        <v>0</v>
      </c>
      <c r="AH396" s="79">
        <v>0</v>
      </c>
      <c r="AI396" s="74">
        <v>0</v>
      </c>
      <c r="AJ396" s="75">
        <v>0</v>
      </c>
      <c r="AK396" s="75">
        <v>0</v>
      </c>
      <c r="AL396" s="80">
        <v>0</v>
      </c>
      <c r="AM396" s="74">
        <v>0</v>
      </c>
      <c r="AN396" s="74">
        <v>0</v>
      </c>
      <c r="AO396" s="81" t="s">
        <v>403</v>
      </c>
      <c r="AP396" s="82">
        <v>0</v>
      </c>
      <c r="AQ396" s="75">
        <v>0</v>
      </c>
      <c r="AR396" s="75">
        <v>0</v>
      </c>
      <c r="AS396" s="80">
        <v>0</v>
      </c>
      <c r="AT396" s="74">
        <v>0</v>
      </c>
      <c r="AU396" s="75">
        <v>0</v>
      </c>
      <c r="AV396" s="75">
        <v>0</v>
      </c>
      <c r="AW396" s="75">
        <v>0</v>
      </c>
      <c r="AX396" s="80">
        <v>0</v>
      </c>
      <c r="AY396" s="81" t="s">
        <v>403</v>
      </c>
      <c r="AZ396" s="83" t="s">
        <v>403</v>
      </c>
      <c r="BA396" s="80" t="s">
        <v>403</v>
      </c>
      <c r="BB396" s="84">
        <v>0</v>
      </c>
      <c r="BC396" s="85" t="s">
        <v>403</v>
      </c>
      <c r="BD396" s="86" t="s">
        <v>403</v>
      </c>
      <c r="BE396" s="84">
        <v>0</v>
      </c>
      <c r="BF396" s="87" t="s">
        <v>403</v>
      </c>
      <c r="BG396" s="88" t="s">
        <v>403</v>
      </c>
      <c r="BH396" s="89" t="s">
        <v>403</v>
      </c>
      <c r="BI396" s="90" t="s">
        <v>403</v>
      </c>
      <c r="BJ396" s="90" t="s">
        <v>403</v>
      </c>
      <c r="BK396" s="91">
        <v>0</v>
      </c>
      <c r="BL396" s="92">
        <v>0</v>
      </c>
      <c r="BM396" s="95">
        <v>0</v>
      </c>
      <c r="BN396" t="s">
        <v>402</v>
      </c>
      <c r="BO396">
        <v>0.85994999999999999</v>
      </c>
    </row>
    <row r="397" spans="1:67">
      <c r="A397" s="61" t="str">
        <f t="shared" si="6"/>
        <v>UK</v>
      </c>
      <c r="B397" s="62" t="s">
        <v>64</v>
      </c>
      <c r="C397" s="62" t="s">
        <v>176</v>
      </c>
      <c r="D397" s="63" t="s">
        <v>97</v>
      </c>
      <c r="E397" s="64">
        <v>43831</v>
      </c>
      <c r="F397" s="64">
        <v>43921</v>
      </c>
      <c r="G397" s="65">
        <v>43995</v>
      </c>
      <c r="H397" s="66" t="s">
        <v>132</v>
      </c>
      <c r="I397" s="67">
        <v>3</v>
      </c>
      <c r="J397" s="68">
        <v>2020</v>
      </c>
      <c r="K397" s="69">
        <v>1</v>
      </c>
      <c r="L397" s="70">
        <v>3</v>
      </c>
      <c r="M397" s="71" t="s">
        <v>140</v>
      </c>
      <c r="N397" s="71" t="s">
        <v>18</v>
      </c>
      <c r="O397" s="71" t="s">
        <v>114</v>
      </c>
      <c r="P397" s="71" t="s">
        <v>102</v>
      </c>
      <c r="Q397" s="61" t="s">
        <v>73</v>
      </c>
      <c r="R397" s="63" t="s">
        <v>112</v>
      </c>
      <c r="S397" s="72" t="s">
        <v>404</v>
      </c>
      <c r="T397" s="61" t="s">
        <v>405</v>
      </c>
      <c r="U397" s="73" t="s">
        <v>414</v>
      </c>
      <c r="V397" s="62">
        <v>107600</v>
      </c>
      <c r="W397" s="62" t="s">
        <v>407</v>
      </c>
      <c r="X397" s="62" t="s">
        <v>402</v>
      </c>
      <c r="Y397" s="93">
        <v>1</v>
      </c>
      <c r="Z397" s="94">
        <v>1</v>
      </c>
      <c r="AA397" s="74">
        <v>0</v>
      </c>
      <c r="AB397" s="75">
        <v>0</v>
      </c>
      <c r="AC397" s="75">
        <v>0</v>
      </c>
      <c r="AD397" s="76">
        <v>0</v>
      </c>
      <c r="AE397" s="77">
        <v>0</v>
      </c>
      <c r="AF397" s="75">
        <v>0</v>
      </c>
      <c r="AG397" s="78">
        <v>0</v>
      </c>
      <c r="AH397" s="79">
        <v>0</v>
      </c>
      <c r="AI397" s="74">
        <v>0</v>
      </c>
      <c r="AJ397" s="75">
        <v>0</v>
      </c>
      <c r="AK397" s="75">
        <v>0</v>
      </c>
      <c r="AL397" s="80">
        <v>0</v>
      </c>
      <c r="AM397" s="74">
        <v>0</v>
      </c>
      <c r="AN397" s="74">
        <v>0</v>
      </c>
      <c r="AO397" s="81" t="s">
        <v>403</v>
      </c>
      <c r="AP397" s="82">
        <v>0</v>
      </c>
      <c r="AQ397" s="75">
        <v>0</v>
      </c>
      <c r="AR397" s="75">
        <v>0</v>
      </c>
      <c r="AS397" s="80">
        <v>0</v>
      </c>
      <c r="AT397" s="74">
        <v>0</v>
      </c>
      <c r="AU397" s="75">
        <v>0</v>
      </c>
      <c r="AV397" s="75">
        <v>0</v>
      </c>
      <c r="AW397" s="75">
        <v>0</v>
      </c>
      <c r="AX397" s="80">
        <v>0</v>
      </c>
      <c r="AY397" s="81" t="s">
        <v>403</v>
      </c>
      <c r="AZ397" s="83" t="s">
        <v>403</v>
      </c>
      <c r="BA397" s="80" t="s">
        <v>403</v>
      </c>
      <c r="BB397" s="84">
        <v>0</v>
      </c>
      <c r="BC397" s="85" t="s">
        <v>403</v>
      </c>
      <c r="BD397" s="86" t="s">
        <v>403</v>
      </c>
      <c r="BE397" s="84">
        <v>0</v>
      </c>
      <c r="BF397" s="87" t="s">
        <v>403</v>
      </c>
      <c r="BG397" s="88" t="s">
        <v>403</v>
      </c>
      <c r="BH397" s="89" t="s">
        <v>403</v>
      </c>
      <c r="BI397" s="90" t="s">
        <v>403</v>
      </c>
      <c r="BJ397" s="90" t="s">
        <v>403</v>
      </c>
      <c r="BK397" s="91">
        <v>0</v>
      </c>
      <c r="BL397" s="92">
        <v>0</v>
      </c>
      <c r="BM397" s="95">
        <v>0</v>
      </c>
      <c r="BN397" t="s">
        <v>402</v>
      </c>
      <c r="BO397">
        <v>0.85994999999999999</v>
      </c>
    </row>
    <row r="398" spans="1:67">
      <c r="A398" s="61" t="str">
        <f t="shared" si="6"/>
        <v>UK</v>
      </c>
      <c r="B398" s="62" t="s">
        <v>64</v>
      </c>
      <c r="C398" s="62" t="s">
        <v>176</v>
      </c>
      <c r="D398" s="63" t="s">
        <v>97</v>
      </c>
      <c r="E398" s="64">
        <v>43831</v>
      </c>
      <c r="F398" s="64">
        <v>43921</v>
      </c>
      <c r="G398" s="65">
        <v>43995</v>
      </c>
      <c r="H398" s="66" t="s">
        <v>132</v>
      </c>
      <c r="I398" s="67">
        <v>3</v>
      </c>
      <c r="J398" s="68">
        <v>2020</v>
      </c>
      <c r="K398" s="69">
        <v>1</v>
      </c>
      <c r="L398" s="70">
        <v>3</v>
      </c>
      <c r="M398" s="71" t="s">
        <v>140</v>
      </c>
      <c r="N398" s="71" t="s">
        <v>18</v>
      </c>
      <c r="O398" s="71" t="s">
        <v>114</v>
      </c>
      <c r="P398" s="71" t="s">
        <v>102</v>
      </c>
      <c r="Q398" s="61" t="s">
        <v>17</v>
      </c>
      <c r="R398" s="63" t="s">
        <v>106</v>
      </c>
      <c r="S398" s="72" t="s">
        <v>415</v>
      </c>
      <c r="T398" s="61" t="s">
        <v>416</v>
      </c>
      <c r="U398" s="73" t="s">
        <v>417</v>
      </c>
      <c r="V398" s="62">
        <v>107580</v>
      </c>
      <c r="W398" s="62" t="s">
        <v>418</v>
      </c>
      <c r="X398" s="62" t="s">
        <v>402</v>
      </c>
      <c r="Y398" s="93">
        <v>1</v>
      </c>
      <c r="Z398" s="94">
        <v>1</v>
      </c>
      <c r="AA398" s="74">
        <v>21</v>
      </c>
      <c r="AB398" s="75">
        <v>30</v>
      </c>
      <c r="AC398" s="75">
        <v>1173.1883616489331</v>
      </c>
      <c r="AD398" s="76">
        <v>1407.8260339554624</v>
      </c>
      <c r="AE398" s="77">
        <v>18.818145362999999</v>
      </c>
      <c r="AF398" s="75">
        <v>25.250695489000002</v>
      </c>
      <c r="AG398" s="78">
        <v>910.96381166346885</v>
      </c>
      <c r="AH398" s="79">
        <v>1093.1565739984883</v>
      </c>
      <c r="AI398" s="74">
        <v>318.83733407756267</v>
      </c>
      <c r="AJ398" s="75">
        <v>0</v>
      </c>
      <c r="AK398" s="75">
        <v>0</v>
      </c>
      <c r="AL398" s="80">
        <v>318.83733407756267</v>
      </c>
      <c r="AM398" s="74">
        <v>1</v>
      </c>
      <c r="AN398" s="74">
        <v>0</v>
      </c>
      <c r="AO398" s="81">
        <v>0</v>
      </c>
      <c r="AP398" s="82">
        <v>3</v>
      </c>
      <c r="AQ398" s="75">
        <v>50.584336298622013</v>
      </c>
      <c r="AR398" s="75">
        <v>50.584336298622013</v>
      </c>
      <c r="AS398" s="80">
        <v>101.16867259724403</v>
      </c>
      <c r="AT398" s="74">
        <v>30.198450356416071</v>
      </c>
      <c r="AU398" s="75">
        <v>27.420010730856447</v>
      </c>
      <c r="AV398" s="75">
        <v>58.620521280306995</v>
      </c>
      <c r="AW398" s="75">
        <v>27.652306502703649</v>
      </c>
      <c r="AX398" s="80">
        <v>143.89128887028318</v>
      </c>
      <c r="AY398" s="81">
        <v>0.11880860870968463</v>
      </c>
      <c r="AZ398" s="83">
        <v>33.722890865748006</v>
      </c>
      <c r="BA398" s="80">
        <v>4.0065697454280524</v>
      </c>
      <c r="BB398" s="84">
        <v>405.68703739868596</v>
      </c>
      <c r="BC398" s="85">
        <v>6.9205634569301013</v>
      </c>
      <c r="BD398" s="86">
        <v>0.44533825845164982</v>
      </c>
      <c r="BE398" s="84">
        <v>433.33934390138961</v>
      </c>
      <c r="BF398" s="87">
        <v>5.0228948677943457</v>
      </c>
      <c r="BG398" s="88">
        <v>0.47569325845127558</v>
      </c>
      <c r="BH398" s="89">
        <v>0.11105674155431552</v>
      </c>
      <c r="BI398" s="90">
        <v>0.34999999999489395</v>
      </c>
      <c r="BJ398" s="90">
        <v>0.15795499999888027</v>
      </c>
      <c r="BK398" s="91">
        <v>0.6190117415480898</v>
      </c>
      <c r="BL398" s="92">
        <v>347.0665161183789</v>
      </c>
      <c r="BM398" s="95">
        <v>0</v>
      </c>
      <c r="BN398" t="s">
        <v>402</v>
      </c>
      <c r="BO398">
        <v>0.85994999999999999</v>
      </c>
    </row>
    <row r="399" spans="1:67">
      <c r="A399" s="61" t="str">
        <f t="shared" si="6"/>
        <v>UK</v>
      </c>
      <c r="B399" s="62" t="s">
        <v>64</v>
      </c>
      <c r="C399" s="62" t="s">
        <v>176</v>
      </c>
      <c r="D399" s="63" t="s">
        <v>97</v>
      </c>
      <c r="E399" s="64">
        <v>43831</v>
      </c>
      <c r="F399" s="64">
        <v>43921</v>
      </c>
      <c r="G399" s="65">
        <v>43995</v>
      </c>
      <c r="H399" s="66" t="s">
        <v>132</v>
      </c>
      <c r="I399" s="67">
        <v>3</v>
      </c>
      <c r="J399" s="68">
        <v>2020</v>
      </c>
      <c r="K399" s="69">
        <v>1</v>
      </c>
      <c r="L399" s="70">
        <v>3</v>
      </c>
      <c r="M399" s="71" t="s">
        <v>140</v>
      </c>
      <c r="N399" s="71" t="s">
        <v>18</v>
      </c>
      <c r="O399" s="71" t="s">
        <v>114</v>
      </c>
      <c r="P399" s="71" t="s">
        <v>102</v>
      </c>
      <c r="Q399" s="61" t="s">
        <v>17</v>
      </c>
      <c r="R399" s="63" t="s">
        <v>106</v>
      </c>
      <c r="S399" s="72" t="s">
        <v>415</v>
      </c>
      <c r="T399" s="61" t="s">
        <v>416</v>
      </c>
      <c r="U399" s="73" t="s">
        <v>419</v>
      </c>
      <c r="V399" s="62">
        <v>107354</v>
      </c>
      <c r="W399" s="62" t="s">
        <v>418</v>
      </c>
      <c r="X399" s="62" t="s">
        <v>402</v>
      </c>
      <c r="Y399" s="93">
        <v>1</v>
      </c>
      <c r="Z399" s="94">
        <v>1</v>
      </c>
      <c r="AA399" s="74">
        <v>0</v>
      </c>
      <c r="AB399" s="75">
        <v>0</v>
      </c>
      <c r="AC399" s="75">
        <v>0</v>
      </c>
      <c r="AD399" s="76">
        <v>0</v>
      </c>
      <c r="AE399" s="77">
        <v>0.63965517240000003</v>
      </c>
      <c r="AF399" s="75">
        <v>0.63965517240000003</v>
      </c>
      <c r="AG399" s="78">
        <v>52.266337134717141</v>
      </c>
      <c r="AH399" s="79">
        <v>62.719604561893135</v>
      </c>
      <c r="AI399" s="74">
        <v>18.293217997557996</v>
      </c>
      <c r="AJ399" s="75">
        <v>0</v>
      </c>
      <c r="AK399" s="75">
        <v>0</v>
      </c>
      <c r="AL399" s="80">
        <v>18.293217997557996</v>
      </c>
      <c r="AM399" s="74">
        <v>0</v>
      </c>
      <c r="AN399" s="74">
        <v>0</v>
      </c>
      <c r="AO399" s="81" t="s">
        <v>403</v>
      </c>
      <c r="AP399" s="82">
        <v>0</v>
      </c>
      <c r="AQ399" s="75">
        <v>0</v>
      </c>
      <c r="AR399" s="75">
        <v>0</v>
      </c>
      <c r="AS399" s="80">
        <v>0</v>
      </c>
      <c r="AT399" s="74">
        <v>1.7326290759927903</v>
      </c>
      <c r="AU399" s="75">
        <v>1.5732167477178907</v>
      </c>
      <c r="AV399" s="75">
        <v>3.3633387945810802</v>
      </c>
      <c r="AW399" s="75">
        <v>1.5865446637595211</v>
      </c>
      <c r="AX399" s="80">
        <v>8.2557292820512806</v>
      </c>
      <c r="AY399" s="81">
        <v>0</v>
      </c>
      <c r="AZ399" s="83" t="s">
        <v>403</v>
      </c>
      <c r="BA399" s="80" t="s">
        <v>403</v>
      </c>
      <c r="BB399" s="84">
        <v>29.080728649688943</v>
      </c>
      <c r="BC399" s="85">
        <v>8.6463869463709759</v>
      </c>
      <c r="BD399" s="86">
        <v>0.55639499999269126</v>
      </c>
      <c r="BE399" s="84">
        <v>30.667273313448465</v>
      </c>
      <c r="BF399" s="87">
        <v>6.1955546169019025</v>
      </c>
      <c r="BG399" s="88">
        <v>0.58674999999336441</v>
      </c>
      <c r="BH399" s="89">
        <v>0</v>
      </c>
      <c r="BI399" s="90">
        <v>0.35000000000778697</v>
      </c>
      <c r="BJ399" s="90">
        <v>0.15795499999879531</v>
      </c>
      <c r="BK399" s="91">
        <v>0.50795500000658222</v>
      </c>
      <c r="BL399" s="92">
        <v>25.717389855107864</v>
      </c>
      <c r="BM399" s="95">
        <v>0</v>
      </c>
      <c r="BN399" t="s">
        <v>402</v>
      </c>
      <c r="BO399">
        <v>0.85994999999999999</v>
      </c>
    </row>
    <row r="400" spans="1:67">
      <c r="A400" s="61" t="str">
        <f t="shared" si="6"/>
        <v>UK</v>
      </c>
      <c r="B400" s="62" t="s">
        <v>64</v>
      </c>
      <c r="C400" s="62" t="s">
        <v>176</v>
      </c>
      <c r="D400" s="63" t="s">
        <v>97</v>
      </c>
      <c r="E400" s="64">
        <v>43831</v>
      </c>
      <c r="F400" s="64">
        <v>43921</v>
      </c>
      <c r="G400" s="65">
        <v>43995</v>
      </c>
      <c r="H400" s="66" t="s">
        <v>132</v>
      </c>
      <c r="I400" s="67">
        <v>3</v>
      </c>
      <c r="J400" s="68">
        <v>2020</v>
      </c>
      <c r="K400" s="69">
        <v>1</v>
      </c>
      <c r="L400" s="70">
        <v>3</v>
      </c>
      <c r="M400" s="71" t="s">
        <v>140</v>
      </c>
      <c r="N400" s="71" t="s">
        <v>18</v>
      </c>
      <c r="O400" s="71" t="s">
        <v>114</v>
      </c>
      <c r="P400" s="71" t="s">
        <v>102</v>
      </c>
      <c r="Q400" s="61" t="s">
        <v>17</v>
      </c>
      <c r="R400" s="63" t="s">
        <v>106</v>
      </c>
      <c r="S400" s="72" t="s">
        <v>415</v>
      </c>
      <c r="T400" s="61" t="s">
        <v>416</v>
      </c>
      <c r="U400" s="73" t="s">
        <v>420</v>
      </c>
      <c r="V400" s="62">
        <v>107581</v>
      </c>
      <c r="W400" s="62" t="s">
        <v>418</v>
      </c>
      <c r="X400" s="62" t="s">
        <v>402</v>
      </c>
      <c r="Y400" s="93">
        <v>1</v>
      </c>
      <c r="Z400" s="94">
        <v>1</v>
      </c>
      <c r="AA400" s="74">
        <v>32</v>
      </c>
      <c r="AB400" s="75">
        <v>46</v>
      </c>
      <c r="AC400" s="75">
        <v>1930.3254097331242</v>
      </c>
      <c r="AD400" s="76">
        <v>2316.3904917727773</v>
      </c>
      <c r="AE400" s="77">
        <v>34.355848192000003</v>
      </c>
      <c r="AF400" s="75">
        <v>47.876437027999998</v>
      </c>
      <c r="AG400" s="78">
        <v>2039.7316013721729</v>
      </c>
      <c r="AH400" s="79">
        <v>2447.6779216233504</v>
      </c>
      <c r="AI400" s="74">
        <v>713.90606045700338</v>
      </c>
      <c r="AJ400" s="75">
        <v>0</v>
      </c>
      <c r="AK400" s="75">
        <v>0</v>
      </c>
      <c r="AL400" s="80">
        <v>713.90606045700338</v>
      </c>
      <c r="AM400" s="74">
        <v>1</v>
      </c>
      <c r="AN400" s="74">
        <v>0</v>
      </c>
      <c r="AO400" s="81">
        <v>0</v>
      </c>
      <c r="AP400" s="82">
        <v>3</v>
      </c>
      <c r="AQ400" s="75">
        <v>683.41184046746901</v>
      </c>
      <c r="AR400" s="75">
        <v>683.41184046746901</v>
      </c>
      <c r="AS400" s="80">
        <v>1366.823680934938</v>
      </c>
      <c r="AT400" s="74">
        <v>67.617102583871159</v>
      </c>
      <c r="AU400" s="75">
        <v>61.395921200069772</v>
      </c>
      <c r="AV400" s="75">
        <v>131.25672854235711</v>
      </c>
      <c r="AW400" s="75">
        <v>61.916052757718475</v>
      </c>
      <c r="AX400" s="80">
        <v>322.18580508401652</v>
      </c>
      <c r="AY400" s="81">
        <v>6.2661304521167346E-2</v>
      </c>
      <c r="AZ400" s="83">
        <v>455.60789364497936</v>
      </c>
      <c r="BA400" s="80">
        <v>28.548984965935677</v>
      </c>
      <c r="BB400" s="84">
        <v>-231.92721656142749</v>
      </c>
      <c r="BC400" s="85">
        <v>-1.7669739230669883</v>
      </c>
      <c r="BD400" s="86">
        <v>-0.11370477194421309</v>
      </c>
      <c r="BE400" s="84">
        <v>-170.01116380370922</v>
      </c>
      <c r="BF400" s="87">
        <v>-0.88009895938503369</v>
      </c>
      <c r="BG400" s="88">
        <v>-8.3349771945161272E-2</v>
      </c>
      <c r="BH400" s="89">
        <v>0.67009977195796022</v>
      </c>
      <c r="BI400" s="90">
        <v>0.34999999998859793</v>
      </c>
      <c r="BJ400" s="90">
        <v>0.15795499999474194</v>
      </c>
      <c r="BK400" s="91">
        <v>1.1780547719413001</v>
      </c>
      <c r="BL400" s="92">
        <v>-363.18394510378494</v>
      </c>
      <c r="BM400" s="95">
        <v>0</v>
      </c>
      <c r="BN400" t="s">
        <v>402</v>
      </c>
      <c r="BO400">
        <v>0.85994999999999999</v>
      </c>
    </row>
    <row r="401" spans="1:67">
      <c r="A401" s="61" t="str">
        <f t="shared" si="6"/>
        <v>UK</v>
      </c>
      <c r="B401" s="62" t="s">
        <v>64</v>
      </c>
      <c r="C401" s="62" t="s">
        <v>176</v>
      </c>
      <c r="D401" s="63" t="s">
        <v>97</v>
      </c>
      <c r="E401" s="64">
        <v>43831</v>
      </c>
      <c r="F401" s="64">
        <v>43921</v>
      </c>
      <c r="G401" s="65">
        <v>43995</v>
      </c>
      <c r="H401" s="66" t="s">
        <v>132</v>
      </c>
      <c r="I401" s="67">
        <v>3</v>
      </c>
      <c r="J401" s="68">
        <v>2020</v>
      </c>
      <c r="K401" s="69">
        <v>1</v>
      </c>
      <c r="L401" s="70">
        <v>3</v>
      </c>
      <c r="M401" s="71" t="s">
        <v>140</v>
      </c>
      <c r="N401" s="71" t="s">
        <v>18</v>
      </c>
      <c r="O401" s="71" t="s">
        <v>114</v>
      </c>
      <c r="P401" s="71" t="s">
        <v>102</v>
      </c>
      <c r="Q401" s="61" t="s">
        <v>17</v>
      </c>
      <c r="R401" s="63" t="s">
        <v>106</v>
      </c>
      <c r="S401" s="72" t="s">
        <v>415</v>
      </c>
      <c r="T401" s="61" t="s">
        <v>416</v>
      </c>
      <c r="U401" s="73" t="s">
        <v>421</v>
      </c>
      <c r="V401" s="62">
        <v>107569</v>
      </c>
      <c r="W401" s="62" t="s">
        <v>418</v>
      </c>
      <c r="X401" s="62" t="s">
        <v>402</v>
      </c>
      <c r="Y401" s="93">
        <v>1</v>
      </c>
      <c r="Z401" s="94">
        <v>1</v>
      </c>
      <c r="AA401" s="74">
        <v>196</v>
      </c>
      <c r="AB401" s="75">
        <v>261</v>
      </c>
      <c r="AC401" s="75">
        <v>10762.544246409674</v>
      </c>
      <c r="AD401" s="76">
        <v>12915.053096110239</v>
      </c>
      <c r="AE401" s="77">
        <v>218.95773266</v>
      </c>
      <c r="AF401" s="75">
        <v>294.49653806999999</v>
      </c>
      <c r="AG401" s="78">
        <v>12099.320687249259</v>
      </c>
      <c r="AH401" s="79">
        <v>14519.18482469911</v>
      </c>
      <c r="AI401" s="74">
        <v>4234.7622404790982</v>
      </c>
      <c r="AJ401" s="75">
        <v>0</v>
      </c>
      <c r="AK401" s="75">
        <v>0</v>
      </c>
      <c r="AL401" s="80">
        <v>4234.7622404790982</v>
      </c>
      <c r="AM401" s="74">
        <v>0</v>
      </c>
      <c r="AN401" s="74">
        <v>0</v>
      </c>
      <c r="AO401" s="81" t="s">
        <v>403</v>
      </c>
      <c r="AP401" s="82">
        <v>1</v>
      </c>
      <c r="AQ401" s="75">
        <v>0</v>
      </c>
      <c r="AR401" s="75">
        <v>0</v>
      </c>
      <c r="AS401" s="80">
        <v>0</v>
      </c>
      <c r="AT401" s="74">
        <v>401.09248077213795</v>
      </c>
      <c r="AU401" s="75">
        <v>364.18955268329557</v>
      </c>
      <c r="AV401" s="75">
        <v>778.59128621431478</v>
      </c>
      <c r="AW401" s="75">
        <v>367.27487945810805</v>
      </c>
      <c r="AX401" s="80">
        <v>1911.1481991278563</v>
      </c>
      <c r="AY401" s="81">
        <v>3.3956256550707101E-3</v>
      </c>
      <c r="AZ401" s="83">
        <v>0</v>
      </c>
      <c r="BA401" s="80">
        <v>0</v>
      </c>
      <c r="BB401" s="84">
        <v>6732.0015338566191</v>
      </c>
      <c r="BC401" s="85">
        <v>8.6463869465957135</v>
      </c>
      <c r="BD401" s="86">
        <v>0.55639500000616293</v>
      </c>
      <c r="BE401" s="84">
        <v>7099.2764133147275</v>
      </c>
      <c r="BF401" s="87">
        <v>6.1955546171037312</v>
      </c>
      <c r="BG401" s="88">
        <v>0.58675000000588662</v>
      </c>
      <c r="BH401" s="89">
        <v>0</v>
      </c>
      <c r="BI401" s="90">
        <v>0.34999999999519454</v>
      </c>
      <c r="BJ401" s="90">
        <v>0.15795499999780149</v>
      </c>
      <c r="BK401" s="91">
        <v>0.50795499999299598</v>
      </c>
      <c r="BL401" s="92">
        <v>5953.410247642305</v>
      </c>
      <c r="BM401" s="95">
        <v>0</v>
      </c>
      <c r="BN401" t="s">
        <v>402</v>
      </c>
      <c r="BO401">
        <v>0.85994999999999999</v>
      </c>
    </row>
    <row r="402" spans="1:67">
      <c r="A402" s="61" t="str">
        <f t="shared" si="6"/>
        <v>UK</v>
      </c>
      <c r="B402" s="62" t="s">
        <v>64</v>
      </c>
      <c r="C402" s="62" t="s">
        <v>176</v>
      </c>
      <c r="D402" s="63" t="s">
        <v>97</v>
      </c>
      <c r="E402" s="64">
        <v>43831</v>
      </c>
      <c r="F402" s="64">
        <v>43921</v>
      </c>
      <c r="G402" s="65">
        <v>43995</v>
      </c>
      <c r="H402" s="66" t="s">
        <v>132</v>
      </c>
      <c r="I402" s="67">
        <v>3</v>
      </c>
      <c r="J402" s="68">
        <v>2020</v>
      </c>
      <c r="K402" s="69">
        <v>1</v>
      </c>
      <c r="L402" s="70">
        <v>3</v>
      </c>
      <c r="M402" s="71" t="s">
        <v>140</v>
      </c>
      <c r="N402" s="71" t="s">
        <v>18</v>
      </c>
      <c r="O402" s="71" t="s">
        <v>114</v>
      </c>
      <c r="P402" s="71" t="s">
        <v>102</v>
      </c>
      <c r="Q402" s="61" t="s">
        <v>17</v>
      </c>
      <c r="R402" s="63" t="s">
        <v>112</v>
      </c>
      <c r="S402" s="72" t="s">
        <v>422</v>
      </c>
      <c r="T402" s="61" t="s">
        <v>423</v>
      </c>
      <c r="U402" s="73" t="s">
        <v>424</v>
      </c>
      <c r="V402" s="62">
        <v>107079</v>
      </c>
      <c r="W402" s="62" t="s">
        <v>425</v>
      </c>
      <c r="X402" s="62" t="s">
        <v>402</v>
      </c>
      <c r="Y402" s="93">
        <v>1</v>
      </c>
      <c r="Z402" s="94">
        <v>1</v>
      </c>
      <c r="AA402" s="74">
        <v>28</v>
      </c>
      <c r="AB402" s="75">
        <v>76</v>
      </c>
      <c r="AC402" s="75">
        <v>4661.4919889528464</v>
      </c>
      <c r="AD402" s="76">
        <v>5593.7903866503866</v>
      </c>
      <c r="AE402" s="77">
        <v>14.760334760999999</v>
      </c>
      <c r="AF402" s="75">
        <v>34.732405604999997</v>
      </c>
      <c r="AG402" s="78">
        <v>2615.4254046165474</v>
      </c>
      <c r="AH402" s="79">
        <v>3138.5104854933429</v>
      </c>
      <c r="AI402" s="74">
        <v>196.15690534333393</v>
      </c>
      <c r="AJ402" s="75">
        <v>0</v>
      </c>
      <c r="AK402" s="75">
        <v>0</v>
      </c>
      <c r="AL402" s="80">
        <v>196.15690534333393</v>
      </c>
      <c r="AM402" s="74">
        <v>1</v>
      </c>
      <c r="AN402" s="74">
        <v>1</v>
      </c>
      <c r="AO402" s="81">
        <v>1</v>
      </c>
      <c r="AP402" s="82">
        <v>4</v>
      </c>
      <c r="AQ402" s="75">
        <v>526.39108486539908</v>
      </c>
      <c r="AR402" s="75">
        <v>526.40265382871098</v>
      </c>
      <c r="AS402" s="80">
        <v>1052.7937386941101</v>
      </c>
      <c r="AT402" s="74">
        <v>123.38269345892203</v>
      </c>
      <c r="AU402" s="75">
        <v>78.724304678178967</v>
      </c>
      <c r="AV402" s="75">
        <v>239.50758142915285</v>
      </c>
      <c r="AW402" s="75">
        <v>112.97983891505321</v>
      </c>
      <c r="AX402" s="80">
        <v>554.594418481307</v>
      </c>
      <c r="AY402" s="81">
        <v>0.11516622388586206</v>
      </c>
      <c r="AZ402" s="83">
        <v>263.19843467352752</v>
      </c>
      <c r="BA402" s="80">
        <v>30.311569854019911</v>
      </c>
      <c r="BB402" s="84">
        <v>1051.3879235269494</v>
      </c>
      <c r="BC402" s="85">
        <v>4.3897897396536214</v>
      </c>
      <c r="BD402" s="86">
        <v>0.40199499541111761</v>
      </c>
      <c r="BE402" s="84">
        <v>1164.3677624420027</v>
      </c>
      <c r="BF402" s="87">
        <v>3.303288841641471</v>
      </c>
      <c r="BG402" s="88">
        <v>0.44519249541078498</v>
      </c>
      <c r="BH402" s="89">
        <v>0.40253250459210177</v>
      </c>
      <c r="BI402" s="90">
        <v>7.499999999888847E-2</v>
      </c>
      <c r="BJ402" s="90">
        <v>0.21204749999842459</v>
      </c>
      <c r="BK402" s="91">
        <v>0.68958000458941482</v>
      </c>
      <c r="BL402" s="92">
        <v>811.88034209779653</v>
      </c>
      <c r="BM402" s="95">
        <v>0</v>
      </c>
      <c r="BN402" t="s">
        <v>402</v>
      </c>
      <c r="BO402">
        <v>0.85994999999999999</v>
      </c>
    </row>
    <row r="403" spans="1:67">
      <c r="A403" s="61" t="str">
        <f t="shared" si="6"/>
        <v>UK</v>
      </c>
      <c r="B403" s="62" t="s">
        <v>64</v>
      </c>
      <c r="C403" s="62" t="s">
        <v>176</v>
      </c>
      <c r="D403" s="63" t="s">
        <v>97</v>
      </c>
      <c r="E403" s="64">
        <v>43831</v>
      </c>
      <c r="F403" s="64">
        <v>43921</v>
      </c>
      <c r="G403" s="65">
        <v>43995</v>
      </c>
      <c r="H403" s="66" t="s">
        <v>132</v>
      </c>
      <c r="I403" s="67">
        <v>3</v>
      </c>
      <c r="J403" s="68">
        <v>2020</v>
      </c>
      <c r="K403" s="69">
        <v>1</v>
      </c>
      <c r="L403" s="70">
        <v>3</v>
      </c>
      <c r="M403" s="71" t="s">
        <v>140</v>
      </c>
      <c r="N403" s="71" t="s">
        <v>18</v>
      </c>
      <c r="O403" s="71" t="s">
        <v>114</v>
      </c>
      <c r="P403" s="71" t="s">
        <v>102</v>
      </c>
      <c r="Q403" s="61" t="s">
        <v>17</v>
      </c>
      <c r="R403" s="63" t="s">
        <v>112</v>
      </c>
      <c r="S403" s="72" t="s">
        <v>422</v>
      </c>
      <c r="T403" s="61" t="s">
        <v>423</v>
      </c>
      <c r="U403" s="73" t="s">
        <v>426</v>
      </c>
      <c r="V403" s="62">
        <v>107080</v>
      </c>
      <c r="W403" s="62" t="s">
        <v>425</v>
      </c>
      <c r="X403" s="62" t="s">
        <v>402</v>
      </c>
      <c r="Y403" s="93">
        <v>1</v>
      </c>
      <c r="Z403" s="94">
        <v>1</v>
      </c>
      <c r="AA403" s="74">
        <v>0</v>
      </c>
      <c r="AB403" s="75">
        <v>0</v>
      </c>
      <c r="AC403" s="75">
        <v>0</v>
      </c>
      <c r="AD403" s="76">
        <v>0</v>
      </c>
      <c r="AE403" s="77">
        <v>1.4986375999999999E-2</v>
      </c>
      <c r="AF403" s="75">
        <v>7.4931880100000001E-2</v>
      </c>
      <c r="AG403" s="78">
        <v>11.939695536949824</v>
      </c>
      <c r="AH403" s="79">
        <v>14.327634643874644</v>
      </c>
      <c r="AI403" s="74">
        <v>0.89547716530030819</v>
      </c>
      <c r="AJ403" s="75">
        <v>0</v>
      </c>
      <c r="AK403" s="75">
        <v>0</v>
      </c>
      <c r="AL403" s="80">
        <v>0.89547716530030819</v>
      </c>
      <c r="AM403" s="74">
        <v>0</v>
      </c>
      <c r="AN403" s="74">
        <v>0</v>
      </c>
      <c r="AO403" s="81" t="s">
        <v>403</v>
      </c>
      <c r="AP403" s="82">
        <v>0</v>
      </c>
      <c r="AQ403" s="75">
        <v>0</v>
      </c>
      <c r="AR403" s="75">
        <v>0</v>
      </c>
      <c r="AS403" s="80">
        <v>0</v>
      </c>
      <c r="AT403" s="74">
        <v>0.56325513692656548</v>
      </c>
      <c r="AU403" s="75">
        <v>0.35938483562997847</v>
      </c>
      <c r="AV403" s="75">
        <v>1.0933776188150475</v>
      </c>
      <c r="AW403" s="75">
        <v>0.51576499796499797</v>
      </c>
      <c r="AX403" s="80">
        <v>2.5317825893365895</v>
      </c>
      <c r="AY403" s="81">
        <v>0</v>
      </c>
      <c r="AZ403" s="83" t="s">
        <v>403</v>
      </c>
      <c r="BA403" s="80" t="s">
        <v>403</v>
      </c>
      <c r="BB403" s="84">
        <v>9.605813401127973</v>
      </c>
      <c r="BC403" s="85">
        <v>8.7854490853199589</v>
      </c>
      <c r="BD403" s="86">
        <v>0.80452750000205819</v>
      </c>
      <c r="BE403" s="84">
        <v>10.121578399092972</v>
      </c>
      <c r="BF403" s="87">
        <v>6.2900443338867174</v>
      </c>
      <c r="BG403" s="88">
        <v>0.84772500000269535</v>
      </c>
      <c r="BH403" s="89">
        <v>0</v>
      </c>
      <c r="BI403" s="90">
        <v>7.5000000002434855E-2</v>
      </c>
      <c r="BJ403" s="90">
        <v>0.21204749999708716</v>
      </c>
      <c r="BK403" s="91">
        <v>0.287047499999522</v>
      </c>
      <c r="BL403" s="92">
        <v>8.5124357823129255</v>
      </c>
      <c r="BM403" s="95">
        <v>0</v>
      </c>
      <c r="BN403" t="s">
        <v>402</v>
      </c>
      <c r="BO403">
        <v>0.85994999999999999</v>
      </c>
    </row>
    <row r="404" spans="1:67">
      <c r="A404" s="61" t="str">
        <f t="shared" si="6"/>
        <v>UK</v>
      </c>
      <c r="B404" s="62" t="s">
        <v>64</v>
      </c>
      <c r="C404" s="62" t="s">
        <v>176</v>
      </c>
      <c r="D404" s="63" t="s">
        <v>97</v>
      </c>
      <c r="E404" s="64">
        <v>43831</v>
      </c>
      <c r="F404" s="64">
        <v>43921</v>
      </c>
      <c r="G404" s="65">
        <v>43995</v>
      </c>
      <c r="H404" s="66" t="s">
        <v>132</v>
      </c>
      <c r="I404" s="67">
        <v>3</v>
      </c>
      <c r="J404" s="68">
        <v>2020</v>
      </c>
      <c r="K404" s="69">
        <v>1</v>
      </c>
      <c r="L404" s="70">
        <v>3</v>
      </c>
      <c r="M404" s="71" t="s">
        <v>140</v>
      </c>
      <c r="N404" s="71" t="s">
        <v>18</v>
      </c>
      <c r="O404" s="71" t="s">
        <v>114</v>
      </c>
      <c r="P404" s="71" t="s">
        <v>102</v>
      </c>
      <c r="Q404" s="61" t="s">
        <v>17</v>
      </c>
      <c r="R404" s="63" t="s">
        <v>112</v>
      </c>
      <c r="S404" s="72" t="s">
        <v>422</v>
      </c>
      <c r="T404" s="61" t="s">
        <v>423</v>
      </c>
      <c r="U404" s="73" t="s">
        <v>427</v>
      </c>
      <c r="V404" s="62">
        <v>107081</v>
      </c>
      <c r="W404" s="62" t="s">
        <v>425</v>
      </c>
      <c r="X404" s="62" t="s">
        <v>402</v>
      </c>
      <c r="Y404" s="93">
        <v>1</v>
      </c>
      <c r="Z404" s="94">
        <v>1</v>
      </c>
      <c r="AA404" s="74">
        <v>0</v>
      </c>
      <c r="AB404" s="75">
        <v>0</v>
      </c>
      <c r="AC404" s="75">
        <v>0</v>
      </c>
      <c r="AD404" s="76">
        <v>0</v>
      </c>
      <c r="AE404" s="77">
        <v>0.2188010899</v>
      </c>
      <c r="AF404" s="75">
        <v>0.43760217979999999</v>
      </c>
      <c r="AG404" s="78">
        <v>82.893823366474805</v>
      </c>
      <c r="AH404" s="79">
        <v>99.472588040002336</v>
      </c>
      <c r="AI404" s="74">
        <v>6.2170367524856101</v>
      </c>
      <c r="AJ404" s="75">
        <v>0</v>
      </c>
      <c r="AK404" s="75">
        <v>0</v>
      </c>
      <c r="AL404" s="80">
        <v>6.2170367524856101</v>
      </c>
      <c r="AM404" s="74">
        <v>0</v>
      </c>
      <c r="AN404" s="74">
        <v>0</v>
      </c>
      <c r="AO404" s="81" t="s">
        <v>403</v>
      </c>
      <c r="AP404" s="82">
        <v>0</v>
      </c>
      <c r="AQ404" s="75">
        <v>0</v>
      </c>
      <c r="AR404" s="75">
        <v>0</v>
      </c>
      <c r="AS404" s="80">
        <v>0</v>
      </c>
      <c r="AT404" s="74">
        <v>3.9105161173324028</v>
      </c>
      <c r="AU404" s="75">
        <v>2.4951040833769405</v>
      </c>
      <c r="AV404" s="75">
        <v>7.5910018747601606</v>
      </c>
      <c r="AW404" s="75">
        <v>3.580805934879935</v>
      </c>
      <c r="AX404" s="80">
        <v>17.577428010349436</v>
      </c>
      <c r="AY404" s="81">
        <v>0</v>
      </c>
      <c r="AZ404" s="83" t="s">
        <v>403</v>
      </c>
      <c r="BA404" s="80" t="s">
        <v>403</v>
      </c>
      <c r="BB404" s="84">
        <v>66.690360478399924</v>
      </c>
      <c r="BC404" s="85">
        <v>8.7854490854683167</v>
      </c>
      <c r="BD404" s="86">
        <v>0.80452749999913586</v>
      </c>
      <c r="BE404" s="84">
        <v>70.271166413279857</v>
      </c>
      <c r="BF404" s="87">
        <v>6.2900443339745982</v>
      </c>
      <c r="BG404" s="88">
        <v>0.84772499999921591</v>
      </c>
      <c r="BH404" s="89">
        <v>0</v>
      </c>
      <c r="BI404" s="90">
        <v>7.4999999999999997E-2</v>
      </c>
      <c r="BJ404" s="90">
        <v>0.21204750000056541</v>
      </c>
      <c r="BK404" s="91">
        <v>0.28704750000056539</v>
      </c>
      <c r="BL404" s="92">
        <v>59.099358603639757</v>
      </c>
      <c r="BM404" s="95">
        <v>0</v>
      </c>
      <c r="BN404" t="s">
        <v>402</v>
      </c>
      <c r="BO404">
        <v>0.85994999999999999</v>
      </c>
    </row>
    <row r="405" spans="1:67">
      <c r="A405" s="61" t="str">
        <f t="shared" si="6"/>
        <v>UK</v>
      </c>
      <c r="B405" s="62" t="s">
        <v>64</v>
      </c>
      <c r="C405" s="62" t="s">
        <v>176</v>
      </c>
      <c r="D405" s="63" t="s">
        <v>97</v>
      </c>
      <c r="E405" s="64">
        <v>43831</v>
      </c>
      <c r="F405" s="64">
        <v>43921</v>
      </c>
      <c r="G405" s="65">
        <v>43995</v>
      </c>
      <c r="H405" s="66" t="s">
        <v>132</v>
      </c>
      <c r="I405" s="67">
        <v>3</v>
      </c>
      <c r="J405" s="68">
        <v>2020</v>
      </c>
      <c r="K405" s="69">
        <v>1</v>
      </c>
      <c r="L405" s="70">
        <v>3</v>
      </c>
      <c r="M405" s="71" t="s">
        <v>140</v>
      </c>
      <c r="N405" s="71" t="s">
        <v>18</v>
      </c>
      <c r="O405" s="71" t="s">
        <v>114</v>
      </c>
      <c r="P405" s="71" t="s">
        <v>102</v>
      </c>
      <c r="Q405" s="61" t="s">
        <v>17</v>
      </c>
      <c r="R405" s="63" t="s">
        <v>106</v>
      </c>
      <c r="S405" s="72" t="s">
        <v>422</v>
      </c>
      <c r="T405" s="61" t="s">
        <v>423</v>
      </c>
      <c r="U405" s="73" t="s">
        <v>428</v>
      </c>
      <c r="V405" s="62">
        <v>107073</v>
      </c>
      <c r="W405" s="62" t="s">
        <v>425</v>
      </c>
      <c r="X405" s="62" t="s">
        <v>402</v>
      </c>
      <c r="Y405" s="93">
        <v>1</v>
      </c>
      <c r="Z405" s="94">
        <v>1</v>
      </c>
      <c r="AA405" s="74">
        <v>8</v>
      </c>
      <c r="AB405" s="75">
        <v>19</v>
      </c>
      <c r="AC405" s="75">
        <v>924.99564016512579</v>
      </c>
      <c r="AD405" s="76">
        <v>1109.9947682074539</v>
      </c>
      <c r="AE405" s="77">
        <v>1.65</v>
      </c>
      <c r="AF405" s="75">
        <v>3.3</v>
      </c>
      <c r="AG405" s="78">
        <v>244.36450086632942</v>
      </c>
      <c r="AH405" s="79">
        <v>293.2374010349439</v>
      </c>
      <c r="AI405" s="74">
        <v>18.327337564974709</v>
      </c>
      <c r="AJ405" s="75">
        <v>0</v>
      </c>
      <c r="AK405" s="75">
        <v>0</v>
      </c>
      <c r="AL405" s="80">
        <v>18.327337564974709</v>
      </c>
      <c r="AM405" s="74">
        <v>0</v>
      </c>
      <c r="AN405" s="74">
        <v>0</v>
      </c>
      <c r="AO405" s="81" t="s">
        <v>403</v>
      </c>
      <c r="AP405" s="82">
        <v>0</v>
      </c>
      <c r="AQ405" s="75">
        <v>0</v>
      </c>
      <c r="AR405" s="75">
        <v>0</v>
      </c>
      <c r="AS405" s="80">
        <v>0</v>
      </c>
      <c r="AT405" s="74">
        <v>11.527895328216756</v>
      </c>
      <c r="AU405" s="75">
        <v>7.3553714760160478</v>
      </c>
      <c r="AV405" s="75">
        <v>22.377679166230596</v>
      </c>
      <c r="AW405" s="75">
        <v>10.555935526018956</v>
      </c>
      <c r="AX405" s="80">
        <v>51.816881496482353</v>
      </c>
      <c r="AY405" s="81">
        <v>0</v>
      </c>
      <c r="AZ405" s="83" t="s">
        <v>403</v>
      </c>
      <c r="BA405" s="80" t="s">
        <v>403</v>
      </c>
      <c r="BB405" s="84">
        <v>196.59796097110296</v>
      </c>
      <c r="BC405" s="85">
        <v>8.7854490857024334</v>
      </c>
      <c r="BD405" s="86">
        <v>0.8045275000015023</v>
      </c>
      <c r="BE405" s="84">
        <v>207.15389649712191</v>
      </c>
      <c r="BF405" s="87">
        <v>6.2900443341214105</v>
      </c>
      <c r="BG405" s="88">
        <v>0.84772500000087081</v>
      </c>
      <c r="BH405" s="89">
        <v>0</v>
      </c>
      <c r="BI405" s="90">
        <v>7.5000000000000011E-2</v>
      </c>
      <c r="BJ405" s="90">
        <v>0.21204749999602793</v>
      </c>
      <c r="BK405" s="91">
        <v>0.28704749999602797</v>
      </c>
      <c r="BL405" s="92">
        <v>174.22028180487234</v>
      </c>
      <c r="BM405" s="95">
        <v>0</v>
      </c>
      <c r="BN405" t="s">
        <v>402</v>
      </c>
      <c r="BO405">
        <v>0.85994999999999999</v>
      </c>
    </row>
    <row r="406" spans="1:67">
      <c r="A406" s="61" t="str">
        <f t="shared" si="6"/>
        <v>UK</v>
      </c>
      <c r="B406" s="62" t="s">
        <v>64</v>
      </c>
      <c r="C406" s="62" t="s">
        <v>176</v>
      </c>
      <c r="D406" s="63" t="s">
        <v>97</v>
      </c>
      <c r="E406" s="64">
        <v>43831</v>
      </c>
      <c r="F406" s="64">
        <v>43921</v>
      </c>
      <c r="G406" s="65">
        <v>43995</v>
      </c>
      <c r="H406" s="66" t="s">
        <v>132</v>
      </c>
      <c r="I406" s="67">
        <v>3</v>
      </c>
      <c r="J406" s="68">
        <v>2020</v>
      </c>
      <c r="K406" s="69">
        <v>1</v>
      </c>
      <c r="L406" s="70">
        <v>3</v>
      </c>
      <c r="M406" s="71" t="s">
        <v>140</v>
      </c>
      <c r="N406" s="71" t="s">
        <v>18</v>
      </c>
      <c r="O406" s="71" t="s">
        <v>114</v>
      </c>
      <c r="P406" s="71" t="s">
        <v>102</v>
      </c>
      <c r="Q406" s="61" t="s">
        <v>17</v>
      </c>
      <c r="R406" s="63" t="s">
        <v>106</v>
      </c>
      <c r="S406" s="72" t="s">
        <v>422</v>
      </c>
      <c r="T406" s="61" t="s">
        <v>423</v>
      </c>
      <c r="U406" s="73" t="s">
        <v>429</v>
      </c>
      <c r="V406" s="62">
        <v>107074</v>
      </c>
      <c r="W406" s="62" t="s">
        <v>425</v>
      </c>
      <c r="X406" s="62" t="s">
        <v>402</v>
      </c>
      <c r="Y406" s="93">
        <v>1</v>
      </c>
      <c r="Z406" s="94">
        <v>1</v>
      </c>
      <c r="AA406" s="74">
        <v>0</v>
      </c>
      <c r="AB406" s="75">
        <v>0</v>
      </c>
      <c r="AC406" s="75">
        <v>0</v>
      </c>
      <c r="AD406" s="76">
        <v>0</v>
      </c>
      <c r="AE406" s="77">
        <v>1</v>
      </c>
      <c r="AF406" s="75">
        <v>3</v>
      </c>
      <c r="AG406" s="78">
        <v>182.75286967846969</v>
      </c>
      <c r="AH406" s="79">
        <v>219.30344361881504</v>
      </c>
      <c r="AI406" s="74">
        <v>13.706465225885227</v>
      </c>
      <c r="AJ406" s="75">
        <v>0</v>
      </c>
      <c r="AK406" s="75">
        <v>0</v>
      </c>
      <c r="AL406" s="80">
        <v>13.706465225885227</v>
      </c>
      <c r="AM406" s="74">
        <v>0</v>
      </c>
      <c r="AN406" s="74">
        <v>0</v>
      </c>
      <c r="AO406" s="81" t="s">
        <v>403</v>
      </c>
      <c r="AP406" s="82">
        <v>0</v>
      </c>
      <c r="AQ406" s="75">
        <v>0</v>
      </c>
      <c r="AR406" s="75">
        <v>0</v>
      </c>
      <c r="AS406" s="80">
        <v>0</v>
      </c>
      <c r="AT406" s="74">
        <v>8.6213666271294844</v>
      </c>
      <c r="AU406" s="75">
        <v>5.5008613774056627</v>
      </c>
      <c r="AV406" s="75">
        <v>16.735594041514041</v>
      </c>
      <c r="AW406" s="75">
        <v>7.8944670879702308</v>
      </c>
      <c r="AX406" s="80">
        <v>38.752289134019421</v>
      </c>
      <c r="AY406" s="81">
        <v>0</v>
      </c>
      <c r="AZ406" s="83" t="s">
        <v>403</v>
      </c>
      <c r="BA406" s="80" t="s">
        <v>403</v>
      </c>
      <c r="BB406" s="84">
        <v>147.0297093600791</v>
      </c>
      <c r="BC406" s="85">
        <v>8.7854490850674072</v>
      </c>
      <c r="BD406" s="86">
        <v>0.80452749999909201</v>
      </c>
      <c r="BE406" s="84">
        <v>154.92417644804931</v>
      </c>
      <c r="BF406" s="87">
        <v>6.2900443337751986</v>
      </c>
      <c r="BG406" s="88">
        <v>0.84772499999928097</v>
      </c>
      <c r="BH406" s="89">
        <v>0</v>
      </c>
      <c r="BI406" s="90">
        <v>7.4999999999999997E-2</v>
      </c>
      <c r="BJ406" s="90">
        <v>0.21204750000478306</v>
      </c>
      <c r="BK406" s="91">
        <v>0.28704750000478307</v>
      </c>
      <c r="BL406" s="92">
        <v>130.29411531856505</v>
      </c>
      <c r="BM406" s="95">
        <v>0</v>
      </c>
      <c r="BN406" t="s">
        <v>402</v>
      </c>
      <c r="BO406">
        <v>0.85994999999999999</v>
      </c>
    </row>
    <row r="407" spans="1:67">
      <c r="A407" s="61" t="str">
        <f t="shared" si="6"/>
        <v>UK</v>
      </c>
      <c r="B407" s="62" t="s">
        <v>64</v>
      </c>
      <c r="C407" s="62" t="s">
        <v>176</v>
      </c>
      <c r="D407" s="63" t="s">
        <v>97</v>
      </c>
      <c r="E407" s="64">
        <v>43831</v>
      </c>
      <c r="F407" s="64">
        <v>43921</v>
      </c>
      <c r="G407" s="65">
        <v>43995</v>
      </c>
      <c r="H407" s="66" t="s">
        <v>132</v>
      </c>
      <c r="I407" s="67">
        <v>3</v>
      </c>
      <c r="J407" s="68">
        <v>2020</v>
      </c>
      <c r="K407" s="69">
        <v>1</v>
      </c>
      <c r="L407" s="70">
        <v>3</v>
      </c>
      <c r="M407" s="71" t="s">
        <v>140</v>
      </c>
      <c r="N407" s="71" t="s">
        <v>18</v>
      </c>
      <c r="O407" s="71" t="s">
        <v>114</v>
      </c>
      <c r="P407" s="71" t="s">
        <v>102</v>
      </c>
      <c r="Q407" s="61" t="s">
        <v>17</v>
      </c>
      <c r="R407" s="63" t="s">
        <v>106</v>
      </c>
      <c r="S407" s="72" t="s">
        <v>422</v>
      </c>
      <c r="T407" s="61" t="s">
        <v>423</v>
      </c>
      <c r="U407" s="73" t="s">
        <v>430</v>
      </c>
      <c r="V407" s="62">
        <v>107075</v>
      </c>
      <c r="W407" s="62" t="s">
        <v>425</v>
      </c>
      <c r="X407" s="62" t="s">
        <v>402</v>
      </c>
      <c r="Y407" s="93">
        <v>1</v>
      </c>
      <c r="Z407" s="94">
        <v>1</v>
      </c>
      <c r="AA407" s="74">
        <v>148</v>
      </c>
      <c r="AB407" s="75">
        <v>392</v>
      </c>
      <c r="AC407" s="75">
        <v>24318.138806907376</v>
      </c>
      <c r="AD407" s="76">
        <v>29181.766568986572</v>
      </c>
      <c r="AE407" s="77">
        <v>46.937372129000003</v>
      </c>
      <c r="AF407" s="75">
        <v>115.84011338000001</v>
      </c>
      <c r="AG407" s="78">
        <v>8070.373089249375</v>
      </c>
      <c r="AH407" s="79">
        <v>9684.4477070759931</v>
      </c>
      <c r="AI407" s="74">
        <v>605.27798169661025</v>
      </c>
      <c r="AJ407" s="75">
        <v>0</v>
      </c>
      <c r="AK407" s="75">
        <v>0</v>
      </c>
      <c r="AL407" s="80">
        <v>605.27798169661025</v>
      </c>
      <c r="AM407" s="74">
        <v>2</v>
      </c>
      <c r="AN407" s="74">
        <v>0</v>
      </c>
      <c r="AO407" s="81">
        <v>0</v>
      </c>
      <c r="AP407" s="82">
        <v>6</v>
      </c>
      <c r="AQ407" s="75">
        <v>620.88492665852675</v>
      </c>
      <c r="AR407" s="75">
        <v>4880.3068612128618</v>
      </c>
      <c r="AS407" s="80">
        <v>5501.1917878713884</v>
      </c>
      <c r="AT407" s="74">
        <v>380.71985047967905</v>
      </c>
      <c r="AU407" s="75">
        <v>242.91822999011572</v>
      </c>
      <c r="AV407" s="75">
        <v>739.04441565207276</v>
      </c>
      <c r="AW407" s="75">
        <v>348.61994151985584</v>
      </c>
      <c r="AX407" s="80">
        <v>1711.3024376417234</v>
      </c>
      <c r="AY407" s="81">
        <v>5.1795529414907414E-2</v>
      </c>
      <c r="AZ407" s="83">
        <v>916.86529797856474</v>
      </c>
      <c r="BA407" s="80">
        <v>47.489523510956602</v>
      </c>
      <c r="BB407" s="84">
        <v>991.64529769172532</v>
      </c>
      <c r="BC407" s="85">
        <v>1.3417939120976621</v>
      </c>
      <c r="BD407" s="86">
        <v>0.12287477750101863</v>
      </c>
      <c r="BE407" s="84">
        <v>1340.2652392115815</v>
      </c>
      <c r="BF407" s="87">
        <v>1.23224157376679</v>
      </c>
      <c r="BG407" s="88">
        <v>0.16607227750064768</v>
      </c>
      <c r="BH407" s="89">
        <v>0.68165272249923381</v>
      </c>
      <c r="BI407" s="90">
        <v>7.5000000000360223E-2</v>
      </c>
      <c r="BJ407" s="90">
        <v>0.21204749999989053</v>
      </c>
      <c r="BK407" s="91">
        <v>0.96870022249948451</v>
      </c>
      <c r="BL407" s="92">
        <v>252.60088203965279</v>
      </c>
      <c r="BM407" s="95">
        <v>0</v>
      </c>
      <c r="BN407" t="s">
        <v>402</v>
      </c>
      <c r="BO407">
        <v>0.85994999999999999</v>
      </c>
    </row>
    <row r="408" spans="1:67">
      <c r="A408" s="61" t="str">
        <f t="shared" si="6"/>
        <v>UK</v>
      </c>
      <c r="B408" s="62" t="s">
        <v>64</v>
      </c>
      <c r="C408" s="62" t="s">
        <v>176</v>
      </c>
      <c r="D408" s="63" t="s">
        <v>97</v>
      </c>
      <c r="E408" s="64">
        <v>43831</v>
      </c>
      <c r="F408" s="64">
        <v>43921</v>
      </c>
      <c r="G408" s="65">
        <v>43995</v>
      </c>
      <c r="H408" s="66" t="s">
        <v>132</v>
      </c>
      <c r="I408" s="67">
        <v>3</v>
      </c>
      <c r="J408" s="68">
        <v>2020</v>
      </c>
      <c r="K408" s="69">
        <v>1</v>
      </c>
      <c r="L408" s="70">
        <v>3</v>
      </c>
      <c r="M408" s="71" t="s">
        <v>140</v>
      </c>
      <c r="N408" s="71" t="s">
        <v>18</v>
      </c>
      <c r="O408" s="71" t="s">
        <v>114</v>
      </c>
      <c r="P408" s="71" t="s">
        <v>102</v>
      </c>
      <c r="Q408" s="61" t="s">
        <v>17</v>
      </c>
      <c r="R408" s="63" t="s">
        <v>106</v>
      </c>
      <c r="S408" s="72" t="s">
        <v>422</v>
      </c>
      <c r="T408" s="61" t="s">
        <v>423</v>
      </c>
      <c r="U408" s="73" t="s">
        <v>431</v>
      </c>
      <c r="V408" s="62">
        <v>107076</v>
      </c>
      <c r="W408" s="62" t="s">
        <v>425</v>
      </c>
      <c r="X408" s="62" t="s">
        <v>402</v>
      </c>
      <c r="Y408" s="93">
        <v>1</v>
      </c>
      <c r="Z408" s="94">
        <v>1</v>
      </c>
      <c r="AA408" s="74">
        <v>5</v>
      </c>
      <c r="AB408" s="75">
        <v>5</v>
      </c>
      <c r="AC408" s="75">
        <v>240.77950016861445</v>
      </c>
      <c r="AD408" s="76">
        <v>288.93540020931448</v>
      </c>
      <c r="AE408" s="77">
        <v>3.65</v>
      </c>
      <c r="AF408" s="75">
        <v>3.65</v>
      </c>
      <c r="AG408" s="78">
        <v>175.4254102796674</v>
      </c>
      <c r="AH408" s="79">
        <v>210.51049234257806</v>
      </c>
      <c r="AI408" s="74">
        <v>13.156905771265771</v>
      </c>
      <c r="AJ408" s="75">
        <v>0</v>
      </c>
      <c r="AK408" s="75">
        <v>0</v>
      </c>
      <c r="AL408" s="80">
        <v>13.156905771265771</v>
      </c>
      <c r="AM408" s="74">
        <v>0</v>
      </c>
      <c r="AN408" s="74">
        <v>0</v>
      </c>
      <c r="AO408" s="81" t="s">
        <v>403</v>
      </c>
      <c r="AP408" s="82">
        <v>0</v>
      </c>
      <c r="AQ408" s="75">
        <v>0</v>
      </c>
      <c r="AR408" s="75">
        <v>0</v>
      </c>
      <c r="AS408" s="80">
        <v>0</v>
      </c>
      <c r="AT408" s="74">
        <v>8.2756937301005866</v>
      </c>
      <c r="AU408" s="75">
        <v>5.2803048494679921</v>
      </c>
      <c r="AV408" s="75">
        <v>16.064581946624802</v>
      </c>
      <c r="AW408" s="75">
        <v>7.5779391606488744</v>
      </c>
      <c r="AX408" s="80">
        <v>37.198519686842253</v>
      </c>
      <c r="AY408" s="81">
        <v>0</v>
      </c>
      <c r="AZ408" s="83" t="s">
        <v>403</v>
      </c>
      <c r="BA408" s="80" t="s">
        <v>403</v>
      </c>
      <c r="BB408" s="84">
        <v>141.13456676818419</v>
      </c>
      <c r="BC408" s="85">
        <v>8.785449085267782</v>
      </c>
      <c r="BD408" s="86">
        <v>0.80452749999663142</v>
      </c>
      <c r="BE408" s="84">
        <v>148.71250592883305</v>
      </c>
      <c r="BF408" s="87">
        <v>6.2900443338541132</v>
      </c>
      <c r="BG408" s="88">
        <v>0.84772499999716122</v>
      </c>
      <c r="BH408" s="89">
        <v>0</v>
      </c>
      <c r="BI408" s="90">
        <v>7.5000000001657199E-2</v>
      </c>
      <c r="BJ408" s="90">
        <v>0.21204750000321779</v>
      </c>
      <c r="BK408" s="91">
        <v>0.287047500004875</v>
      </c>
      <c r="BL408" s="92">
        <v>125.06998482155939</v>
      </c>
      <c r="BM408" s="95">
        <v>0</v>
      </c>
      <c r="BN408" t="s">
        <v>402</v>
      </c>
      <c r="BO408">
        <v>0.85994999999999999</v>
      </c>
    </row>
    <row r="409" spans="1:67">
      <c r="A409" s="61" t="str">
        <f t="shared" si="6"/>
        <v>UK</v>
      </c>
      <c r="B409" s="62" t="s">
        <v>64</v>
      </c>
      <c r="C409" s="62" t="s">
        <v>176</v>
      </c>
      <c r="D409" s="63" t="s">
        <v>97</v>
      </c>
      <c r="E409" s="64">
        <v>43831</v>
      </c>
      <c r="F409" s="64">
        <v>43921</v>
      </c>
      <c r="G409" s="65">
        <v>43995</v>
      </c>
      <c r="H409" s="66" t="s">
        <v>132</v>
      </c>
      <c r="I409" s="67">
        <v>3</v>
      </c>
      <c r="J409" s="68">
        <v>2020</v>
      </c>
      <c r="K409" s="69">
        <v>1</v>
      </c>
      <c r="L409" s="70">
        <v>3</v>
      </c>
      <c r="M409" s="71" t="s">
        <v>140</v>
      </c>
      <c r="N409" s="71" t="s">
        <v>18</v>
      </c>
      <c r="O409" s="71" t="s">
        <v>114</v>
      </c>
      <c r="P409" s="71" t="s">
        <v>102</v>
      </c>
      <c r="Q409" s="61" t="s">
        <v>17</v>
      </c>
      <c r="R409" s="63" t="s">
        <v>106</v>
      </c>
      <c r="S409" s="72" t="s">
        <v>422</v>
      </c>
      <c r="T409" s="61" t="s">
        <v>423</v>
      </c>
      <c r="U409" s="73" t="s">
        <v>432</v>
      </c>
      <c r="V409" s="62">
        <v>107077</v>
      </c>
      <c r="W409" s="62" t="s">
        <v>425</v>
      </c>
      <c r="X409" s="62" t="s">
        <v>402</v>
      </c>
      <c r="Y409" s="93">
        <v>1</v>
      </c>
      <c r="Z409" s="94">
        <v>1</v>
      </c>
      <c r="AA409" s="74">
        <v>265</v>
      </c>
      <c r="AB409" s="75">
        <v>653</v>
      </c>
      <c r="AC409" s="75">
        <v>34813.825880574455</v>
      </c>
      <c r="AD409" s="76">
        <v>41776.591056456768</v>
      </c>
      <c r="AE409" s="77">
        <v>128.60058412999999</v>
      </c>
      <c r="AF409" s="75">
        <v>288.80820475000002</v>
      </c>
      <c r="AG409" s="78">
        <v>16705.825728240015</v>
      </c>
      <c r="AH409" s="79">
        <v>20046.990873888015</v>
      </c>
      <c r="AI409" s="74">
        <v>1252.9369295889296</v>
      </c>
      <c r="AJ409" s="75">
        <v>0</v>
      </c>
      <c r="AK409" s="75">
        <v>0</v>
      </c>
      <c r="AL409" s="80">
        <v>1252.9369295889296</v>
      </c>
      <c r="AM409" s="74">
        <v>4</v>
      </c>
      <c r="AN409" s="74">
        <v>0</v>
      </c>
      <c r="AO409" s="81">
        <v>0</v>
      </c>
      <c r="AP409" s="82">
        <v>21</v>
      </c>
      <c r="AQ409" s="75">
        <v>10134.635626722484</v>
      </c>
      <c r="AR409" s="75">
        <v>10134.635626722484</v>
      </c>
      <c r="AS409" s="80">
        <v>20269.271253444967</v>
      </c>
      <c r="AT409" s="74">
        <v>788.09732872841437</v>
      </c>
      <c r="AU409" s="75">
        <v>502.84535441595443</v>
      </c>
      <c r="AV409" s="75">
        <v>1529.835991045991</v>
      </c>
      <c r="AW409" s="75">
        <v>721.64990688993555</v>
      </c>
      <c r="AX409" s="80">
        <v>3542.4285810802958</v>
      </c>
      <c r="AY409" s="81">
        <v>7.2712615689634413E-2</v>
      </c>
      <c r="AZ409" s="83">
        <v>965.20339302118896</v>
      </c>
      <c r="BA409" s="80">
        <v>70.182463379080872</v>
      </c>
      <c r="BB409" s="84">
        <v>-6828.9750448281848</v>
      </c>
      <c r="BC409" s="85">
        <v>-4.4638608875707169</v>
      </c>
      <c r="BD409" s="86">
        <v>-0.40877806077458873</v>
      </c>
      <c r="BE409" s="84">
        <v>-6107.3251379382491</v>
      </c>
      <c r="BF409" s="87">
        <v>-2.7125753457026773</v>
      </c>
      <c r="BG409" s="88">
        <v>-0.36558056077493067</v>
      </c>
      <c r="BH409" s="89">
        <v>1.2133055607769929</v>
      </c>
      <c r="BI409" s="90">
        <v>7.4999999998259792E-2</v>
      </c>
      <c r="BJ409" s="90">
        <v>0.21204749999828329</v>
      </c>
      <c r="BK409" s="91">
        <v>1.500353060773536</v>
      </c>
      <c r="BL409" s="92">
        <v>-8358.811035874176</v>
      </c>
      <c r="BM409" s="95">
        <v>0</v>
      </c>
      <c r="BN409" t="s">
        <v>402</v>
      </c>
      <c r="BO409">
        <v>0.85994999999999999</v>
      </c>
    </row>
    <row r="410" spans="1:67">
      <c r="A410" s="61" t="str">
        <f t="shared" si="6"/>
        <v>UK</v>
      </c>
      <c r="B410" s="62" t="s">
        <v>64</v>
      </c>
      <c r="C410" s="62" t="s">
        <v>176</v>
      </c>
      <c r="D410" s="63" t="s">
        <v>97</v>
      </c>
      <c r="E410" s="64">
        <v>43831</v>
      </c>
      <c r="F410" s="64">
        <v>43921</v>
      </c>
      <c r="G410" s="65">
        <v>43995</v>
      </c>
      <c r="H410" s="66" t="s">
        <v>132</v>
      </c>
      <c r="I410" s="67">
        <v>3</v>
      </c>
      <c r="J410" s="68">
        <v>2020</v>
      </c>
      <c r="K410" s="69">
        <v>1</v>
      </c>
      <c r="L410" s="70">
        <v>3</v>
      </c>
      <c r="M410" s="71" t="s">
        <v>140</v>
      </c>
      <c r="N410" s="71" t="s">
        <v>18</v>
      </c>
      <c r="O410" s="71" t="s">
        <v>114</v>
      </c>
      <c r="P410" s="71" t="s">
        <v>102</v>
      </c>
      <c r="Q410" s="61" t="s">
        <v>17</v>
      </c>
      <c r="R410" s="63" t="s">
        <v>106</v>
      </c>
      <c r="S410" s="72" t="s">
        <v>422</v>
      </c>
      <c r="T410" s="61" t="s">
        <v>423</v>
      </c>
      <c r="U410" s="73" t="s">
        <v>433</v>
      </c>
      <c r="V410" s="62">
        <v>107078</v>
      </c>
      <c r="W410" s="62" t="s">
        <v>425</v>
      </c>
      <c r="X410" s="62" t="s">
        <v>402</v>
      </c>
      <c r="Y410" s="93">
        <v>1</v>
      </c>
      <c r="Z410" s="94">
        <v>1</v>
      </c>
      <c r="AA410" s="74">
        <v>3</v>
      </c>
      <c r="AB410" s="75">
        <v>4</v>
      </c>
      <c r="AC410" s="75">
        <v>170.40720012791442</v>
      </c>
      <c r="AD410" s="76">
        <v>204.4886401534973</v>
      </c>
      <c r="AE410" s="77">
        <v>1.5067857143000001</v>
      </c>
      <c r="AF410" s="75">
        <v>2.5067857142999999</v>
      </c>
      <c r="AG410" s="78">
        <v>115.08853006453863</v>
      </c>
      <c r="AH410" s="79">
        <v>138.10623607186466</v>
      </c>
      <c r="AI410" s="74">
        <v>8.6316397548694681</v>
      </c>
      <c r="AJ410" s="75">
        <v>0</v>
      </c>
      <c r="AK410" s="75">
        <v>0</v>
      </c>
      <c r="AL410" s="80">
        <v>8.6316397548694681</v>
      </c>
      <c r="AM410" s="74">
        <v>0</v>
      </c>
      <c r="AN410" s="74">
        <v>0</v>
      </c>
      <c r="AO410" s="81" t="s">
        <v>403</v>
      </c>
      <c r="AP410" s="82">
        <v>0</v>
      </c>
      <c r="AQ410" s="75">
        <v>0</v>
      </c>
      <c r="AR410" s="75">
        <v>0</v>
      </c>
      <c r="AS410" s="80">
        <v>0</v>
      </c>
      <c r="AT410" s="74">
        <v>5.4293014057794062</v>
      </c>
      <c r="AU410" s="75">
        <v>3.4641647549276122</v>
      </c>
      <c r="AV410" s="75">
        <v>10.539232140705854</v>
      </c>
      <c r="AW410" s="75">
        <v>4.9715367774870636</v>
      </c>
      <c r="AX410" s="80">
        <v>24.404235078899934</v>
      </c>
      <c r="AY410" s="81">
        <v>0</v>
      </c>
      <c r="AZ410" s="83" t="s">
        <v>403</v>
      </c>
      <c r="BA410" s="80" t="s">
        <v>403</v>
      </c>
      <c r="BB410" s="84">
        <v>92.591887371475082</v>
      </c>
      <c r="BC410" s="85">
        <v>8.7854490854087821</v>
      </c>
      <c r="BD410" s="86">
        <v>0.8045274999998</v>
      </c>
      <c r="BE410" s="84">
        <v>97.563424148962142</v>
      </c>
      <c r="BF410" s="87">
        <v>6.2900443339419416</v>
      </c>
      <c r="BG410" s="88">
        <v>0.84772500000000983</v>
      </c>
      <c r="BH410" s="89">
        <v>0</v>
      </c>
      <c r="BI410" s="90">
        <v>7.5000000000252601E-2</v>
      </c>
      <c r="BJ410" s="90">
        <v>0.21204750000034475</v>
      </c>
      <c r="BK410" s="91">
        <v>0.28704750000059737</v>
      </c>
      <c r="BL410" s="92">
        <v>82.052655230769233</v>
      </c>
      <c r="BM410" s="95">
        <v>0</v>
      </c>
      <c r="BN410" t="s">
        <v>402</v>
      </c>
      <c r="BO410">
        <v>0.85994999999999999</v>
      </c>
    </row>
    <row r="411" spans="1:67">
      <c r="A411" s="61" t="str">
        <f t="shared" si="6"/>
        <v>UK</v>
      </c>
      <c r="B411" s="62" t="s">
        <v>64</v>
      </c>
      <c r="C411" s="62" t="s">
        <v>176</v>
      </c>
      <c r="D411" s="63" t="s">
        <v>97</v>
      </c>
      <c r="E411" s="64">
        <v>43831</v>
      </c>
      <c r="F411" s="64">
        <v>43921</v>
      </c>
      <c r="G411" s="65">
        <v>43996</v>
      </c>
      <c r="H411" s="66" t="s">
        <v>132</v>
      </c>
      <c r="I411" s="67">
        <v>3</v>
      </c>
      <c r="J411" s="68">
        <v>2020</v>
      </c>
      <c r="K411" s="69">
        <v>1</v>
      </c>
      <c r="L411" s="70">
        <v>3</v>
      </c>
      <c r="M411" s="71" t="s">
        <v>140</v>
      </c>
      <c r="N411" s="71" t="s">
        <v>18</v>
      </c>
      <c r="O411" s="71" t="s">
        <v>78</v>
      </c>
      <c r="P411" s="71" t="s">
        <v>102</v>
      </c>
      <c r="Q411" s="61" t="s">
        <v>117</v>
      </c>
      <c r="R411" s="63" t="s">
        <v>165</v>
      </c>
      <c r="S411" s="72" t="s">
        <v>434</v>
      </c>
      <c r="T411" s="61" t="s">
        <v>435</v>
      </c>
      <c r="U411" s="73" t="s">
        <v>436</v>
      </c>
      <c r="V411" s="62">
        <v>107532</v>
      </c>
      <c r="W411" s="62" t="s">
        <v>437</v>
      </c>
      <c r="X411" s="62" t="s">
        <v>402</v>
      </c>
      <c r="Y411" s="93">
        <v>1</v>
      </c>
      <c r="Z411" s="94">
        <v>1</v>
      </c>
      <c r="AA411" s="74">
        <v>36</v>
      </c>
      <c r="AB411" s="75">
        <v>36</v>
      </c>
      <c r="AC411" s="75">
        <v>2035.7807348101635</v>
      </c>
      <c r="AD411" s="76">
        <v>2280.074422931566</v>
      </c>
      <c r="AE411" s="77">
        <v>45.544160816999998</v>
      </c>
      <c r="AF411" s="75">
        <v>45.544160816999998</v>
      </c>
      <c r="AG411" s="78">
        <v>2590.889137042851</v>
      </c>
      <c r="AH411" s="79">
        <v>2901.7958334786908</v>
      </c>
      <c r="AI411" s="74">
        <v>777.26674111285536</v>
      </c>
      <c r="AJ411" s="75">
        <v>0</v>
      </c>
      <c r="AK411" s="75">
        <v>0</v>
      </c>
      <c r="AL411" s="80">
        <v>777.26674111285536</v>
      </c>
      <c r="AM411" s="74">
        <v>1</v>
      </c>
      <c r="AN411" s="74">
        <v>0</v>
      </c>
      <c r="AO411" s="81">
        <v>0</v>
      </c>
      <c r="AP411" s="82">
        <v>1</v>
      </c>
      <c r="AQ411" s="75">
        <v>378.19641954764808</v>
      </c>
      <c r="AR411" s="75">
        <v>378.19641954764808</v>
      </c>
      <c r="AS411" s="80">
        <v>756.39283909529615</v>
      </c>
      <c r="AT411" s="74">
        <v>92.49474219198791</v>
      </c>
      <c r="AU411" s="75">
        <v>77.985763024594448</v>
      </c>
      <c r="AV411" s="75">
        <v>179.54861719867432</v>
      </c>
      <c r="AW411" s="75">
        <v>84.696165889877321</v>
      </c>
      <c r="AX411" s="80">
        <v>434.72528830513397</v>
      </c>
      <c r="AY411" s="81">
        <v>2.1956711509474907E-2</v>
      </c>
      <c r="AZ411" s="83">
        <v>756.39283909529615</v>
      </c>
      <c r="BA411" s="80">
        <v>16.60789935584809</v>
      </c>
      <c r="BB411" s="84">
        <v>802.05288572823974</v>
      </c>
      <c r="BC411" s="85">
        <v>4.4670513103464975</v>
      </c>
      <c r="BD411" s="86">
        <v>0.30956665580977905</v>
      </c>
      <c r="BE411" s="84">
        <v>886.74905161811716</v>
      </c>
      <c r="BF411" s="87">
        <v>3.3557864085473992</v>
      </c>
      <c r="BG411" s="88">
        <v>0.34225665580975845</v>
      </c>
      <c r="BH411" s="89">
        <v>0.29194334419056467</v>
      </c>
      <c r="BI411" s="90">
        <v>0.30000000000000004</v>
      </c>
      <c r="BJ411" s="90">
        <v>0.16779000000027558</v>
      </c>
      <c r="BK411" s="91">
        <v>0.75973334419084027</v>
      </c>
      <c r="BL411" s="92">
        <v>622.50426852956548</v>
      </c>
      <c r="BM411" s="95">
        <v>0</v>
      </c>
      <c r="BN411" t="s">
        <v>402</v>
      </c>
      <c r="BO411">
        <v>0.85994999999999999</v>
      </c>
    </row>
    <row r="412" spans="1:67">
      <c r="A412" s="61" t="str">
        <f t="shared" si="6"/>
        <v>UK</v>
      </c>
      <c r="B412" s="62" t="s">
        <v>64</v>
      </c>
      <c r="C412" s="62" t="s">
        <v>176</v>
      </c>
      <c r="D412" s="63" t="s">
        <v>97</v>
      </c>
      <c r="E412" s="64">
        <v>43831</v>
      </c>
      <c r="F412" s="64">
        <v>43921</v>
      </c>
      <c r="G412" s="65">
        <v>43996</v>
      </c>
      <c r="H412" s="66" t="s">
        <v>132</v>
      </c>
      <c r="I412" s="67">
        <v>3</v>
      </c>
      <c r="J412" s="68">
        <v>2020</v>
      </c>
      <c r="K412" s="69">
        <v>1</v>
      </c>
      <c r="L412" s="70">
        <v>3</v>
      </c>
      <c r="M412" s="71" t="s">
        <v>140</v>
      </c>
      <c r="N412" s="71" t="s">
        <v>18</v>
      </c>
      <c r="O412" s="71" t="s">
        <v>78</v>
      </c>
      <c r="P412" s="71" t="s">
        <v>102</v>
      </c>
      <c r="Q412" s="61" t="s">
        <v>117</v>
      </c>
      <c r="R412" s="63" t="s">
        <v>165</v>
      </c>
      <c r="S412" s="72" t="s">
        <v>434</v>
      </c>
      <c r="T412" s="61" t="s">
        <v>435</v>
      </c>
      <c r="U412" s="73" t="s">
        <v>438</v>
      </c>
      <c r="V412" s="62">
        <v>107531</v>
      </c>
      <c r="W412" s="62" t="s">
        <v>437</v>
      </c>
      <c r="X412" s="62" t="s">
        <v>402</v>
      </c>
      <c r="Y412" s="93">
        <v>1</v>
      </c>
      <c r="Z412" s="94">
        <v>1</v>
      </c>
      <c r="AA412" s="74">
        <v>3</v>
      </c>
      <c r="AB412" s="75">
        <v>3</v>
      </c>
      <c r="AC412" s="75">
        <v>62.856645439851157</v>
      </c>
      <c r="AD412" s="76">
        <v>70.399442893191463</v>
      </c>
      <c r="AE412" s="77">
        <v>1.9</v>
      </c>
      <c r="AF412" s="75">
        <v>1.9</v>
      </c>
      <c r="AG412" s="78">
        <v>31.454278734810163</v>
      </c>
      <c r="AH412" s="79">
        <v>35.228792183266471</v>
      </c>
      <c r="AI412" s="74">
        <v>9.4362836204430476</v>
      </c>
      <c r="AJ412" s="75">
        <v>0</v>
      </c>
      <c r="AK412" s="75">
        <v>0</v>
      </c>
      <c r="AL412" s="80">
        <v>9.4362836204430476</v>
      </c>
      <c r="AM412" s="74">
        <v>2</v>
      </c>
      <c r="AN412" s="74">
        <v>0</v>
      </c>
      <c r="AO412" s="81">
        <v>0</v>
      </c>
      <c r="AP412" s="82">
        <v>2</v>
      </c>
      <c r="AQ412" s="75">
        <v>535.20553520553517</v>
      </c>
      <c r="AR412" s="75">
        <v>535.20553520553517</v>
      </c>
      <c r="AS412" s="80">
        <v>1070.4110704110703</v>
      </c>
      <c r="AT412" s="74">
        <v>1.1229177507994652</v>
      </c>
      <c r="AU412" s="75">
        <v>0.94677378987150418</v>
      </c>
      <c r="AV412" s="75">
        <v>2.1797815163672305</v>
      </c>
      <c r="AW412" s="75">
        <v>1.0282403718820863</v>
      </c>
      <c r="AX412" s="80">
        <v>5.2777134289202863</v>
      </c>
      <c r="AY412" s="81">
        <v>1.0526315789473684</v>
      </c>
      <c r="AZ412" s="83">
        <v>535.20553520553517</v>
      </c>
      <c r="BA412" s="80">
        <v>563.3742475847738</v>
      </c>
      <c r="BB412" s="84">
        <v>-1051.4910072092559</v>
      </c>
      <c r="BC412" s="85">
        <v>-482.38366979166085</v>
      </c>
      <c r="BD412" s="86">
        <v>-33.429188317250471</v>
      </c>
      <c r="BE412" s="84">
        <v>-1050.4627668373739</v>
      </c>
      <c r="BF412" s="87">
        <v>-327.44875297924881</v>
      </c>
      <c r="BG412" s="88">
        <v>-33.396498317249169</v>
      </c>
      <c r="BH412" s="89">
        <v>34.030698317251705</v>
      </c>
      <c r="BI412" s="90">
        <v>0.29999999999999993</v>
      </c>
      <c r="BJ412" s="90">
        <v>0.1677900000002063</v>
      </c>
      <c r="BK412" s="91">
        <v>34.498488317251912</v>
      </c>
      <c r="BL412" s="92">
        <v>-1053.6707887256234</v>
      </c>
      <c r="BM412" s="95">
        <v>0</v>
      </c>
      <c r="BN412" t="s">
        <v>402</v>
      </c>
      <c r="BO412">
        <v>0.85994999999999999</v>
      </c>
    </row>
    <row r="413" spans="1:67">
      <c r="A413" s="61" t="str">
        <f t="shared" si="6"/>
        <v>UK</v>
      </c>
      <c r="B413" s="62" t="s">
        <v>64</v>
      </c>
      <c r="C413" s="62" t="s">
        <v>176</v>
      </c>
      <c r="D413" s="63" t="s">
        <v>97</v>
      </c>
      <c r="E413" s="64">
        <v>43831</v>
      </c>
      <c r="F413" s="64">
        <v>43921</v>
      </c>
      <c r="G413" s="65">
        <v>43996</v>
      </c>
      <c r="H413" s="66" t="s">
        <v>132</v>
      </c>
      <c r="I413" s="67">
        <v>3</v>
      </c>
      <c r="J413" s="68">
        <v>2020</v>
      </c>
      <c r="K413" s="69">
        <v>1</v>
      </c>
      <c r="L413" s="70">
        <v>3</v>
      </c>
      <c r="M413" s="71" t="s">
        <v>140</v>
      </c>
      <c r="N413" s="71" t="s">
        <v>18</v>
      </c>
      <c r="O413" s="71" t="s">
        <v>114</v>
      </c>
      <c r="P413" s="71" t="s">
        <v>102</v>
      </c>
      <c r="Q413" s="61" t="s">
        <v>73</v>
      </c>
      <c r="R413" s="63" t="s">
        <v>165</v>
      </c>
      <c r="S413" s="72" t="s">
        <v>439</v>
      </c>
      <c r="T413" s="61" t="s">
        <v>440</v>
      </c>
      <c r="U413" s="73" t="s">
        <v>441</v>
      </c>
      <c r="V413" s="62">
        <v>107050</v>
      </c>
      <c r="W413" s="62" t="s">
        <v>437</v>
      </c>
      <c r="X413" s="62" t="s">
        <v>402</v>
      </c>
      <c r="Y413" s="93">
        <v>1</v>
      </c>
      <c r="Z413" s="94">
        <v>1</v>
      </c>
      <c r="AA413" s="74">
        <v>0</v>
      </c>
      <c r="AB413" s="75">
        <v>0</v>
      </c>
      <c r="AC413" s="75">
        <v>0</v>
      </c>
      <c r="AD413" s="76">
        <v>0</v>
      </c>
      <c r="AE413" s="77">
        <v>0</v>
      </c>
      <c r="AF413" s="75">
        <v>0</v>
      </c>
      <c r="AG413" s="78">
        <v>0</v>
      </c>
      <c r="AH413" s="79">
        <v>0</v>
      </c>
      <c r="AI413" s="74">
        <v>0</v>
      </c>
      <c r="AJ413" s="75">
        <v>0</v>
      </c>
      <c r="AK413" s="75">
        <v>0</v>
      </c>
      <c r="AL413" s="80">
        <v>0</v>
      </c>
      <c r="AM413" s="74">
        <v>0</v>
      </c>
      <c r="AN413" s="74">
        <v>0</v>
      </c>
      <c r="AO413" s="81" t="s">
        <v>403</v>
      </c>
      <c r="AP413" s="82">
        <v>0</v>
      </c>
      <c r="AQ413" s="75">
        <v>0</v>
      </c>
      <c r="AR413" s="75">
        <v>0</v>
      </c>
      <c r="AS413" s="80">
        <v>0</v>
      </c>
      <c r="AT413" s="74">
        <v>0</v>
      </c>
      <c r="AU413" s="75">
        <v>0</v>
      </c>
      <c r="AV413" s="75">
        <v>0</v>
      </c>
      <c r="AW413" s="75">
        <v>0</v>
      </c>
      <c r="AX413" s="80">
        <v>0</v>
      </c>
      <c r="AY413" s="81" t="s">
        <v>403</v>
      </c>
      <c r="AZ413" s="83" t="s">
        <v>403</v>
      </c>
      <c r="BA413" s="80" t="s">
        <v>403</v>
      </c>
      <c r="BB413" s="84">
        <v>0</v>
      </c>
      <c r="BC413" s="85" t="s">
        <v>403</v>
      </c>
      <c r="BD413" s="86" t="s">
        <v>403</v>
      </c>
      <c r="BE413" s="84">
        <v>0</v>
      </c>
      <c r="BF413" s="87" t="s">
        <v>403</v>
      </c>
      <c r="BG413" s="88" t="s">
        <v>403</v>
      </c>
      <c r="BH413" s="89" t="s">
        <v>403</v>
      </c>
      <c r="BI413" s="90" t="s">
        <v>403</v>
      </c>
      <c r="BJ413" s="90" t="s">
        <v>403</v>
      </c>
      <c r="BK413" s="91">
        <v>0</v>
      </c>
      <c r="BL413" s="92">
        <v>0</v>
      </c>
      <c r="BM413" s="95" t="s">
        <v>442</v>
      </c>
      <c r="BN413" t="s">
        <v>402</v>
      </c>
      <c r="BO413">
        <v>0.85994999999999999</v>
      </c>
    </row>
    <row r="414" spans="1:67">
      <c r="A414" s="61" t="str">
        <f t="shared" si="6"/>
        <v>UK</v>
      </c>
      <c r="B414" s="62" t="s">
        <v>64</v>
      </c>
      <c r="C414" s="62" t="s">
        <v>176</v>
      </c>
      <c r="D414" s="63" t="s">
        <v>97</v>
      </c>
      <c r="E414" s="64">
        <v>43831</v>
      </c>
      <c r="F414" s="64">
        <v>43921</v>
      </c>
      <c r="G414" s="65">
        <v>43996</v>
      </c>
      <c r="H414" s="66" t="s">
        <v>132</v>
      </c>
      <c r="I414" s="67">
        <v>3</v>
      </c>
      <c r="J414" s="68">
        <v>2020</v>
      </c>
      <c r="K414" s="69">
        <v>1</v>
      </c>
      <c r="L414" s="70">
        <v>3</v>
      </c>
      <c r="M414" s="71" t="s">
        <v>140</v>
      </c>
      <c r="N414" s="71" t="s">
        <v>18</v>
      </c>
      <c r="O414" s="71" t="s">
        <v>114</v>
      </c>
      <c r="P414" s="71" t="s">
        <v>102</v>
      </c>
      <c r="Q414" s="61" t="s">
        <v>73</v>
      </c>
      <c r="R414" s="63" t="s">
        <v>165</v>
      </c>
      <c r="S414" s="72" t="s">
        <v>439</v>
      </c>
      <c r="T414" s="61" t="s">
        <v>440</v>
      </c>
      <c r="U414" s="73" t="s">
        <v>443</v>
      </c>
      <c r="V414" s="62">
        <v>107051</v>
      </c>
      <c r="W414" s="62" t="s">
        <v>437</v>
      </c>
      <c r="X414" s="62" t="s">
        <v>402</v>
      </c>
      <c r="Y414" s="93">
        <v>1</v>
      </c>
      <c r="Z414" s="94">
        <v>1</v>
      </c>
      <c r="AA414" s="74">
        <v>0</v>
      </c>
      <c r="AB414" s="75">
        <v>0</v>
      </c>
      <c r="AC414" s="75">
        <v>0</v>
      </c>
      <c r="AD414" s="76">
        <v>0</v>
      </c>
      <c r="AE414" s="77">
        <v>0</v>
      </c>
      <c r="AF414" s="75">
        <v>0</v>
      </c>
      <c r="AG414" s="78">
        <v>0</v>
      </c>
      <c r="AH414" s="79">
        <v>0</v>
      </c>
      <c r="AI414" s="74">
        <v>0</v>
      </c>
      <c r="AJ414" s="75">
        <v>0</v>
      </c>
      <c r="AK414" s="75">
        <v>0</v>
      </c>
      <c r="AL414" s="80">
        <v>0</v>
      </c>
      <c r="AM414" s="74">
        <v>0</v>
      </c>
      <c r="AN414" s="74">
        <v>0</v>
      </c>
      <c r="AO414" s="81" t="s">
        <v>403</v>
      </c>
      <c r="AP414" s="82">
        <v>0</v>
      </c>
      <c r="AQ414" s="75">
        <v>0</v>
      </c>
      <c r="AR414" s="75">
        <v>0</v>
      </c>
      <c r="AS414" s="80">
        <v>0</v>
      </c>
      <c r="AT414" s="74">
        <v>0</v>
      </c>
      <c r="AU414" s="75">
        <v>0</v>
      </c>
      <c r="AV414" s="75">
        <v>0</v>
      </c>
      <c r="AW414" s="75">
        <v>0</v>
      </c>
      <c r="AX414" s="80">
        <v>0</v>
      </c>
      <c r="AY414" s="81" t="s">
        <v>403</v>
      </c>
      <c r="AZ414" s="83" t="s">
        <v>403</v>
      </c>
      <c r="BA414" s="80" t="s">
        <v>403</v>
      </c>
      <c r="BB414" s="84">
        <v>0</v>
      </c>
      <c r="BC414" s="85" t="s">
        <v>403</v>
      </c>
      <c r="BD414" s="86" t="s">
        <v>403</v>
      </c>
      <c r="BE414" s="84">
        <v>0</v>
      </c>
      <c r="BF414" s="87" t="s">
        <v>403</v>
      </c>
      <c r="BG414" s="88" t="s">
        <v>403</v>
      </c>
      <c r="BH414" s="89" t="s">
        <v>403</v>
      </c>
      <c r="BI414" s="90" t="s">
        <v>403</v>
      </c>
      <c r="BJ414" s="90" t="s">
        <v>403</v>
      </c>
      <c r="BK414" s="91">
        <v>0</v>
      </c>
      <c r="BL414" s="92">
        <v>0</v>
      </c>
      <c r="BM414" s="95" t="s">
        <v>442</v>
      </c>
      <c r="BN414" t="s">
        <v>402</v>
      </c>
      <c r="BO414">
        <v>0.85994999999999999</v>
      </c>
    </row>
    <row r="415" spans="1:67">
      <c r="A415" s="61" t="str">
        <f t="shared" si="6"/>
        <v>UK</v>
      </c>
      <c r="B415" s="62" t="s">
        <v>64</v>
      </c>
      <c r="C415" s="62" t="s">
        <v>176</v>
      </c>
      <c r="D415" s="63" t="s">
        <v>97</v>
      </c>
      <c r="E415" s="64">
        <v>43831</v>
      </c>
      <c r="F415" s="64">
        <v>43921</v>
      </c>
      <c r="G415" s="65">
        <v>43996</v>
      </c>
      <c r="H415" s="66" t="s">
        <v>132</v>
      </c>
      <c r="I415" s="67">
        <v>3</v>
      </c>
      <c r="J415" s="68">
        <v>2020</v>
      </c>
      <c r="K415" s="69">
        <v>1</v>
      </c>
      <c r="L415" s="70">
        <v>3</v>
      </c>
      <c r="M415" s="71" t="s">
        <v>140</v>
      </c>
      <c r="N415" s="71" t="s">
        <v>18</v>
      </c>
      <c r="O415" s="71" t="s">
        <v>114</v>
      </c>
      <c r="P415" s="71" t="s">
        <v>102</v>
      </c>
      <c r="Q415" s="61" t="s">
        <v>74</v>
      </c>
      <c r="R415" s="63" t="s">
        <v>106</v>
      </c>
      <c r="S415" s="72" t="s">
        <v>444</v>
      </c>
      <c r="T415" s="61" t="s">
        <v>445</v>
      </c>
      <c r="U415" s="73" t="s">
        <v>446</v>
      </c>
      <c r="V415" s="62">
        <v>107503</v>
      </c>
      <c r="W415" s="62" t="s">
        <v>437</v>
      </c>
      <c r="X415" s="62" t="s">
        <v>402</v>
      </c>
      <c r="Y415" s="93">
        <v>1</v>
      </c>
      <c r="Z415" s="94">
        <v>1</v>
      </c>
      <c r="AA415" s="74">
        <v>0</v>
      </c>
      <c r="AB415" s="75">
        <v>0</v>
      </c>
      <c r="AC415" s="75">
        <v>0</v>
      </c>
      <c r="AD415" s="76">
        <v>0</v>
      </c>
      <c r="AE415" s="77">
        <v>0</v>
      </c>
      <c r="AF415" s="75">
        <v>0</v>
      </c>
      <c r="AG415" s="78">
        <v>0</v>
      </c>
      <c r="AH415" s="79">
        <v>0</v>
      </c>
      <c r="AI415" s="74">
        <v>0</v>
      </c>
      <c r="AJ415" s="75">
        <v>0</v>
      </c>
      <c r="AK415" s="75">
        <v>0</v>
      </c>
      <c r="AL415" s="80">
        <v>0</v>
      </c>
      <c r="AM415" s="74">
        <v>0</v>
      </c>
      <c r="AN415" s="74">
        <v>0</v>
      </c>
      <c r="AO415" s="81" t="s">
        <v>403</v>
      </c>
      <c r="AP415" s="82">
        <v>0</v>
      </c>
      <c r="AQ415" s="75">
        <v>0</v>
      </c>
      <c r="AR415" s="75">
        <v>0</v>
      </c>
      <c r="AS415" s="80">
        <v>0</v>
      </c>
      <c r="AT415" s="74">
        <v>0</v>
      </c>
      <c r="AU415" s="75">
        <v>0</v>
      </c>
      <c r="AV415" s="75">
        <v>0</v>
      </c>
      <c r="AW415" s="75">
        <v>0</v>
      </c>
      <c r="AX415" s="80">
        <v>0</v>
      </c>
      <c r="AY415" s="81" t="s">
        <v>403</v>
      </c>
      <c r="AZ415" s="83" t="s">
        <v>403</v>
      </c>
      <c r="BA415" s="80" t="s">
        <v>403</v>
      </c>
      <c r="BB415" s="84">
        <v>0</v>
      </c>
      <c r="BC415" s="85" t="s">
        <v>403</v>
      </c>
      <c r="BD415" s="86" t="s">
        <v>403</v>
      </c>
      <c r="BE415" s="84">
        <v>0</v>
      </c>
      <c r="BF415" s="87" t="s">
        <v>403</v>
      </c>
      <c r="BG415" s="88" t="s">
        <v>403</v>
      </c>
      <c r="BH415" s="89" t="s">
        <v>403</v>
      </c>
      <c r="BI415" s="90" t="s">
        <v>403</v>
      </c>
      <c r="BJ415" s="90" t="s">
        <v>403</v>
      </c>
      <c r="BK415" s="91">
        <v>0</v>
      </c>
      <c r="BL415" s="92">
        <v>0</v>
      </c>
      <c r="BM415" s="95">
        <v>0</v>
      </c>
      <c r="BN415" t="s">
        <v>402</v>
      </c>
      <c r="BO415">
        <v>0.85994999999999999</v>
      </c>
    </row>
    <row r="416" spans="1:67">
      <c r="A416" s="61" t="str">
        <f t="shared" si="6"/>
        <v>UK</v>
      </c>
      <c r="B416" s="62" t="s">
        <v>64</v>
      </c>
      <c r="C416" s="62" t="s">
        <v>176</v>
      </c>
      <c r="D416" s="63" t="s">
        <v>97</v>
      </c>
      <c r="E416" s="64">
        <v>43831</v>
      </c>
      <c r="F416" s="64">
        <v>43921</v>
      </c>
      <c r="G416" s="65">
        <v>43996</v>
      </c>
      <c r="H416" s="66" t="s">
        <v>132</v>
      </c>
      <c r="I416" s="67">
        <v>3</v>
      </c>
      <c r="J416" s="68">
        <v>2020</v>
      </c>
      <c r="K416" s="69">
        <v>1</v>
      </c>
      <c r="L416" s="70">
        <v>3</v>
      </c>
      <c r="M416" s="71" t="s">
        <v>140</v>
      </c>
      <c r="N416" s="71" t="s">
        <v>18</v>
      </c>
      <c r="O416" s="71" t="s">
        <v>114</v>
      </c>
      <c r="P416" s="71" t="s">
        <v>102</v>
      </c>
      <c r="Q416" s="61" t="s">
        <v>73</v>
      </c>
      <c r="R416" s="63" t="s">
        <v>113</v>
      </c>
      <c r="S416" s="72" t="s">
        <v>447</v>
      </c>
      <c r="T416" s="61" t="s">
        <v>448</v>
      </c>
      <c r="U416" s="73" t="s">
        <v>449</v>
      </c>
      <c r="V416" s="62">
        <v>107121</v>
      </c>
      <c r="W416" s="62" t="s">
        <v>450</v>
      </c>
      <c r="X416" s="62" t="s">
        <v>402</v>
      </c>
      <c r="Y416" s="93">
        <v>1</v>
      </c>
      <c r="Z416" s="94">
        <v>1</v>
      </c>
      <c r="AA416" s="74">
        <v>235865</v>
      </c>
      <c r="AB416" s="75">
        <v>462312</v>
      </c>
      <c r="AC416" s="75">
        <v>2606739.3735682308</v>
      </c>
      <c r="AD416" s="76">
        <v>2919548.0984940985</v>
      </c>
      <c r="AE416" s="77">
        <v>191977.97980999999</v>
      </c>
      <c r="AF416" s="75">
        <v>414579.55022999999</v>
      </c>
      <c r="AG416" s="78">
        <v>1979766.9099366241</v>
      </c>
      <c r="AH416" s="79">
        <v>2217338.9391243677</v>
      </c>
      <c r="AI416" s="74">
        <v>2468.9683501366358</v>
      </c>
      <c r="AJ416" s="75">
        <v>0</v>
      </c>
      <c r="AK416" s="75">
        <v>0</v>
      </c>
      <c r="AL416" s="80">
        <v>2468.9683501366358</v>
      </c>
      <c r="AM416" s="74">
        <v>354</v>
      </c>
      <c r="AN416" s="74">
        <v>17</v>
      </c>
      <c r="AO416" s="81">
        <v>4.8022598870056499E-2</v>
      </c>
      <c r="AP416" s="82">
        <v>993</v>
      </c>
      <c r="AQ416" s="75">
        <v>54370.219191813485</v>
      </c>
      <c r="AR416" s="75">
        <v>56861.189607535322</v>
      </c>
      <c r="AS416" s="80">
        <v>111231.40879934881</v>
      </c>
      <c r="AT416" s="74">
        <v>100842.19502064073</v>
      </c>
      <c r="AU416" s="75">
        <v>59590.983988603992</v>
      </c>
      <c r="AV416" s="75">
        <v>195752.49621489624</v>
      </c>
      <c r="AW416" s="75">
        <v>92339.813871736726</v>
      </c>
      <c r="AX416" s="80">
        <v>448525.48909587774</v>
      </c>
      <c r="AY416" s="81">
        <v>2.3951977357520517E-3</v>
      </c>
      <c r="AZ416" s="83">
        <v>112.01551742129789</v>
      </c>
      <c r="BA416" s="80">
        <v>0.26829931369658722</v>
      </c>
      <c r="BB416" s="84">
        <v>1613293.5399061572</v>
      </c>
      <c r="BC416" s="85">
        <v>8.2414966404060088</v>
      </c>
      <c r="BD416" s="86">
        <v>0.81489064788834242</v>
      </c>
      <c r="BE416" s="84">
        <v>1705633.3537778938</v>
      </c>
      <c r="BF416" s="87">
        <v>5.9204404076769297</v>
      </c>
      <c r="BG416" s="88">
        <v>0.86153240829370881</v>
      </c>
      <c r="BH416" s="89">
        <v>5.6184093309706605E-2</v>
      </c>
      <c r="BI416" s="90">
        <v>1.2471005236751188E-3</v>
      </c>
      <c r="BJ416" s="90">
        <v>0.22655469532533801</v>
      </c>
      <c r="BK416" s="91">
        <v>0.28398588915871975</v>
      </c>
      <c r="BL416" s="92">
        <v>1417541.043691261</v>
      </c>
      <c r="BM416" s="95">
        <v>0</v>
      </c>
      <c r="BN416" t="s">
        <v>402</v>
      </c>
      <c r="BO416">
        <v>0.85994999999999999</v>
      </c>
    </row>
    <row r="417" spans="1:65">
      <c r="A417" s="61">
        <f t="shared" si="6"/>
        <v>0</v>
      </c>
      <c r="B417" s="62"/>
      <c r="C417" s="62"/>
      <c r="D417" s="63"/>
      <c r="E417" s="64"/>
      <c r="F417" s="64"/>
      <c r="G417" s="65"/>
      <c r="H417" s="66" t="str">
        <f t="shared" ref="H392:H455" si="7">IF(F417="","",IF(F417="","",IF((F417-E417+1)&gt;360,"Most Recently 12 Months","Year To Date")))</f>
        <v/>
      </c>
      <c r="I417" s="67" t="str">
        <f t="shared" ref="I392:I455" si="8">IF(F417="","",ROUND((F417-E417+1)/(((365*3+366)/4)/12),0))</f>
        <v/>
      </c>
      <c r="J417" s="68" t="str">
        <f t="shared" ref="J392:J455" si="9">IF(F417="","",YEAR(F417))</f>
        <v/>
      </c>
      <c r="K417" s="69" t="str">
        <f t="shared" ref="K392:K455" si="10">IF(F417="","",CEILING(L417/3,1))</f>
        <v/>
      </c>
      <c r="L417" s="70" t="str">
        <f t="shared" ref="L392:L455" si="11">IF(F417="","",MONTH(F417))</f>
        <v/>
      </c>
      <c r="M417" s="71"/>
      <c r="N417" s="71"/>
      <c r="O417" s="71"/>
      <c r="P417" s="71"/>
      <c r="Q417" s="61"/>
      <c r="R417" s="63"/>
      <c r="S417" s="72"/>
      <c r="T417" s="61"/>
      <c r="U417" s="73"/>
      <c r="V417" s="62"/>
      <c r="W417" s="62"/>
      <c r="X417" s="62"/>
      <c r="Y417" s="93"/>
      <c r="Z417" s="94"/>
      <c r="AA417" s="74"/>
      <c r="AB417" s="75"/>
      <c r="AC417" s="75"/>
      <c r="AD417" s="76"/>
      <c r="AE417" s="77"/>
      <c r="AF417" s="75"/>
      <c r="AG417" s="78"/>
      <c r="AH417" s="79"/>
      <c r="AI417" s="74"/>
      <c r="AJ417" s="75"/>
      <c r="AK417" s="75"/>
      <c r="AL417" s="80">
        <f t="shared" ref="AL392:AL455" si="12">SUM(AI417:AK417)</f>
        <v>0</v>
      </c>
      <c r="AM417" s="74"/>
      <c r="AN417" s="74"/>
      <c r="AO417" s="81" t="str">
        <f t="shared" ref="AO392:AO455" si="13">IFERROR(AN417/AM417,"")</f>
        <v/>
      </c>
      <c r="AP417" s="82"/>
      <c r="AQ417" s="75"/>
      <c r="AR417" s="75"/>
      <c r="AS417" s="80">
        <f t="shared" ref="AS392:AS455" si="14">SUM(AQ417:AR417)</f>
        <v>0</v>
      </c>
      <c r="AT417" s="74"/>
      <c r="AU417" s="75"/>
      <c r="AV417" s="75"/>
      <c r="AW417" s="75"/>
      <c r="AX417" s="80">
        <f t="shared" ref="AX392:AX455" si="15">SUM(AT417:AW417)</f>
        <v>0</v>
      </c>
      <c r="AY417" s="81" t="str">
        <f t="shared" ref="AY392:AY455" si="16">IFERROR(AP417/AF417,"")</f>
        <v/>
      </c>
      <c r="AZ417" s="83" t="str">
        <f t="shared" ref="AZ392:AZ455" si="17">IFERROR(AS417/AP417,"")</f>
        <v/>
      </c>
      <c r="BA417" s="80" t="str">
        <f t="shared" ref="BA392:BA455" si="18">IFERROR(AY417*AZ417,"")</f>
        <v/>
      </c>
      <c r="BB417" s="84">
        <f t="shared" ref="BB392:BB455" si="19">AG417-SUM(AL417,AS417:AU417,AW417)</f>
        <v>0</v>
      </c>
      <c r="BC417" s="85" t="str">
        <f t="shared" ref="BC392:BC455" si="20">IFERROR(BB417/AV417,"")</f>
        <v/>
      </c>
      <c r="BD417" s="86" t="str">
        <f t="shared" ref="BD392:BD455" si="21">IFERROR(BB417/AG417,"")</f>
        <v/>
      </c>
      <c r="BE417" s="84">
        <f t="shared" ref="BE392:BE455" si="22">AG417-SUM(AL417,AS417:AU417)</f>
        <v>0</v>
      </c>
      <c r="BF417" s="87" t="str">
        <f t="shared" ref="BF392:BF455" si="23">IFERROR(BE417/SUM(AV417:AW417),"")</f>
        <v/>
      </c>
      <c r="BG417" s="88" t="str">
        <f t="shared" ref="BG392:BG455" si="24">IFERROR(BE417/AG417,"")</f>
        <v/>
      </c>
      <c r="BH417" s="89" t="str">
        <f t="shared" ref="BH392:BH455" si="25">IFERROR(AS417/AG417,"")</f>
        <v/>
      </c>
      <c r="BI417" s="90" t="str">
        <f t="shared" ref="BI392:BI455" si="26">IFERROR(AL417/AG417,"")</f>
        <v/>
      </c>
      <c r="BJ417" s="90" t="str">
        <f t="shared" ref="BJ392:BJ455" si="27">IFERROR(AX417/AG417,"")</f>
        <v/>
      </c>
      <c r="BK417" s="91">
        <f t="shared" ref="BK392:BK455" si="28">SUM(BH417:BJ417)</f>
        <v>0</v>
      </c>
      <c r="BL417" s="92">
        <f t="shared" ref="BL392:BL455" si="29">AG417-SUM(AL417,AS417,AX417)</f>
        <v>0</v>
      </c>
      <c r="BM417" s="95"/>
    </row>
    <row r="418" spans="1:65">
      <c r="A418" s="61">
        <f t="shared" ref="A418:A481" si="30">B418</f>
        <v>0</v>
      </c>
      <c r="B418" s="62"/>
      <c r="C418" s="62"/>
      <c r="D418" s="63"/>
      <c r="E418" s="64"/>
      <c r="F418" s="64"/>
      <c r="G418" s="65"/>
      <c r="H418" s="66" t="str">
        <f t="shared" si="7"/>
        <v/>
      </c>
      <c r="I418" s="67" t="str">
        <f t="shared" si="8"/>
        <v/>
      </c>
      <c r="J418" s="68" t="str">
        <f t="shared" si="9"/>
        <v/>
      </c>
      <c r="K418" s="69" t="str">
        <f t="shared" si="10"/>
        <v/>
      </c>
      <c r="L418" s="70" t="str">
        <f t="shared" si="11"/>
        <v/>
      </c>
      <c r="M418" s="71"/>
      <c r="N418" s="71"/>
      <c r="O418" s="71"/>
      <c r="P418" s="71"/>
      <c r="Q418" s="61"/>
      <c r="R418" s="63"/>
      <c r="S418" s="72"/>
      <c r="T418" s="61"/>
      <c r="U418" s="73"/>
      <c r="V418" s="62"/>
      <c r="W418" s="62"/>
      <c r="X418" s="62"/>
      <c r="Y418" s="93"/>
      <c r="Z418" s="94"/>
      <c r="AA418" s="74"/>
      <c r="AB418" s="75"/>
      <c r="AC418" s="75"/>
      <c r="AD418" s="76"/>
      <c r="AE418" s="77"/>
      <c r="AF418" s="75"/>
      <c r="AG418" s="78"/>
      <c r="AH418" s="79"/>
      <c r="AI418" s="74"/>
      <c r="AJ418" s="75"/>
      <c r="AK418" s="75"/>
      <c r="AL418" s="80">
        <f t="shared" si="12"/>
        <v>0</v>
      </c>
      <c r="AM418" s="74"/>
      <c r="AN418" s="74"/>
      <c r="AO418" s="81" t="str">
        <f t="shared" si="13"/>
        <v/>
      </c>
      <c r="AP418" s="82"/>
      <c r="AQ418" s="75"/>
      <c r="AR418" s="75"/>
      <c r="AS418" s="80">
        <f t="shared" si="14"/>
        <v>0</v>
      </c>
      <c r="AT418" s="74"/>
      <c r="AU418" s="75"/>
      <c r="AV418" s="75"/>
      <c r="AW418" s="75"/>
      <c r="AX418" s="80">
        <f t="shared" si="15"/>
        <v>0</v>
      </c>
      <c r="AY418" s="81" t="str">
        <f t="shared" si="16"/>
        <v/>
      </c>
      <c r="AZ418" s="83" t="str">
        <f t="shared" si="17"/>
        <v/>
      </c>
      <c r="BA418" s="80" t="str">
        <f t="shared" si="18"/>
        <v/>
      </c>
      <c r="BB418" s="84">
        <f t="shared" si="19"/>
        <v>0</v>
      </c>
      <c r="BC418" s="85" t="str">
        <f t="shared" si="20"/>
        <v/>
      </c>
      <c r="BD418" s="86" t="str">
        <f t="shared" si="21"/>
        <v/>
      </c>
      <c r="BE418" s="84">
        <f t="shared" si="22"/>
        <v>0</v>
      </c>
      <c r="BF418" s="87" t="str">
        <f t="shared" si="23"/>
        <v/>
      </c>
      <c r="BG418" s="88" t="str">
        <f t="shared" si="24"/>
        <v/>
      </c>
      <c r="BH418" s="89" t="str">
        <f t="shared" si="25"/>
        <v/>
      </c>
      <c r="BI418" s="90" t="str">
        <f t="shared" si="26"/>
        <v/>
      </c>
      <c r="BJ418" s="90" t="str">
        <f t="shared" si="27"/>
        <v/>
      </c>
      <c r="BK418" s="91">
        <f t="shared" si="28"/>
        <v>0</v>
      </c>
      <c r="BL418" s="92">
        <f t="shared" si="29"/>
        <v>0</v>
      </c>
      <c r="BM418" s="95"/>
    </row>
    <row r="419" spans="1:65">
      <c r="A419" s="61">
        <f t="shared" si="30"/>
        <v>0</v>
      </c>
      <c r="B419" s="62"/>
      <c r="C419" s="62"/>
      <c r="D419" s="63"/>
      <c r="E419" s="64"/>
      <c r="F419" s="64"/>
      <c r="G419" s="65"/>
      <c r="H419" s="66" t="str">
        <f t="shared" si="7"/>
        <v/>
      </c>
      <c r="I419" s="67" t="str">
        <f t="shared" si="8"/>
        <v/>
      </c>
      <c r="J419" s="68" t="str">
        <f t="shared" si="9"/>
        <v/>
      </c>
      <c r="K419" s="69" t="str">
        <f t="shared" si="10"/>
        <v/>
      </c>
      <c r="L419" s="70" t="str">
        <f t="shared" si="11"/>
        <v/>
      </c>
      <c r="M419" s="71"/>
      <c r="N419" s="71"/>
      <c r="O419" s="71"/>
      <c r="P419" s="71"/>
      <c r="Q419" s="61"/>
      <c r="R419" s="63"/>
      <c r="S419" s="72"/>
      <c r="T419" s="61"/>
      <c r="U419" s="73"/>
      <c r="V419" s="62"/>
      <c r="W419" s="62"/>
      <c r="X419" s="62"/>
      <c r="Y419" s="93"/>
      <c r="Z419" s="94"/>
      <c r="AA419" s="74"/>
      <c r="AB419" s="75"/>
      <c r="AC419" s="75"/>
      <c r="AD419" s="76"/>
      <c r="AE419" s="77"/>
      <c r="AF419" s="75"/>
      <c r="AG419" s="78"/>
      <c r="AH419" s="79"/>
      <c r="AI419" s="74"/>
      <c r="AJ419" s="75"/>
      <c r="AK419" s="75"/>
      <c r="AL419" s="80">
        <f t="shared" si="12"/>
        <v>0</v>
      </c>
      <c r="AM419" s="74"/>
      <c r="AN419" s="74"/>
      <c r="AO419" s="81" t="str">
        <f t="shared" si="13"/>
        <v/>
      </c>
      <c r="AP419" s="82"/>
      <c r="AQ419" s="75"/>
      <c r="AR419" s="75"/>
      <c r="AS419" s="80">
        <f t="shared" si="14"/>
        <v>0</v>
      </c>
      <c r="AT419" s="74"/>
      <c r="AU419" s="75"/>
      <c r="AV419" s="75"/>
      <c r="AW419" s="75"/>
      <c r="AX419" s="80">
        <f t="shared" si="15"/>
        <v>0</v>
      </c>
      <c r="AY419" s="81" t="str">
        <f t="shared" si="16"/>
        <v/>
      </c>
      <c r="AZ419" s="83" t="str">
        <f t="shared" si="17"/>
        <v/>
      </c>
      <c r="BA419" s="80" t="str">
        <f t="shared" si="18"/>
        <v/>
      </c>
      <c r="BB419" s="84">
        <f t="shared" si="19"/>
        <v>0</v>
      </c>
      <c r="BC419" s="85" t="str">
        <f t="shared" si="20"/>
        <v/>
      </c>
      <c r="BD419" s="86" t="str">
        <f t="shared" si="21"/>
        <v/>
      </c>
      <c r="BE419" s="84">
        <f t="shared" si="22"/>
        <v>0</v>
      </c>
      <c r="BF419" s="87" t="str">
        <f t="shared" si="23"/>
        <v/>
      </c>
      <c r="BG419" s="88" t="str">
        <f t="shared" si="24"/>
        <v/>
      </c>
      <c r="BH419" s="89" t="str">
        <f t="shared" si="25"/>
        <v/>
      </c>
      <c r="BI419" s="90" t="str">
        <f t="shared" si="26"/>
        <v/>
      </c>
      <c r="BJ419" s="90" t="str">
        <f t="shared" si="27"/>
        <v/>
      </c>
      <c r="BK419" s="91">
        <f t="shared" si="28"/>
        <v>0</v>
      </c>
      <c r="BL419" s="92">
        <f t="shared" si="29"/>
        <v>0</v>
      </c>
      <c r="BM419" s="95"/>
    </row>
    <row r="420" spans="1:65">
      <c r="A420" s="61">
        <f t="shared" si="30"/>
        <v>0</v>
      </c>
      <c r="B420" s="62"/>
      <c r="C420" s="62"/>
      <c r="D420" s="63"/>
      <c r="E420" s="64"/>
      <c r="F420" s="64"/>
      <c r="G420" s="65"/>
      <c r="H420" s="66" t="str">
        <f t="shared" si="7"/>
        <v/>
      </c>
      <c r="I420" s="67" t="str">
        <f t="shared" si="8"/>
        <v/>
      </c>
      <c r="J420" s="68" t="str">
        <f t="shared" si="9"/>
        <v/>
      </c>
      <c r="K420" s="69" t="str">
        <f t="shared" si="10"/>
        <v/>
      </c>
      <c r="L420" s="70" t="str">
        <f t="shared" si="11"/>
        <v/>
      </c>
      <c r="M420" s="71"/>
      <c r="N420" s="71"/>
      <c r="O420" s="71"/>
      <c r="P420" s="71"/>
      <c r="Q420" s="61"/>
      <c r="R420" s="63"/>
      <c r="S420" s="72"/>
      <c r="T420" s="61"/>
      <c r="U420" s="73"/>
      <c r="V420" s="62"/>
      <c r="W420" s="62"/>
      <c r="X420" s="62"/>
      <c r="Y420" s="93"/>
      <c r="Z420" s="94"/>
      <c r="AA420" s="74"/>
      <c r="AB420" s="75"/>
      <c r="AC420" s="75"/>
      <c r="AD420" s="76"/>
      <c r="AE420" s="77"/>
      <c r="AF420" s="75"/>
      <c r="AG420" s="78"/>
      <c r="AH420" s="79"/>
      <c r="AI420" s="74"/>
      <c r="AJ420" s="75"/>
      <c r="AK420" s="75"/>
      <c r="AL420" s="80">
        <f t="shared" si="12"/>
        <v>0</v>
      </c>
      <c r="AM420" s="74"/>
      <c r="AN420" s="74"/>
      <c r="AO420" s="81" t="str">
        <f t="shared" si="13"/>
        <v/>
      </c>
      <c r="AP420" s="82"/>
      <c r="AQ420" s="75"/>
      <c r="AR420" s="75"/>
      <c r="AS420" s="80">
        <f t="shared" si="14"/>
        <v>0</v>
      </c>
      <c r="AT420" s="74"/>
      <c r="AU420" s="75"/>
      <c r="AV420" s="75"/>
      <c r="AW420" s="75"/>
      <c r="AX420" s="80">
        <f t="shared" si="15"/>
        <v>0</v>
      </c>
      <c r="AY420" s="81" t="str">
        <f t="shared" si="16"/>
        <v/>
      </c>
      <c r="AZ420" s="83" t="str">
        <f t="shared" si="17"/>
        <v/>
      </c>
      <c r="BA420" s="80" t="str">
        <f t="shared" si="18"/>
        <v/>
      </c>
      <c r="BB420" s="84">
        <f t="shared" si="19"/>
        <v>0</v>
      </c>
      <c r="BC420" s="85" t="str">
        <f t="shared" si="20"/>
        <v/>
      </c>
      <c r="BD420" s="86" t="str">
        <f t="shared" si="21"/>
        <v/>
      </c>
      <c r="BE420" s="84">
        <f t="shared" si="22"/>
        <v>0</v>
      </c>
      <c r="BF420" s="87" t="str">
        <f t="shared" si="23"/>
        <v/>
      </c>
      <c r="BG420" s="88" t="str">
        <f t="shared" si="24"/>
        <v/>
      </c>
      <c r="BH420" s="89" t="str">
        <f t="shared" si="25"/>
        <v/>
      </c>
      <c r="BI420" s="90" t="str">
        <f t="shared" si="26"/>
        <v/>
      </c>
      <c r="BJ420" s="90" t="str">
        <f t="shared" si="27"/>
        <v/>
      </c>
      <c r="BK420" s="91">
        <f t="shared" si="28"/>
        <v>0</v>
      </c>
      <c r="BL420" s="92">
        <f t="shared" si="29"/>
        <v>0</v>
      </c>
      <c r="BM420" s="95"/>
    </row>
    <row r="421" spans="1:65">
      <c r="A421" s="61">
        <f t="shared" si="30"/>
        <v>0</v>
      </c>
      <c r="B421" s="62"/>
      <c r="C421" s="62"/>
      <c r="D421" s="63"/>
      <c r="E421" s="64"/>
      <c r="F421" s="64"/>
      <c r="G421" s="65"/>
      <c r="H421" s="66" t="str">
        <f t="shared" si="7"/>
        <v/>
      </c>
      <c r="I421" s="67" t="str">
        <f t="shared" si="8"/>
        <v/>
      </c>
      <c r="J421" s="68" t="str">
        <f t="shared" si="9"/>
        <v/>
      </c>
      <c r="K421" s="69" t="str">
        <f t="shared" si="10"/>
        <v/>
      </c>
      <c r="L421" s="70" t="str">
        <f t="shared" si="11"/>
        <v/>
      </c>
      <c r="M421" s="71"/>
      <c r="N421" s="71"/>
      <c r="O421" s="71"/>
      <c r="P421" s="71"/>
      <c r="Q421" s="61"/>
      <c r="R421" s="63"/>
      <c r="S421" s="72"/>
      <c r="T421" s="61"/>
      <c r="U421" s="73"/>
      <c r="V421" s="62"/>
      <c r="W421" s="62"/>
      <c r="X421" s="62"/>
      <c r="Y421" s="93"/>
      <c r="Z421" s="94"/>
      <c r="AA421" s="74"/>
      <c r="AB421" s="75"/>
      <c r="AC421" s="75"/>
      <c r="AD421" s="76"/>
      <c r="AE421" s="77"/>
      <c r="AF421" s="75"/>
      <c r="AG421" s="78"/>
      <c r="AH421" s="79"/>
      <c r="AI421" s="74"/>
      <c r="AJ421" s="75"/>
      <c r="AK421" s="75"/>
      <c r="AL421" s="80">
        <f t="shared" si="12"/>
        <v>0</v>
      </c>
      <c r="AM421" s="74"/>
      <c r="AN421" s="74"/>
      <c r="AO421" s="81" t="str">
        <f t="shared" si="13"/>
        <v/>
      </c>
      <c r="AP421" s="82"/>
      <c r="AQ421" s="75"/>
      <c r="AR421" s="75"/>
      <c r="AS421" s="80">
        <f t="shared" si="14"/>
        <v>0</v>
      </c>
      <c r="AT421" s="74"/>
      <c r="AU421" s="75"/>
      <c r="AV421" s="75"/>
      <c r="AW421" s="75"/>
      <c r="AX421" s="80">
        <f t="shared" si="15"/>
        <v>0</v>
      </c>
      <c r="AY421" s="81" t="str">
        <f t="shared" si="16"/>
        <v/>
      </c>
      <c r="AZ421" s="83" t="str">
        <f t="shared" si="17"/>
        <v/>
      </c>
      <c r="BA421" s="80" t="str">
        <f t="shared" si="18"/>
        <v/>
      </c>
      <c r="BB421" s="84">
        <f t="shared" si="19"/>
        <v>0</v>
      </c>
      <c r="BC421" s="85" t="str">
        <f t="shared" si="20"/>
        <v/>
      </c>
      <c r="BD421" s="86" t="str">
        <f t="shared" si="21"/>
        <v/>
      </c>
      <c r="BE421" s="84">
        <f t="shared" si="22"/>
        <v>0</v>
      </c>
      <c r="BF421" s="87" t="str">
        <f t="shared" si="23"/>
        <v/>
      </c>
      <c r="BG421" s="88" t="str">
        <f t="shared" si="24"/>
        <v/>
      </c>
      <c r="BH421" s="89" t="str">
        <f t="shared" si="25"/>
        <v/>
      </c>
      <c r="BI421" s="90" t="str">
        <f t="shared" si="26"/>
        <v/>
      </c>
      <c r="BJ421" s="90" t="str">
        <f t="shared" si="27"/>
        <v/>
      </c>
      <c r="BK421" s="91">
        <f t="shared" si="28"/>
        <v>0</v>
      </c>
      <c r="BL421" s="92">
        <f t="shared" si="29"/>
        <v>0</v>
      </c>
      <c r="BM421" s="95"/>
    </row>
    <row r="422" spans="1:65">
      <c r="A422" s="61">
        <f t="shared" si="30"/>
        <v>0</v>
      </c>
      <c r="B422" s="62"/>
      <c r="C422" s="62"/>
      <c r="D422" s="63"/>
      <c r="E422" s="64"/>
      <c r="F422" s="64"/>
      <c r="G422" s="65"/>
      <c r="H422" s="66" t="str">
        <f t="shared" si="7"/>
        <v/>
      </c>
      <c r="I422" s="67" t="str">
        <f t="shared" si="8"/>
        <v/>
      </c>
      <c r="J422" s="68" t="str">
        <f t="shared" si="9"/>
        <v/>
      </c>
      <c r="K422" s="69" t="str">
        <f t="shared" si="10"/>
        <v/>
      </c>
      <c r="L422" s="70" t="str">
        <f t="shared" si="11"/>
        <v/>
      </c>
      <c r="M422" s="71"/>
      <c r="N422" s="71"/>
      <c r="O422" s="71"/>
      <c r="P422" s="71"/>
      <c r="Q422" s="61"/>
      <c r="R422" s="63"/>
      <c r="S422" s="72"/>
      <c r="T422" s="61"/>
      <c r="U422" s="73"/>
      <c r="V422" s="62"/>
      <c r="W422" s="62"/>
      <c r="X422" s="62"/>
      <c r="Y422" s="93"/>
      <c r="Z422" s="94"/>
      <c r="AA422" s="74"/>
      <c r="AB422" s="75"/>
      <c r="AC422" s="75"/>
      <c r="AD422" s="76"/>
      <c r="AE422" s="77"/>
      <c r="AF422" s="75"/>
      <c r="AG422" s="78"/>
      <c r="AH422" s="79"/>
      <c r="AI422" s="74"/>
      <c r="AJ422" s="75"/>
      <c r="AK422" s="75"/>
      <c r="AL422" s="80">
        <f t="shared" si="12"/>
        <v>0</v>
      </c>
      <c r="AM422" s="74"/>
      <c r="AN422" s="74"/>
      <c r="AO422" s="81" t="str">
        <f t="shared" si="13"/>
        <v/>
      </c>
      <c r="AP422" s="82"/>
      <c r="AQ422" s="75"/>
      <c r="AR422" s="75"/>
      <c r="AS422" s="80">
        <f t="shared" si="14"/>
        <v>0</v>
      </c>
      <c r="AT422" s="74"/>
      <c r="AU422" s="75"/>
      <c r="AV422" s="75"/>
      <c r="AW422" s="75"/>
      <c r="AX422" s="80">
        <f t="shared" si="15"/>
        <v>0</v>
      </c>
      <c r="AY422" s="81" t="str">
        <f t="shared" si="16"/>
        <v/>
      </c>
      <c r="AZ422" s="83" t="str">
        <f t="shared" si="17"/>
        <v/>
      </c>
      <c r="BA422" s="80" t="str">
        <f t="shared" si="18"/>
        <v/>
      </c>
      <c r="BB422" s="84">
        <f t="shared" si="19"/>
        <v>0</v>
      </c>
      <c r="BC422" s="85" t="str">
        <f t="shared" si="20"/>
        <v/>
      </c>
      <c r="BD422" s="86" t="str">
        <f t="shared" si="21"/>
        <v/>
      </c>
      <c r="BE422" s="84">
        <f t="shared" si="22"/>
        <v>0</v>
      </c>
      <c r="BF422" s="87" t="str">
        <f t="shared" si="23"/>
        <v/>
      </c>
      <c r="BG422" s="88" t="str">
        <f t="shared" si="24"/>
        <v/>
      </c>
      <c r="BH422" s="89" t="str">
        <f t="shared" si="25"/>
        <v/>
      </c>
      <c r="BI422" s="90" t="str">
        <f t="shared" si="26"/>
        <v/>
      </c>
      <c r="BJ422" s="90" t="str">
        <f t="shared" si="27"/>
        <v/>
      </c>
      <c r="BK422" s="91">
        <f t="shared" si="28"/>
        <v>0</v>
      </c>
      <c r="BL422" s="92">
        <f t="shared" si="29"/>
        <v>0</v>
      </c>
      <c r="BM422" s="95"/>
    </row>
    <row r="423" spans="1:65">
      <c r="A423" s="61">
        <f t="shared" si="30"/>
        <v>0</v>
      </c>
      <c r="B423" s="62"/>
      <c r="C423" s="62"/>
      <c r="D423" s="63"/>
      <c r="E423" s="64"/>
      <c r="F423" s="64"/>
      <c r="G423" s="65"/>
      <c r="H423" s="66" t="str">
        <f t="shared" si="7"/>
        <v/>
      </c>
      <c r="I423" s="67" t="str">
        <f t="shared" si="8"/>
        <v/>
      </c>
      <c r="J423" s="68" t="str">
        <f t="shared" si="9"/>
        <v/>
      </c>
      <c r="K423" s="69" t="str">
        <f t="shared" si="10"/>
        <v/>
      </c>
      <c r="L423" s="70" t="str">
        <f t="shared" si="11"/>
        <v/>
      </c>
      <c r="M423" s="71"/>
      <c r="N423" s="71"/>
      <c r="O423" s="71"/>
      <c r="P423" s="71"/>
      <c r="Q423" s="61"/>
      <c r="R423" s="63"/>
      <c r="S423" s="72"/>
      <c r="T423" s="61"/>
      <c r="U423" s="73"/>
      <c r="V423" s="62"/>
      <c r="W423" s="62"/>
      <c r="X423" s="62"/>
      <c r="Y423" s="93"/>
      <c r="Z423" s="94"/>
      <c r="AA423" s="74"/>
      <c r="AB423" s="75"/>
      <c r="AC423" s="75"/>
      <c r="AD423" s="76"/>
      <c r="AE423" s="77"/>
      <c r="AF423" s="75"/>
      <c r="AG423" s="78"/>
      <c r="AH423" s="79"/>
      <c r="AI423" s="74"/>
      <c r="AJ423" s="75"/>
      <c r="AK423" s="75"/>
      <c r="AL423" s="80">
        <f t="shared" si="12"/>
        <v>0</v>
      </c>
      <c r="AM423" s="74"/>
      <c r="AN423" s="74"/>
      <c r="AO423" s="81" t="str">
        <f t="shared" si="13"/>
        <v/>
      </c>
      <c r="AP423" s="82"/>
      <c r="AQ423" s="75"/>
      <c r="AR423" s="75"/>
      <c r="AS423" s="80">
        <f t="shared" si="14"/>
        <v>0</v>
      </c>
      <c r="AT423" s="74"/>
      <c r="AU423" s="75"/>
      <c r="AV423" s="75"/>
      <c r="AW423" s="75"/>
      <c r="AX423" s="80">
        <f t="shared" si="15"/>
        <v>0</v>
      </c>
      <c r="AY423" s="81" t="str">
        <f t="shared" si="16"/>
        <v/>
      </c>
      <c r="AZ423" s="83" t="str">
        <f t="shared" si="17"/>
        <v/>
      </c>
      <c r="BA423" s="80" t="str">
        <f t="shared" si="18"/>
        <v/>
      </c>
      <c r="BB423" s="84">
        <f t="shared" si="19"/>
        <v>0</v>
      </c>
      <c r="BC423" s="85" t="str">
        <f t="shared" si="20"/>
        <v/>
      </c>
      <c r="BD423" s="86" t="str">
        <f t="shared" si="21"/>
        <v/>
      </c>
      <c r="BE423" s="84">
        <f t="shared" si="22"/>
        <v>0</v>
      </c>
      <c r="BF423" s="87" t="str">
        <f t="shared" si="23"/>
        <v/>
      </c>
      <c r="BG423" s="88" t="str">
        <f t="shared" si="24"/>
        <v/>
      </c>
      <c r="BH423" s="89" t="str">
        <f t="shared" si="25"/>
        <v/>
      </c>
      <c r="BI423" s="90" t="str">
        <f t="shared" si="26"/>
        <v/>
      </c>
      <c r="BJ423" s="90" t="str">
        <f t="shared" si="27"/>
        <v/>
      </c>
      <c r="BK423" s="91">
        <f t="shared" si="28"/>
        <v>0</v>
      </c>
      <c r="BL423" s="92">
        <f t="shared" si="29"/>
        <v>0</v>
      </c>
      <c r="BM423" s="95"/>
    </row>
    <row r="424" spans="1:65">
      <c r="A424" s="61">
        <f t="shared" si="30"/>
        <v>0</v>
      </c>
      <c r="B424" s="62"/>
      <c r="C424" s="62"/>
      <c r="D424" s="63"/>
      <c r="E424" s="64"/>
      <c r="F424" s="64"/>
      <c r="G424" s="65"/>
      <c r="H424" s="66" t="str">
        <f t="shared" si="7"/>
        <v/>
      </c>
      <c r="I424" s="67" t="str">
        <f t="shared" si="8"/>
        <v/>
      </c>
      <c r="J424" s="68" t="str">
        <f t="shared" si="9"/>
        <v/>
      </c>
      <c r="K424" s="69" t="str">
        <f t="shared" si="10"/>
        <v/>
      </c>
      <c r="L424" s="70" t="str">
        <f t="shared" si="11"/>
        <v/>
      </c>
      <c r="M424" s="71"/>
      <c r="N424" s="71"/>
      <c r="O424" s="71"/>
      <c r="P424" s="71"/>
      <c r="Q424" s="61"/>
      <c r="R424" s="63"/>
      <c r="S424" s="72"/>
      <c r="T424" s="61"/>
      <c r="U424" s="73"/>
      <c r="V424" s="62"/>
      <c r="W424" s="62"/>
      <c r="X424" s="62"/>
      <c r="Y424" s="93"/>
      <c r="Z424" s="94"/>
      <c r="AA424" s="74"/>
      <c r="AB424" s="75"/>
      <c r="AC424" s="75"/>
      <c r="AD424" s="76"/>
      <c r="AE424" s="77"/>
      <c r="AF424" s="75"/>
      <c r="AG424" s="78"/>
      <c r="AH424" s="79"/>
      <c r="AI424" s="74"/>
      <c r="AJ424" s="75"/>
      <c r="AK424" s="75"/>
      <c r="AL424" s="80">
        <f t="shared" si="12"/>
        <v>0</v>
      </c>
      <c r="AM424" s="74"/>
      <c r="AN424" s="74"/>
      <c r="AO424" s="81" t="str">
        <f t="shared" si="13"/>
        <v/>
      </c>
      <c r="AP424" s="82"/>
      <c r="AQ424" s="75"/>
      <c r="AR424" s="75"/>
      <c r="AS424" s="80">
        <f t="shared" si="14"/>
        <v>0</v>
      </c>
      <c r="AT424" s="74"/>
      <c r="AU424" s="75"/>
      <c r="AV424" s="75"/>
      <c r="AW424" s="75"/>
      <c r="AX424" s="80">
        <f t="shared" si="15"/>
        <v>0</v>
      </c>
      <c r="AY424" s="81" t="str">
        <f t="shared" si="16"/>
        <v/>
      </c>
      <c r="AZ424" s="83" t="str">
        <f t="shared" si="17"/>
        <v/>
      </c>
      <c r="BA424" s="80" t="str">
        <f t="shared" si="18"/>
        <v/>
      </c>
      <c r="BB424" s="84">
        <f t="shared" si="19"/>
        <v>0</v>
      </c>
      <c r="BC424" s="85" t="str">
        <f t="shared" si="20"/>
        <v/>
      </c>
      <c r="BD424" s="86" t="str">
        <f t="shared" si="21"/>
        <v/>
      </c>
      <c r="BE424" s="84">
        <f t="shared" si="22"/>
        <v>0</v>
      </c>
      <c r="BF424" s="87" t="str">
        <f t="shared" si="23"/>
        <v/>
      </c>
      <c r="BG424" s="88" t="str">
        <f t="shared" si="24"/>
        <v/>
      </c>
      <c r="BH424" s="89" t="str">
        <f t="shared" si="25"/>
        <v/>
      </c>
      <c r="BI424" s="90" t="str">
        <f t="shared" si="26"/>
        <v/>
      </c>
      <c r="BJ424" s="90" t="str">
        <f t="shared" si="27"/>
        <v/>
      </c>
      <c r="BK424" s="91">
        <f t="shared" si="28"/>
        <v>0</v>
      </c>
      <c r="BL424" s="92">
        <f t="shared" si="29"/>
        <v>0</v>
      </c>
      <c r="BM424" s="95"/>
    </row>
    <row r="425" spans="1:65">
      <c r="A425" s="61">
        <f t="shared" si="30"/>
        <v>0</v>
      </c>
      <c r="B425" s="62"/>
      <c r="C425" s="62"/>
      <c r="D425" s="63"/>
      <c r="E425" s="64"/>
      <c r="F425" s="64"/>
      <c r="G425" s="65"/>
      <c r="H425" s="66" t="str">
        <f t="shared" si="7"/>
        <v/>
      </c>
      <c r="I425" s="67" t="str">
        <f t="shared" si="8"/>
        <v/>
      </c>
      <c r="J425" s="68" t="str">
        <f t="shared" si="9"/>
        <v/>
      </c>
      <c r="K425" s="69" t="str">
        <f t="shared" si="10"/>
        <v/>
      </c>
      <c r="L425" s="70" t="str">
        <f t="shared" si="11"/>
        <v/>
      </c>
      <c r="M425" s="71"/>
      <c r="N425" s="71"/>
      <c r="O425" s="71"/>
      <c r="P425" s="71"/>
      <c r="Q425" s="61"/>
      <c r="R425" s="63"/>
      <c r="S425" s="72"/>
      <c r="T425" s="61"/>
      <c r="U425" s="73"/>
      <c r="V425" s="62"/>
      <c r="W425" s="62"/>
      <c r="X425" s="62"/>
      <c r="Y425" s="93"/>
      <c r="Z425" s="94"/>
      <c r="AA425" s="74"/>
      <c r="AB425" s="75"/>
      <c r="AC425" s="75"/>
      <c r="AD425" s="76"/>
      <c r="AE425" s="77"/>
      <c r="AF425" s="75"/>
      <c r="AG425" s="78"/>
      <c r="AH425" s="79"/>
      <c r="AI425" s="74"/>
      <c r="AJ425" s="75"/>
      <c r="AK425" s="75"/>
      <c r="AL425" s="80">
        <f t="shared" si="12"/>
        <v>0</v>
      </c>
      <c r="AM425" s="74"/>
      <c r="AN425" s="74"/>
      <c r="AO425" s="81" t="str">
        <f t="shared" si="13"/>
        <v/>
      </c>
      <c r="AP425" s="82"/>
      <c r="AQ425" s="75"/>
      <c r="AR425" s="75"/>
      <c r="AS425" s="80">
        <f t="shared" si="14"/>
        <v>0</v>
      </c>
      <c r="AT425" s="74"/>
      <c r="AU425" s="75"/>
      <c r="AV425" s="75"/>
      <c r="AW425" s="75"/>
      <c r="AX425" s="80">
        <f t="shared" si="15"/>
        <v>0</v>
      </c>
      <c r="AY425" s="81" t="str">
        <f t="shared" si="16"/>
        <v/>
      </c>
      <c r="AZ425" s="83" t="str">
        <f t="shared" si="17"/>
        <v/>
      </c>
      <c r="BA425" s="80" t="str">
        <f t="shared" si="18"/>
        <v/>
      </c>
      <c r="BB425" s="84">
        <f t="shared" si="19"/>
        <v>0</v>
      </c>
      <c r="BC425" s="85" t="str">
        <f t="shared" si="20"/>
        <v/>
      </c>
      <c r="BD425" s="86" t="str">
        <f t="shared" si="21"/>
        <v/>
      </c>
      <c r="BE425" s="84">
        <f t="shared" si="22"/>
        <v>0</v>
      </c>
      <c r="BF425" s="87" t="str">
        <f t="shared" si="23"/>
        <v/>
      </c>
      <c r="BG425" s="88" t="str">
        <f t="shared" si="24"/>
        <v/>
      </c>
      <c r="BH425" s="89" t="str">
        <f t="shared" si="25"/>
        <v/>
      </c>
      <c r="BI425" s="90" t="str">
        <f t="shared" si="26"/>
        <v/>
      </c>
      <c r="BJ425" s="90" t="str">
        <f t="shared" si="27"/>
        <v/>
      </c>
      <c r="BK425" s="91">
        <f t="shared" si="28"/>
        <v>0</v>
      </c>
      <c r="BL425" s="92">
        <f t="shared" si="29"/>
        <v>0</v>
      </c>
      <c r="BM425" s="95"/>
    </row>
    <row r="426" spans="1:65">
      <c r="A426" s="61">
        <f t="shared" si="30"/>
        <v>0</v>
      </c>
      <c r="B426" s="62"/>
      <c r="C426" s="62"/>
      <c r="D426" s="63"/>
      <c r="E426" s="64"/>
      <c r="F426" s="64"/>
      <c r="G426" s="65"/>
      <c r="H426" s="66" t="str">
        <f t="shared" si="7"/>
        <v/>
      </c>
      <c r="I426" s="67" t="str">
        <f t="shared" si="8"/>
        <v/>
      </c>
      <c r="J426" s="68" t="str">
        <f t="shared" si="9"/>
        <v/>
      </c>
      <c r="K426" s="69" t="str">
        <f t="shared" si="10"/>
        <v/>
      </c>
      <c r="L426" s="70" t="str">
        <f t="shared" si="11"/>
        <v/>
      </c>
      <c r="M426" s="71"/>
      <c r="N426" s="71"/>
      <c r="O426" s="71"/>
      <c r="P426" s="71"/>
      <c r="Q426" s="61"/>
      <c r="R426" s="63"/>
      <c r="S426" s="72"/>
      <c r="T426" s="61"/>
      <c r="U426" s="73"/>
      <c r="V426" s="62"/>
      <c r="W426" s="62"/>
      <c r="X426" s="62"/>
      <c r="Y426" s="93"/>
      <c r="Z426" s="94"/>
      <c r="AA426" s="74"/>
      <c r="AB426" s="75"/>
      <c r="AC426" s="75"/>
      <c r="AD426" s="76"/>
      <c r="AE426" s="77"/>
      <c r="AF426" s="75"/>
      <c r="AG426" s="78"/>
      <c r="AH426" s="79"/>
      <c r="AI426" s="74"/>
      <c r="AJ426" s="75"/>
      <c r="AK426" s="75"/>
      <c r="AL426" s="80">
        <f t="shared" si="12"/>
        <v>0</v>
      </c>
      <c r="AM426" s="74"/>
      <c r="AN426" s="74"/>
      <c r="AO426" s="81" t="str">
        <f t="shared" si="13"/>
        <v/>
      </c>
      <c r="AP426" s="82"/>
      <c r="AQ426" s="75"/>
      <c r="AR426" s="75"/>
      <c r="AS426" s="80">
        <f t="shared" si="14"/>
        <v>0</v>
      </c>
      <c r="AT426" s="74"/>
      <c r="AU426" s="75"/>
      <c r="AV426" s="75"/>
      <c r="AW426" s="75"/>
      <c r="AX426" s="80">
        <f t="shared" si="15"/>
        <v>0</v>
      </c>
      <c r="AY426" s="81" t="str">
        <f t="shared" si="16"/>
        <v/>
      </c>
      <c r="AZ426" s="83" t="str">
        <f t="shared" si="17"/>
        <v/>
      </c>
      <c r="BA426" s="80" t="str">
        <f t="shared" si="18"/>
        <v/>
      </c>
      <c r="BB426" s="84">
        <f t="shared" si="19"/>
        <v>0</v>
      </c>
      <c r="BC426" s="85" t="str">
        <f t="shared" si="20"/>
        <v/>
      </c>
      <c r="BD426" s="86" t="str">
        <f t="shared" si="21"/>
        <v/>
      </c>
      <c r="BE426" s="84">
        <f t="shared" si="22"/>
        <v>0</v>
      </c>
      <c r="BF426" s="87" t="str">
        <f t="shared" si="23"/>
        <v/>
      </c>
      <c r="BG426" s="88" t="str">
        <f t="shared" si="24"/>
        <v/>
      </c>
      <c r="BH426" s="89" t="str">
        <f t="shared" si="25"/>
        <v/>
      </c>
      <c r="BI426" s="90" t="str">
        <f t="shared" si="26"/>
        <v/>
      </c>
      <c r="BJ426" s="90" t="str">
        <f t="shared" si="27"/>
        <v/>
      </c>
      <c r="BK426" s="91">
        <f t="shared" si="28"/>
        <v>0</v>
      </c>
      <c r="BL426" s="92">
        <f t="shared" si="29"/>
        <v>0</v>
      </c>
      <c r="BM426" s="95"/>
    </row>
    <row r="427" spans="1:65">
      <c r="A427" s="61">
        <f t="shared" si="30"/>
        <v>0</v>
      </c>
      <c r="B427" s="62"/>
      <c r="C427" s="62"/>
      <c r="D427" s="63"/>
      <c r="E427" s="64"/>
      <c r="F427" s="64"/>
      <c r="G427" s="65"/>
      <c r="H427" s="66" t="str">
        <f t="shared" si="7"/>
        <v/>
      </c>
      <c r="I427" s="67" t="str">
        <f t="shared" si="8"/>
        <v/>
      </c>
      <c r="J427" s="68" t="str">
        <f t="shared" si="9"/>
        <v/>
      </c>
      <c r="K427" s="69" t="str">
        <f t="shared" si="10"/>
        <v/>
      </c>
      <c r="L427" s="70" t="str">
        <f t="shared" si="11"/>
        <v/>
      </c>
      <c r="M427" s="71"/>
      <c r="N427" s="71"/>
      <c r="O427" s="71"/>
      <c r="P427" s="71"/>
      <c r="Q427" s="61"/>
      <c r="R427" s="63"/>
      <c r="S427" s="72"/>
      <c r="T427" s="61"/>
      <c r="U427" s="73"/>
      <c r="V427" s="62"/>
      <c r="W427" s="62"/>
      <c r="X427" s="62"/>
      <c r="Y427" s="93"/>
      <c r="Z427" s="94"/>
      <c r="AA427" s="74"/>
      <c r="AB427" s="75"/>
      <c r="AC427" s="75"/>
      <c r="AD427" s="76"/>
      <c r="AE427" s="77"/>
      <c r="AF427" s="75"/>
      <c r="AG427" s="78"/>
      <c r="AH427" s="79"/>
      <c r="AI427" s="74"/>
      <c r="AJ427" s="75"/>
      <c r="AK427" s="75"/>
      <c r="AL427" s="80">
        <f t="shared" si="12"/>
        <v>0</v>
      </c>
      <c r="AM427" s="74"/>
      <c r="AN427" s="74"/>
      <c r="AO427" s="81" t="str">
        <f t="shared" si="13"/>
        <v/>
      </c>
      <c r="AP427" s="82"/>
      <c r="AQ427" s="75"/>
      <c r="AR427" s="75"/>
      <c r="AS427" s="80">
        <f t="shared" si="14"/>
        <v>0</v>
      </c>
      <c r="AT427" s="74"/>
      <c r="AU427" s="75"/>
      <c r="AV427" s="75"/>
      <c r="AW427" s="75"/>
      <c r="AX427" s="80">
        <f t="shared" si="15"/>
        <v>0</v>
      </c>
      <c r="AY427" s="81" t="str">
        <f t="shared" si="16"/>
        <v/>
      </c>
      <c r="AZ427" s="83" t="str">
        <f t="shared" si="17"/>
        <v/>
      </c>
      <c r="BA427" s="80" t="str">
        <f t="shared" si="18"/>
        <v/>
      </c>
      <c r="BB427" s="84">
        <f t="shared" si="19"/>
        <v>0</v>
      </c>
      <c r="BC427" s="85" t="str">
        <f t="shared" si="20"/>
        <v/>
      </c>
      <c r="BD427" s="86" t="str">
        <f t="shared" si="21"/>
        <v/>
      </c>
      <c r="BE427" s="84">
        <f t="shared" si="22"/>
        <v>0</v>
      </c>
      <c r="BF427" s="87" t="str">
        <f t="shared" si="23"/>
        <v/>
      </c>
      <c r="BG427" s="88" t="str">
        <f t="shared" si="24"/>
        <v/>
      </c>
      <c r="BH427" s="89" t="str">
        <f t="shared" si="25"/>
        <v/>
      </c>
      <c r="BI427" s="90" t="str">
        <f t="shared" si="26"/>
        <v/>
      </c>
      <c r="BJ427" s="90" t="str">
        <f t="shared" si="27"/>
        <v/>
      </c>
      <c r="BK427" s="91">
        <f t="shared" si="28"/>
        <v>0</v>
      </c>
      <c r="BL427" s="92">
        <f t="shared" si="29"/>
        <v>0</v>
      </c>
      <c r="BM427" s="95"/>
    </row>
    <row r="428" spans="1:65">
      <c r="A428" s="61">
        <f t="shared" si="30"/>
        <v>0</v>
      </c>
      <c r="B428" s="62"/>
      <c r="C428" s="62"/>
      <c r="D428" s="63"/>
      <c r="E428" s="64"/>
      <c r="F428" s="64"/>
      <c r="G428" s="65"/>
      <c r="H428" s="66" t="str">
        <f t="shared" si="7"/>
        <v/>
      </c>
      <c r="I428" s="67" t="str">
        <f t="shared" si="8"/>
        <v/>
      </c>
      <c r="J428" s="68" t="str">
        <f t="shared" si="9"/>
        <v/>
      </c>
      <c r="K428" s="69" t="str">
        <f t="shared" si="10"/>
        <v/>
      </c>
      <c r="L428" s="70" t="str">
        <f t="shared" si="11"/>
        <v/>
      </c>
      <c r="M428" s="71"/>
      <c r="N428" s="71"/>
      <c r="O428" s="71"/>
      <c r="P428" s="71"/>
      <c r="Q428" s="61"/>
      <c r="R428" s="63"/>
      <c r="S428" s="72"/>
      <c r="T428" s="61"/>
      <c r="U428" s="73"/>
      <c r="V428" s="62"/>
      <c r="W428" s="62"/>
      <c r="X428" s="62"/>
      <c r="Y428" s="93"/>
      <c r="Z428" s="94"/>
      <c r="AA428" s="74"/>
      <c r="AB428" s="75"/>
      <c r="AC428" s="75"/>
      <c r="AD428" s="76"/>
      <c r="AE428" s="77"/>
      <c r="AF428" s="75"/>
      <c r="AG428" s="78"/>
      <c r="AH428" s="79"/>
      <c r="AI428" s="74"/>
      <c r="AJ428" s="75"/>
      <c r="AK428" s="75"/>
      <c r="AL428" s="80">
        <f t="shared" si="12"/>
        <v>0</v>
      </c>
      <c r="AM428" s="74"/>
      <c r="AN428" s="74"/>
      <c r="AO428" s="81" t="str">
        <f t="shared" si="13"/>
        <v/>
      </c>
      <c r="AP428" s="82"/>
      <c r="AQ428" s="75"/>
      <c r="AR428" s="75"/>
      <c r="AS428" s="80">
        <f t="shared" si="14"/>
        <v>0</v>
      </c>
      <c r="AT428" s="74"/>
      <c r="AU428" s="75"/>
      <c r="AV428" s="75"/>
      <c r="AW428" s="75"/>
      <c r="AX428" s="80">
        <f t="shared" si="15"/>
        <v>0</v>
      </c>
      <c r="AY428" s="81" t="str">
        <f t="shared" si="16"/>
        <v/>
      </c>
      <c r="AZ428" s="83" t="str">
        <f t="shared" si="17"/>
        <v/>
      </c>
      <c r="BA428" s="80" t="str">
        <f t="shared" si="18"/>
        <v/>
      </c>
      <c r="BB428" s="84">
        <f t="shared" si="19"/>
        <v>0</v>
      </c>
      <c r="BC428" s="85" t="str">
        <f t="shared" si="20"/>
        <v/>
      </c>
      <c r="BD428" s="86" t="str">
        <f t="shared" si="21"/>
        <v/>
      </c>
      <c r="BE428" s="84">
        <f t="shared" si="22"/>
        <v>0</v>
      </c>
      <c r="BF428" s="87" t="str">
        <f t="shared" si="23"/>
        <v/>
      </c>
      <c r="BG428" s="88" t="str">
        <f t="shared" si="24"/>
        <v/>
      </c>
      <c r="BH428" s="89" t="str">
        <f t="shared" si="25"/>
        <v/>
      </c>
      <c r="BI428" s="90" t="str">
        <f t="shared" si="26"/>
        <v/>
      </c>
      <c r="BJ428" s="90" t="str">
        <f t="shared" si="27"/>
        <v/>
      </c>
      <c r="BK428" s="91">
        <f t="shared" si="28"/>
        <v>0</v>
      </c>
      <c r="BL428" s="92">
        <f t="shared" si="29"/>
        <v>0</v>
      </c>
      <c r="BM428" s="95"/>
    </row>
    <row r="429" spans="1:65">
      <c r="A429" s="61">
        <f t="shared" si="30"/>
        <v>0</v>
      </c>
      <c r="B429" s="62"/>
      <c r="C429" s="62"/>
      <c r="D429" s="63"/>
      <c r="E429" s="64"/>
      <c r="F429" s="64"/>
      <c r="G429" s="65"/>
      <c r="H429" s="66" t="str">
        <f t="shared" si="7"/>
        <v/>
      </c>
      <c r="I429" s="67" t="str">
        <f t="shared" si="8"/>
        <v/>
      </c>
      <c r="J429" s="68" t="str">
        <f t="shared" si="9"/>
        <v/>
      </c>
      <c r="K429" s="69" t="str">
        <f t="shared" si="10"/>
        <v/>
      </c>
      <c r="L429" s="70" t="str">
        <f t="shared" si="11"/>
        <v/>
      </c>
      <c r="M429" s="71"/>
      <c r="N429" s="71"/>
      <c r="O429" s="71"/>
      <c r="P429" s="71"/>
      <c r="Q429" s="61"/>
      <c r="R429" s="63"/>
      <c r="S429" s="72"/>
      <c r="T429" s="61"/>
      <c r="U429" s="73"/>
      <c r="V429" s="62"/>
      <c r="W429" s="62"/>
      <c r="X429" s="62"/>
      <c r="Y429" s="93"/>
      <c r="Z429" s="94"/>
      <c r="AA429" s="74"/>
      <c r="AB429" s="75"/>
      <c r="AC429" s="75"/>
      <c r="AD429" s="76"/>
      <c r="AE429" s="77"/>
      <c r="AF429" s="75"/>
      <c r="AG429" s="78"/>
      <c r="AH429" s="79"/>
      <c r="AI429" s="74"/>
      <c r="AJ429" s="75"/>
      <c r="AK429" s="75"/>
      <c r="AL429" s="80">
        <f t="shared" si="12"/>
        <v>0</v>
      </c>
      <c r="AM429" s="74"/>
      <c r="AN429" s="74"/>
      <c r="AO429" s="81" t="str">
        <f t="shared" si="13"/>
        <v/>
      </c>
      <c r="AP429" s="82"/>
      <c r="AQ429" s="75"/>
      <c r="AR429" s="75"/>
      <c r="AS429" s="80">
        <f t="shared" si="14"/>
        <v>0</v>
      </c>
      <c r="AT429" s="74"/>
      <c r="AU429" s="75"/>
      <c r="AV429" s="75"/>
      <c r="AW429" s="75"/>
      <c r="AX429" s="80">
        <f t="shared" si="15"/>
        <v>0</v>
      </c>
      <c r="AY429" s="81" t="str">
        <f t="shared" si="16"/>
        <v/>
      </c>
      <c r="AZ429" s="83" t="str">
        <f t="shared" si="17"/>
        <v/>
      </c>
      <c r="BA429" s="80" t="str">
        <f t="shared" si="18"/>
        <v/>
      </c>
      <c r="BB429" s="84">
        <f t="shared" si="19"/>
        <v>0</v>
      </c>
      <c r="BC429" s="85" t="str">
        <f t="shared" si="20"/>
        <v/>
      </c>
      <c r="BD429" s="86" t="str">
        <f t="shared" si="21"/>
        <v/>
      </c>
      <c r="BE429" s="84">
        <f t="shared" si="22"/>
        <v>0</v>
      </c>
      <c r="BF429" s="87" t="str">
        <f t="shared" si="23"/>
        <v/>
      </c>
      <c r="BG429" s="88" t="str">
        <f t="shared" si="24"/>
        <v/>
      </c>
      <c r="BH429" s="89" t="str">
        <f t="shared" si="25"/>
        <v/>
      </c>
      <c r="BI429" s="90" t="str">
        <f t="shared" si="26"/>
        <v/>
      </c>
      <c r="BJ429" s="90" t="str">
        <f t="shared" si="27"/>
        <v/>
      </c>
      <c r="BK429" s="91">
        <f t="shared" si="28"/>
        <v>0</v>
      </c>
      <c r="BL429" s="92">
        <f t="shared" si="29"/>
        <v>0</v>
      </c>
      <c r="BM429" s="95"/>
    </row>
    <row r="430" spans="1:65">
      <c r="A430" s="61">
        <f t="shared" si="30"/>
        <v>0</v>
      </c>
      <c r="B430" s="62"/>
      <c r="C430" s="62"/>
      <c r="D430" s="63"/>
      <c r="E430" s="64"/>
      <c r="F430" s="64"/>
      <c r="G430" s="65"/>
      <c r="H430" s="66" t="str">
        <f t="shared" si="7"/>
        <v/>
      </c>
      <c r="I430" s="67" t="str">
        <f t="shared" si="8"/>
        <v/>
      </c>
      <c r="J430" s="68" t="str">
        <f t="shared" si="9"/>
        <v/>
      </c>
      <c r="K430" s="69" t="str">
        <f t="shared" si="10"/>
        <v/>
      </c>
      <c r="L430" s="70" t="str">
        <f t="shared" si="11"/>
        <v/>
      </c>
      <c r="M430" s="71"/>
      <c r="N430" s="71"/>
      <c r="O430" s="71"/>
      <c r="P430" s="71"/>
      <c r="Q430" s="61"/>
      <c r="R430" s="63"/>
      <c r="S430" s="72"/>
      <c r="T430" s="61"/>
      <c r="U430" s="73"/>
      <c r="V430" s="62"/>
      <c r="W430" s="62"/>
      <c r="X430" s="62"/>
      <c r="Y430" s="93"/>
      <c r="Z430" s="94"/>
      <c r="AA430" s="74"/>
      <c r="AB430" s="75"/>
      <c r="AC430" s="75"/>
      <c r="AD430" s="76"/>
      <c r="AE430" s="77"/>
      <c r="AF430" s="75"/>
      <c r="AG430" s="78"/>
      <c r="AH430" s="79"/>
      <c r="AI430" s="74"/>
      <c r="AJ430" s="75"/>
      <c r="AK430" s="75"/>
      <c r="AL430" s="80">
        <f t="shared" si="12"/>
        <v>0</v>
      </c>
      <c r="AM430" s="74"/>
      <c r="AN430" s="74"/>
      <c r="AO430" s="81" t="str">
        <f t="shared" si="13"/>
        <v/>
      </c>
      <c r="AP430" s="82"/>
      <c r="AQ430" s="75"/>
      <c r="AR430" s="75"/>
      <c r="AS430" s="80">
        <f t="shared" si="14"/>
        <v>0</v>
      </c>
      <c r="AT430" s="74"/>
      <c r="AU430" s="75"/>
      <c r="AV430" s="75"/>
      <c r="AW430" s="75"/>
      <c r="AX430" s="80">
        <f t="shared" si="15"/>
        <v>0</v>
      </c>
      <c r="AY430" s="81" t="str">
        <f t="shared" si="16"/>
        <v/>
      </c>
      <c r="AZ430" s="83" t="str">
        <f t="shared" si="17"/>
        <v/>
      </c>
      <c r="BA430" s="80" t="str">
        <f t="shared" si="18"/>
        <v/>
      </c>
      <c r="BB430" s="84">
        <f t="shared" si="19"/>
        <v>0</v>
      </c>
      <c r="BC430" s="85" t="str">
        <f t="shared" si="20"/>
        <v/>
      </c>
      <c r="BD430" s="86" t="str">
        <f t="shared" si="21"/>
        <v/>
      </c>
      <c r="BE430" s="84">
        <f t="shared" si="22"/>
        <v>0</v>
      </c>
      <c r="BF430" s="87" t="str">
        <f t="shared" si="23"/>
        <v/>
      </c>
      <c r="BG430" s="88" t="str">
        <f t="shared" si="24"/>
        <v/>
      </c>
      <c r="BH430" s="89" t="str">
        <f t="shared" si="25"/>
        <v/>
      </c>
      <c r="BI430" s="90" t="str">
        <f t="shared" si="26"/>
        <v/>
      </c>
      <c r="BJ430" s="90" t="str">
        <f t="shared" si="27"/>
        <v/>
      </c>
      <c r="BK430" s="91">
        <f t="shared" si="28"/>
        <v>0</v>
      </c>
      <c r="BL430" s="92">
        <f t="shared" si="29"/>
        <v>0</v>
      </c>
      <c r="BM430" s="95"/>
    </row>
    <row r="431" spans="1:65">
      <c r="A431" s="61">
        <f t="shared" si="30"/>
        <v>0</v>
      </c>
      <c r="B431" s="62"/>
      <c r="C431" s="62"/>
      <c r="D431" s="63"/>
      <c r="E431" s="64"/>
      <c r="F431" s="64"/>
      <c r="G431" s="65"/>
      <c r="H431" s="66" t="str">
        <f t="shared" si="7"/>
        <v/>
      </c>
      <c r="I431" s="67" t="str">
        <f t="shared" si="8"/>
        <v/>
      </c>
      <c r="J431" s="68" t="str">
        <f t="shared" si="9"/>
        <v/>
      </c>
      <c r="K431" s="69" t="str">
        <f t="shared" si="10"/>
        <v/>
      </c>
      <c r="L431" s="70" t="str">
        <f t="shared" si="11"/>
        <v/>
      </c>
      <c r="M431" s="71"/>
      <c r="N431" s="71"/>
      <c r="O431" s="71"/>
      <c r="P431" s="71"/>
      <c r="Q431" s="61"/>
      <c r="R431" s="63"/>
      <c r="S431" s="72"/>
      <c r="T431" s="61"/>
      <c r="U431" s="73"/>
      <c r="V431" s="62"/>
      <c r="W431" s="62"/>
      <c r="X431" s="62"/>
      <c r="Y431" s="93"/>
      <c r="Z431" s="94"/>
      <c r="AA431" s="74"/>
      <c r="AB431" s="75"/>
      <c r="AC431" s="75"/>
      <c r="AD431" s="76"/>
      <c r="AE431" s="77"/>
      <c r="AF431" s="75"/>
      <c r="AG431" s="78"/>
      <c r="AH431" s="79"/>
      <c r="AI431" s="74"/>
      <c r="AJ431" s="75"/>
      <c r="AK431" s="75"/>
      <c r="AL431" s="80">
        <f t="shared" si="12"/>
        <v>0</v>
      </c>
      <c r="AM431" s="74"/>
      <c r="AN431" s="74"/>
      <c r="AO431" s="81" t="str">
        <f t="shared" si="13"/>
        <v/>
      </c>
      <c r="AP431" s="82"/>
      <c r="AQ431" s="75"/>
      <c r="AR431" s="75"/>
      <c r="AS431" s="80">
        <f t="shared" si="14"/>
        <v>0</v>
      </c>
      <c r="AT431" s="74"/>
      <c r="AU431" s="75"/>
      <c r="AV431" s="75"/>
      <c r="AW431" s="75"/>
      <c r="AX431" s="80">
        <f t="shared" si="15"/>
        <v>0</v>
      </c>
      <c r="AY431" s="81" t="str">
        <f t="shared" si="16"/>
        <v/>
      </c>
      <c r="AZ431" s="83" t="str">
        <f t="shared" si="17"/>
        <v/>
      </c>
      <c r="BA431" s="80" t="str">
        <f t="shared" si="18"/>
        <v/>
      </c>
      <c r="BB431" s="84">
        <f t="shared" si="19"/>
        <v>0</v>
      </c>
      <c r="BC431" s="85" t="str">
        <f t="shared" si="20"/>
        <v/>
      </c>
      <c r="BD431" s="86" t="str">
        <f t="shared" si="21"/>
        <v/>
      </c>
      <c r="BE431" s="84">
        <f t="shared" si="22"/>
        <v>0</v>
      </c>
      <c r="BF431" s="87" t="str">
        <f t="shared" si="23"/>
        <v/>
      </c>
      <c r="BG431" s="88" t="str">
        <f t="shared" si="24"/>
        <v/>
      </c>
      <c r="BH431" s="89" t="str">
        <f t="shared" si="25"/>
        <v/>
      </c>
      <c r="BI431" s="90" t="str">
        <f t="shared" si="26"/>
        <v/>
      </c>
      <c r="BJ431" s="90" t="str">
        <f t="shared" si="27"/>
        <v/>
      </c>
      <c r="BK431" s="91">
        <f t="shared" si="28"/>
        <v>0</v>
      </c>
      <c r="BL431" s="92">
        <f t="shared" si="29"/>
        <v>0</v>
      </c>
      <c r="BM431" s="95"/>
    </row>
    <row r="432" spans="1:65">
      <c r="A432" s="61">
        <f t="shared" si="30"/>
        <v>0</v>
      </c>
      <c r="B432" s="62"/>
      <c r="C432" s="62"/>
      <c r="D432" s="63"/>
      <c r="E432" s="64"/>
      <c r="F432" s="64"/>
      <c r="G432" s="65"/>
      <c r="H432" s="66" t="str">
        <f t="shared" si="7"/>
        <v/>
      </c>
      <c r="I432" s="67" t="str">
        <f t="shared" si="8"/>
        <v/>
      </c>
      <c r="J432" s="68" t="str">
        <f t="shared" si="9"/>
        <v/>
      </c>
      <c r="K432" s="69" t="str">
        <f t="shared" si="10"/>
        <v/>
      </c>
      <c r="L432" s="70" t="str">
        <f t="shared" si="11"/>
        <v/>
      </c>
      <c r="M432" s="71"/>
      <c r="N432" s="71"/>
      <c r="O432" s="71"/>
      <c r="P432" s="71"/>
      <c r="Q432" s="61"/>
      <c r="R432" s="63"/>
      <c r="S432" s="72"/>
      <c r="T432" s="61"/>
      <c r="U432" s="73"/>
      <c r="V432" s="62"/>
      <c r="W432" s="62"/>
      <c r="X432" s="62"/>
      <c r="Y432" s="93"/>
      <c r="Z432" s="94"/>
      <c r="AA432" s="74"/>
      <c r="AB432" s="75"/>
      <c r="AC432" s="75"/>
      <c r="AD432" s="76"/>
      <c r="AE432" s="77"/>
      <c r="AF432" s="75"/>
      <c r="AG432" s="78"/>
      <c r="AH432" s="79"/>
      <c r="AI432" s="74"/>
      <c r="AJ432" s="75"/>
      <c r="AK432" s="75"/>
      <c r="AL432" s="80">
        <f t="shared" si="12"/>
        <v>0</v>
      </c>
      <c r="AM432" s="74"/>
      <c r="AN432" s="74"/>
      <c r="AO432" s="81" t="str">
        <f t="shared" si="13"/>
        <v/>
      </c>
      <c r="AP432" s="82"/>
      <c r="AQ432" s="75"/>
      <c r="AR432" s="75"/>
      <c r="AS432" s="80">
        <f t="shared" si="14"/>
        <v>0</v>
      </c>
      <c r="AT432" s="74"/>
      <c r="AU432" s="75"/>
      <c r="AV432" s="75"/>
      <c r="AW432" s="75"/>
      <c r="AX432" s="80">
        <f t="shared" si="15"/>
        <v>0</v>
      </c>
      <c r="AY432" s="81" t="str">
        <f t="shared" si="16"/>
        <v/>
      </c>
      <c r="AZ432" s="83" t="str">
        <f t="shared" si="17"/>
        <v/>
      </c>
      <c r="BA432" s="80" t="str">
        <f t="shared" si="18"/>
        <v/>
      </c>
      <c r="BB432" s="84">
        <f t="shared" si="19"/>
        <v>0</v>
      </c>
      <c r="BC432" s="85" t="str">
        <f t="shared" si="20"/>
        <v/>
      </c>
      <c r="BD432" s="86" t="str">
        <f t="shared" si="21"/>
        <v/>
      </c>
      <c r="BE432" s="84">
        <f t="shared" si="22"/>
        <v>0</v>
      </c>
      <c r="BF432" s="87" t="str">
        <f t="shared" si="23"/>
        <v/>
      </c>
      <c r="BG432" s="88" t="str">
        <f t="shared" si="24"/>
        <v/>
      </c>
      <c r="BH432" s="89" t="str">
        <f t="shared" si="25"/>
        <v/>
      </c>
      <c r="BI432" s="90" t="str">
        <f t="shared" si="26"/>
        <v/>
      </c>
      <c r="BJ432" s="90" t="str">
        <f t="shared" si="27"/>
        <v/>
      </c>
      <c r="BK432" s="91">
        <f t="shared" si="28"/>
        <v>0</v>
      </c>
      <c r="BL432" s="92">
        <f t="shared" si="29"/>
        <v>0</v>
      </c>
      <c r="BM432" s="95"/>
    </row>
    <row r="433" spans="1:65">
      <c r="A433" s="61">
        <f t="shared" si="30"/>
        <v>0</v>
      </c>
      <c r="B433" s="62"/>
      <c r="C433" s="62"/>
      <c r="D433" s="63"/>
      <c r="E433" s="64"/>
      <c r="F433" s="64"/>
      <c r="G433" s="65"/>
      <c r="H433" s="66" t="str">
        <f t="shared" si="7"/>
        <v/>
      </c>
      <c r="I433" s="67" t="str">
        <f t="shared" si="8"/>
        <v/>
      </c>
      <c r="J433" s="68" t="str">
        <f t="shared" si="9"/>
        <v/>
      </c>
      <c r="K433" s="69" t="str">
        <f t="shared" si="10"/>
        <v/>
      </c>
      <c r="L433" s="70" t="str">
        <f t="shared" si="11"/>
        <v/>
      </c>
      <c r="M433" s="71"/>
      <c r="N433" s="71"/>
      <c r="O433" s="71"/>
      <c r="P433" s="71"/>
      <c r="Q433" s="61"/>
      <c r="R433" s="63"/>
      <c r="S433" s="72"/>
      <c r="T433" s="61"/>
      <c r="U433" s="73"/>
      <c r="V433" s="62"/>
      <c r="W433" s="62"/>
      <c r="X433" s="62"/>
      <c r="Y433" s="93"/>
      <c r="Z433" s="94"/>
      <c r="AA433" s="74"/>
      <c r="AB433" s="75"/>
      <c r="AC433" s="75"/>
      <c r="AD433" s="76"/>
      <c r="AE433" s="77"/>
      <c r="AF433" s="75"/>
      <c r="AG433" s="78"/>
      <c r="AH433" s="79"/>
      <c r="AI433" s="74"/>
      <c r="AJ433" s="75"/>
      <c r="AK433" s="75"/>
      <c r="AL433" s="80">
        <f t="shared" si="12"/>
        <v>0</v>
      </c>
      <c r="AM433" s="74"/>
      <c r="AN433" s="74"/>
      <c r="AO433" s="81" t="str">
        <f t="shared" si="13"/>
        <v/>
      </c>
      <c r="AP433" s="82"/>
      <c r="AQ433" s="75"/>
      <c r="AR433" s="75"/>
      <c r="AS433" s="80">
        <f t="shared" si="14"/>
        <v>0</v>
      </c>
      <c r="AT433" s="74"/>
      <c r="AU433" s="75"/>
      <c r="AV433" s="75"/>
      <c r="AW433" s="75"/>
      <c r="AX433" s="80">
        <f t="shared" si="15"/>
        <v>0</v>
      </c>
      <c r="AY433" s="81" t="str">
        <f t="shared" si="16"/>
        <v/>
      </c>
      <c r="AZ433" s="83" t="str">
        <f t="shared" si="17"/>
        <v/>
      </c>
      <c r="BA433" s="80" t="str">
        <f t="shared" si="18"/>
        <v/>
      </c>
      <c r="BB433" s="84">
        <f t="shared" si="19"/>
        <v>0</v>
      </c>
      <c r="BC433" s="85" t="str">
        <f t="shared" si="20"/>
        <v/>
      </c>
      <c r="BD433" s="86" t="str">
        <f t="shared" si="21"/>
        <v/>
      </c>
      <c r="BE433" s="84">
        <f t="shared" si="22"/>
        <v>0</v>
      </c>
      <c r="BF433" s="87" t="str">
        <f t="shared" si="23"/>
        <v/>
      </c>
      <c r="BG433" s="88" t="str">
        <f t="shared" si="24"/>
        <v/>
      </c>
      <c r="BH433" s="89" t="str">
        <f t="shared" si="25"/>
        <v/>
      </c>
      <c r="BI433" s="90" t="str">
        <f t="shared" si="26"/>
        <v/>
      </c>
      <c r="BJ433" s="90" t="str">
        <f t="shared" si="27"/>
        <v/>
      </c>
      <c r="BK433" s="91">
        <f t="shared" si="28"/>
        <v>0</v>
      </c>
      <c r="BL433" s="92">
        <f t="shared" si="29"/>
        <v>0</v>
      </c>
      <c r="BM433" s="95"/>
    </row>
    <row r="434" spans="1:65">
      <c r="A434" s="61">
        <f t="shared" si="30"/>
        <v>0</v>
      </c>
      <c r="B434" s="62"/>
      <c r="C434" s="62"/>
      <c r="D434" s="63"/>
      <c r="E434" s="64"/>
      <c r="F434" s="64"/>
      <c r="G434" s="65"/>
      <c r="H434" s="66" t="str">
        <f t="shared" si="7"/>
        <v/>
      </c>
      <c r="I434" s="67" t="str">
        <f t="shared" si="8"/>
        <v/>
      </c>
      <c r="J434" s="68" t="str">
        <f t="shared" si="9"/>
        <v/>
      </c>
      <c r="K434" s="69" t="str">
        <f t="shared" si="10"/>
        <v/>
      </c>
      <c r="L434" s="70" t="str">
        <f t="shared" si="11"/>
        <v/>
      </c>
      <c r="M434" s="71"/>
      <c r="N434" s="71"/>
      <c r="O434" s="71"/>
      <c r="P434" s="71"/>
      <c r="Q434" s="61"/>
      <c r="R434" s="63"/>
      <c r="S434" s="72"/>
      <c r="T434" s="61"/>
      <c r="U434" s="73"/>
      <c r="V434" s="62"/>
      <c r="W434" s="62"/>
      <c r="X434" s="62"/>
      <c r="Y434" s="93"/>
      <c r="Z434" s="94"/>
      <c r="AA434" s="74"/>
      <c r="AB434" s="75"/>
      <c r="AC434" s="75"/>
      <c r="AD434" s="76"/>
      <c r="AE434" s="77"/>
      <c r="AF434" s="75"/>
      <c r="AG434" s="78"/>
      <c r="AH434" s="79"/>
      <c r="AI434" s="74"/>
      <c r="AJ434" s="75"/>
      <c r="AK434" s="75"/>
      <c r="AL434" s="80">
        <f t="shared" si="12"/>
        <v>0</v>
      </c>
      <c r="AM434" s="74"/>
      <c r="AN434" s="74"/>
      <c r="AO434" s="81" t="str">
        <f t="shared" si="13"/>
        <v/>
      </c>
      <c r="AP434" s="82"/>
      <c r="AQ434" s="75"/>
      <c r="AR434" s="75"/>
      <c r="AS434" s="80">
        <f t="shared" si="14"/>
        <v>0</v>
      </c>
      <c r="AT434" s="74"/>
      <c r="AU434" s="75"/>
      <c r="AV434" s="75"/>
      <c r="AW434" s="75"/>
      <c r="AX434" s="80">
        <f t="shared" si="15"/>
        <v>0</v>
      </c>
      <c r="AY434" s="81" t="str">
        <f t="shared" si="16"/>
        <v/>
      </c>
      <c r="AZ434" s="83" t="str">
        <f t="shared" si="17"/>
        <v/>
      </c>
      <c r="BA434" s="80" t="str">
        <f t="shared" si="18"/>
        <v/>
      </c>
      <c r="BB434" s="84">
        <f t="shared" si="19"/>
        <v>0</v>
      </c>
      <c r="BC434" s="85" t="str">
        <f t="shared" si="20"/>
        <v/>
      </c>
      <c r="BD434" s="86" t="str">
        <f t="shared" si="21"/>
        <v/>
      </c>
      <c r="BE434" s="84">
        <f t="shared" si="22"/>
        <v>0</v>
      </c>
      <c r="BF434" s="87" t="str">
        <f t="shared" si="23"/>
        <v/>
      </c>
      <c r="BG434" s="88" t="str">
        <f t="shared" si="24"/>
        <v/>
      </c>
      <c r="BH434" s="89" t="str">
        <f t="shared" si="25"/>
        <v/>
      </c>
      <c r="BI434" s="90" t="str">
        <f t="shared" si="26"/>
        <v/>
      </c>
      <c r="BJ434" s="90" t="str">
        <f t="shared" si="27"/>
        <v/>
      </c>
      <c r="BK434" s="91">
        <f t="shared" si="28"/>
        <v>0</v>
      </c>
      <c r="BL434" s="92">
        <f t="shared" si="29"/>
        <v>0</v>
      </c>
      <c r="BM434" s="95"/>
    </row>
    <row r="435" spans="1:65">
      <c r="A435" s="61">
        <f t="shared" si="30"/>
        <v>0</v>
      </c>
      <c r="B435" s="62"/>
      <c r="C435" s="62"/>
      <c r="D435" s="63"/>
      <c r="E435" s="64"/>
      <c r="F435" s="64"/>
      <c r="G435" s="65"/>
      <c r="H435" s="66" t="str">
        <f t="shared" si="7"/>
        <v/>
      </c>
      <c r="I435" s="67" t="str">
        <f t="shared" si="8"/>
        <v/>
      </c>
      <c r="J435" s="68" t="str">
        <f t="shared" si="9"/>
        <v/>
      </c>
      <c r="K435" s="69" t="str">
        <f t="shared" si="10"/>
        <v/>
      </c>
      <c r="L435" s="70" t="str">
        <f t="shared" si="11"/>
        <v/>
      </c>
      <c r="M435" s="71"/>
      <c r="N435" s="71"/>
      <c r="O435" s="71"/>
      <c r="P435" s="71"/>
      <c r="Q435" s="61"/>
      <c r="R435" s="63"/>
      <c r="S435" s="72"/>
      <c r="T435" s="61"/>
      <c r="U435" s="73"/>
      <c r="V435" s="62"/>
      <c r="W435" s="62"/>
      <c r="X435" s="62"/>
      <c r="Y435" s="93"/>
      <c r="Z435" s="94"/>
      <c r="AA435" s="74"/>
      <c r="AB435" s="75"/>
      <c r="AC435" s="75"/>
      <c r="AD435" s="76"/>
      <c r="AE435" s="77"/>
      <c r="AF435" s="75"/>
      <c r="AG435" s="78"/>
      <c r="AH435" s="79"/>
      <c r="AI435" s="74"/>
      <c r="AJ435" s="75"/>
      <c r="AK435" s="75"/>
      <c r="AL435" s="80">
        <f t="shared" si="12"/>
        <v>0</v>
      </c>
      <c r="AM435" s="74"/>
      <c r="AN435" s="74"/>
      <c r="AO435" s="81" t="str">
        <f t="shared" si="13"/>
        <v/>
      </c>
      <c r="AP435" s="82"/>
      <c r="AQ435" s="75"/>
      <c r="AR435" s="75"/>
      <c r="AS435" s="80">
        <f t="shared" si="14"/>
        <v>0</v>
      </c>
      <c r="AT435" s="74"/>
      <c r="AU435" s="75"/>
      <c r="AV435" s="75"/>
      <c r="AW435" s="75"/>
      <c r="AX435" s="80">
        <f t="shared" si="15"/>
        <v>0</v>
      </c>
      <c r="AY435" s="81" t="str">
        <f t="shared" si="16"/>
        <v/>
      </c>
      <c r="AZ435" s="83" t="str">
        <f t="shared" si="17"/>
        <v/>
      </c>
      <c r="BA435" s="80" t="str">
        <f t="shared" si="18"/>
        <v/>
      </c>
      <c r="BB435" s="84">
        <f t="shared" si="19"/>
        <v>0</v>
      </c>
      <c r="BC435" s="85" t="str">
        <f t="shared" si="20"/>
        <v/>
      </c>
      <c r="BD435" s="86" t="str">
        <f t="shared" si="21"/>
        <v/>
      </c>
      <c r="BE435" s="84">
        <f t="shared" si="22"/>
        <v>0</v>
      </c>
      <c r="BF435" s="87" t="str">
        <f t="shared" si="23"/>
        <v/>
      </c>
      <c r="BG435" s="88" t="str">
        <f t="shared" si="24"/>
        <v/>
      </c>
      <c r="BH435" s="89" t="str">
        <f t="shared" si="25"/>
        <v/>
      </c>
      <c r="BI435" s="90" t="str">
        <f t="shared" si="26"/>
        <v/>
      </c>
      <c r="BJ435" s="90" t="str">
        <f t="shared" si="27"/>
        <v/>
      </c>
      <c r="BK435" s="91">
        <f t="shared" si="28"/>
        <v>0</v>
      </c>
      <c r="BL435" s="92">
        <f t="shared" si="29"/>
        <v>0</v>
      </c>
      <c r="BM435" s="95"/>
    </row>
    <row r="436" spans="1:65">
      <c r="A436" s="61">
        <f t="shared" si="30"/>
        <v>0</v>
      </c>
      <c r="B436" s="62"/>
      <c r="C436" s="62"/>
      <c r="D436" s="63"/>
      <c r="E436" s="64"/>
      <c r="F436" s="64"/>
      <c r="G436" s="65"/>
      <c r="H436" s="66" t="str">
        <f t="shared" si="7"/>
        <v/>
      </c>
      <c r="I436" s="67" t="str">
        <f t="shared" si="8"/>
        <v/>
      </c>
      <c r="J436" s="68" t="str">
        <f t="shared" si="9"/>
        <v/>
      </c>
      <c r="K436" s="69" t="str">
        <f t="shared" si="10"/>
        <v/>
      </c>
      <c r="L436" s="70" t="str">
        <f t="shared" si="11"/>
        <v/>
      </c>
      <c r="M436" s="71"/>
      <c r="N436" s="71"/>
      <c r="O436" s="71"/>
      <c r="P436" s="71"/>
      <c r="Q436" s="61"/>
      <c r="R436" s="63"/>
      <c r="S436" s="72"/>
      <c r="T436" s="61"/>
      <c r="U436" s="73"/>
      <c r="V436" s="62"/>
      <c r="W436" s="62"/>
      <c r="X436" s="62"/>
      <c r="Y436" s="93"/>
      <c r="Z436" s="94"/>
      <c r="AA436" s="74"/>
      <c r="AB436" s="75"/>
      <c r="AC436" s="75"/>
      <c r="AD436" s="76"/>
      <c r="AE436" s="77"/>
      <c r="AF436" s="75"/>
      <c r="AG436" s="78"/>
      <c r="AH436" s="79"/>
      <c r="AI436" s="74"/>
      <c r="AJ436" s="75"/>
      <c r="AK436" s="75"/>
      <c r="AL436" s="80">
        <f t="shared" si="12"/>
        <v>0</v>
      </c>
      <c r="AM436" s="74"/>
      <c r="AN436" s="74"/>
      <c r="AO436" s="81" t="str">
        <f t="shared" si="13"/>
        <v/>
      </c>
      <c r="AP436" s="82"/>
      <c r="AQ436" s="75"/>
      <c r="AR436" s="75"/>
      <c r="AS436" s="80">
        <f t="shared" si="14"/>
        <v>0</v>
      </c>
      <c r="AT436" s="74"/>
      <c r="AU436" s="75"/>
      <c r="AV436" s="75"/>
      <c r="AW436" s="75"/>
      <c r="AX436" s="80">
        <f t="shared" si="15"/>
        <v>0</v>
      </c>
      <c r="AY436" s="81" t="str">
        <f t="shared" si="16"/>
        <v/>
      </c>
      <c r="AZ436" s="83" t="str">
        <f t="shared" si="17"/>
        <v/>
      </c>
      <c r="BA436" s="80" t="str">
        <f t="shared" si="18"/>
        <v/>
      </c>
      <c r="BB436" s="84">
        <f t="shared" si="19"/>
        <v>0</v>
      </c>
      <c r="BC436" s="85" t="str">
        <f t="shared" si="20"/>
        <v/>
      </c>
      <c r="BD436" s="86" t="str">
        <f t="shared" si="21"/>
        <v/>
      </c>
      <c r="BE436" s="84">
        <f t="shared" si="22"/>
        <v>0</v>
      </c>
      <c r="BF436" s="87" t="str">
        <f t="shared" si="23"/>
        <v/>
      </c>
      <c r="BG436" s="88" t="str">
        <f t="shared" si="24"/>
        <v/>
      </c>
      <c r="BH436" s="89" t="str">
        <f t="shared" si="25"/>
        <v/>
      </c>
      <c r="BI436" s="90" t="str">
        <f t="shared" si="26"/>
        <v/>
      </c>
      <c r="BJ436" s="90" t="str">
        <f t="shared" si="27"/>
        <v/>
      </c>
      <c r="BK436" s="91">
        <f t="shared" si="28"/>
        <v>0</v>
      </c>
      <c r="BL436" s="92">
        <f t="shared" si="29"/>
        <v>0</v>
      </c>
      <c r="BM436" s="95"/>
    </row>
    <row r="437" spans="1:65">
      <c r="A437" s="61">
        <f t="shared" si="30"/>
        <v>0</v>
      </c>
      <c r="B437" s="62"/>
      <c r="C437" s="62"/>
      <c r="D437" s="63"/>
      <c r="E437" s="64"/>
      <c r="F437" s="64"/>
      <c r="G437" s="65"/>
      <c r="H437" s="66" t="str">
        <f t="shared" si="7"/>
        <v/>
      </c>
      <c r="I437" s="67" t="str">
        <f t="shared" si="8"/>
        <v/>
      </c>
      <c r="J437" s="68" t="str">
        <f t="shared" si="9"/>
        <v/>
      </c>
      <c r="K437" s="69" t="str">
        <f t="shared" si="10"/>
        <v/>
      </c>
      <c r="L437" s="70" t="str">
        <f t="shared" si="11"/>
        <v/>
      </c>
      <c r="M437" s="71"/>
      <c r="N437" s="71"/>
      <c r="O437" s="71"/>
      <c r="P437" s="71"/>
      <c r="Q437" s="61"/>
      <c r="R437" s="63"/>
      <c r="S437" s="72"/>
      <c r="T437" s="61"/>
      <c r="U437" s="73"/>
      <c r="V437" s="62"/>
      <c r="W437" s="62"/>
      <c r="X437" s="62"/>
      <c r="Y437" s="93"/>
      <c r="Z437" s="94"/>
      <c r="AA437" s="74"/>
      <c r="AB437" s="75"/>
      <c r="AC437" s="75"/>
      <c r="AD437" s="76"/>
      <c r="AE437" s="77"/>
      <c r="AF437" s="75"/>
      <c r="AG437" s="78"/>
      <c r="AH437" s="79"/>
      <c r="AI437" s="74"/>
      <c r="AJ437" s="75"/>
      <c r="AK437" s="75"/>
      <c r="AL437" s="80">
        <f t="shared" si="12"/>
        <v>0</v>
      </c>
      <c r="AM437" s="74"/>
      <c r="AN437" s="74"/>
      <c r="AO437" s="81" t="str">
        <f t="shared" si="13"/>
        <v/>
      </c>
      <c r="AP437" s="82"/>
      <c r="AQ437" s="75"/>
      <c r="AR437" s="75"/>
      <c r="AS437" s="80">
        <f t="shared" si="14"/>
        <v>0</v>
      </c>
      <c r="AT437" s="74"/>
      <c r="AU437" s="75"/>
      <c r="AV437" s="75"/>
      <c r="AW437" s="75"/>
      <c r="AX437" s="80">
        <f t="shared" si="15"/>
        <v>0</v>
      </c>
      <c r="AY437" s="81" t="str">
        <f t="shared" si="16"/>
        <v/>
      </c>
      <c r="AZ437" s="83" t="str">
        <f t="shared" si="17"/>
        <v/>
      </c>
      <c r="BA437" s="80" t="str">
        <f t="shared" si="18"/>
        <v/>
      </c>
      <c r="BB437" s="84">
        <f t="shared" si="19"/>
        <v>0</v>
      </c>
      <c r="BC437" s="85" t="str">
        <f t="shared" si="20"/>
        <v/>
      </c>
      <c r="BD437" s="86" t="str">
        <f t="shared" si="21"/>
        <v/>
      </c>
      <c r="BE437" s="84">
        <f t="shared" si="22"/>
        <v>0</v>
      </c>
      <c r="BF437" s="87" t="str">
        <f t="shared" si="23"/>
        <v/>
      </c>
      <c r="BG437" s="88" t="str">
        <f t="shared" si="24"/>
        <v/>
      </c>
      <c r="BH437" s="89" t="str">
        <f t="shared" si="25"/>
        <v/>
      </c>
      <c r="BI437" s="90" t="str">
        <f t="shared" si="26"/>
        <v/>
      </c>
      <c r="BJ437" s="90" t="str">
        <f t="shared" si="27"/>
        <v/>
      </c>
      <c r="BK437" s="91">
        <f t="shared" si="28"/>
        <v>0</v>
      </c>
      <c r="BL437" s="92">
        <f t="shared" si="29"/>
        <v>0</v>
      </c>
      <c r="BM437" s="95"/>
    </row>
    <row r="438" spans="1:65">
      <c r="A438" s="61">
        <f t="shared" si="30"/>
        <v>0</v>
      </c>
      <c r="B438" s="62"/>
      <c r="C438" s="62"/>
      <c r="D438" s="63"/>
      <c r="E438" s="64"/>
      <c r="F438" s="64"/>
      <c r="G438" s="65"/>
      <c r="H438" s="66" t="str">
        <f t="shared" si="7"/>
        <v/>
      </c>
      <c r="I438" s="67" t="str">
        <f t="shared" si="8"/>
        <v/>
      </c>
      <c r="J438" s="68" t="str">
        <f t="shared" si="9"/>
        <v/>
      </c>
      <c r="K438" s="69" t="str">
        <f t="shared" si="10"/>
        <v/>
      </c>
      <c r="L438" s="70" t="str">
        <f t="shared" si="11"/>
        <v/>
      </c>
      <c r="M438" s="71"/>
      <c r="N438" s="71"/>
      <c r="O438" s="71"/>
      <c r="P438" s="71"/>
      <c r="Q438" s="61"/>
      <c r="R438" s="63"/>
      <c r="S438" s="72"/>
      <c r="T438" s="61"/>
      <c r="U438" s="73"/>
      <c r="V438" s="62"/>
      <c r="W438" s="62"/>
      <c r="X438" s="62"/>
      <c r="Y438" s="93"/>
      <c r="Z438" s="94"/>
      <c r="AA438" s="74"/>
      <c r="AB438" s="75"/>
      <c r="AC438" s="75"/>
      <c r="AD438" s="76"/>
      <c r="AE438" s="77"/>
      <c r="AF438" s="75"/>
      <c r="AG438" s="78"/>
      <c r="AH438" s="79"/>
      <c r="AI438" s="74"/>
      <c r="AJ438" s="75"/>
      <c r="AK438" s="75"/>
      <c r="AL438" s="80">
        <f t="shared" si="12"/>
        <v>0</v>
      </c>
      <c r="AM438" s="74"/>
      <c r="AN438" s="74"/>
      <c r="AO438" s="81" t="str">
        <f t="shared" si="13"/>
        <v/>
      </c>
      <c r="AP438" s="82"/>
      <c r="AQ438" s="75"/>
      <c r="AR438" s="75"/>
      <c r="AS438" s="80">
        <f t="shared" si="14"/>
        <v>0</v>
      </c>
      <c r="AT438" s="74"/>
      <c r="AU438" s="75"/>
      <c r="AV438" s="75"/>
      <c r="AW438" s="75"/>
      <c r="AX438" s="80">
        <f t="shared" si="15"/>
        <v>0</v>
      </c>
      <c r="AY438" s="81" t="str">
        <f t="shared" si="16"/>
        <v/>
      </c>
      <c r="AZ438" s="83" t="str">
        <f t="shared" si="17"/>
        <v/>
      </c>
      <c r="BA438" s="80" t="str">
        <f t="shared" si="18"/>
        <v/>
      </c>
      <c r="BB438" s="84">
        <f t="shared" si="19"/>
        <v>0</v>
      </c>
      <c r="BC438" s="85" t="str">
        <f t="shared" si="20"/>
        <v/>
      </c>
      <c r="BD438" s="86" t="str">
        <f t="shared" si="21"/>
        <v/>
      </c>
      <c r="BE438" s="84">
        <f t="shared" si="22"/>
        <v>0</v>
      </c>
      <c r="BF438" s="87" t="str">
        <f t="shared" si="23"/>
        <v/>
      </c>
      <c r="BG438" s="88" t="str">
        <f t="shared" si="24"/>
        <v/>
      </c>
      <c r="BH438" s="89" t="str">
        <f t="shared" si="25"/>
        <v/>
      </c>
      <c r="BI438" s="90" t="str">
        <f t="shared" si="26"/>
        <v/>
      </c>
      <c r="BJ438" s="90" t="str">
        <f t="shared" si="27"/>
        <v/>
      </c>
      <c r="BK438" s="91">
        <f t="shared" si="28"/>
        <v>0</v>
      </c>
      <c r="BL438" s="92">
        <f t="shared" si="29"/>
        <v>0</v>
      </c>
      <c r="BM438" s="95"/>
    </row>
    <row r="439" spans="1:65">
      <c r="A439" s="61">
        <f t="shared" si="30"/>
        <v>0</v>
      </c>
      <c r="B439" s="62"/>
      <c r="C439" s="62"/>
      <c r="D439" s="63"/>
      <c r="E439" s="64"/>
      <c r="F439" s="64"/>
      <c r="G439" s="65"/>
      <c r="H439" s="66" t="str">
        <f t="shared" si="7"/>
        <v/>
      </c>
      <c r="I439" s="67" t="str">
        <f t="shared" si="8"/>
        <v/>
      </c>
      <c r="J439" s="68" t="str">
        <f t="shared" si="9"/>
        <v/>
      </c>
      <c r="K439" s="69" t="str">
        <f t="shared" si="10"/>
        <v/>
      </c>
      <c r="L439" s="70" t="str">
        <f t="shared" si="11"/>
        <v/>
      </c>
      <c r="M439" s="71"/>
      <c r="N439" s="71"/>
      <c r="O439" s="71"/>
      <c r="P439" s="71"/>
      <c r="Q439" s="61"/>
      <c r="R439" s="63"/>
      <c r="S439" s="72"/>
      <c r="T439" s="61"/>
      <c r="U439" s="73"/>
      <c r="V439" s="62"/>
      <c r="W439" s="62"/>
      <c r="X439" s="62"/>
      <c r="Y439" s="93"/>
      <c r="Z439" s="94"/>
      <c r="AA439" s="74"/>
      <c r="AB439" s="75"/>
      <c r="AC439" s="75"/>
      <c r="AD439" s="76"/>
      <c r="AE439" s="77"/>
      <c r="AF439" s="75"/>
      <c r="AG439" s="78"/>
      <c r="AH439" s="79"/>
      <c r="AI439" s="74"/>
      <c r="AJ439" s="75"/>
      <c r="AK439" s="75"/>
      <c r="AL439" s="80">
        <f t="shared" si="12"/>
        <v>0</v>
      </c>
      <c r="AM439" s="74"/>
      <c r="AN439" s="74"/>
      <c r="AO439" s="81" t="str">
        <f t="shared" si="13"/>
        <v/>
      </c>
      <c r="AP439" s="82"/>
      <c r="AQ439" s="75"/>
      <c r="AR439" s="75"/>
      <c r="AS439" s="80">
        <f t="shared" si="14"/>
        <v>0</v>
      </c>
      <c r="AT439" s="74"/>
      <c r="AU439" s="75"/>
      <c r="AV439" s="75"/>
      <c r="AW439" s="75"/>
      <c r="AX439" s="80">
        <f t="shared" si="15"/>
        <v>0</v>
      </c>
      <c r="AY439" s="81" t="str">
        <f t="shared" si="16"/>
        <v/>
      </c>
      <c r="AZ439" s="83" t="str">
        <f t="shared" si="17"/>
        <v/>
      </c>
      <c r="BA439" s="80" t="str">
        <f t="shared" si="18"/>
        <v/>
      </c>
      <c r="BB439" s="84">
        <f t="shared" si="19"/>
        <v>0</v>
      </c>
      <c r="BC439" s="85" t="str">
        <f t="shared" si="20"/>
        <v/>
      </c>
      <c r="BD439" s="86" t="str">
        <f t="shared" si="21"/>
        <v/>
      </c>
      <c r="BE439" s="84">
        <f t="shared" si="22"/>
        <v>0</v>
      </c>
      <c r="BF439" s="87" t="str">
        <f t="shared" si="23"/>
        <v/>
      </c>
      <c r="BG439" s="88" t="str">
        <f t="shared" si="24"/>
        <v/>
      </c>
      <c r="BH439" s="89" t="str">
        <f t="shared" si="25"/>
        <v/>
      </c>
      <c r="BI439" s="90" t="str">
        <f t="shared" si="26"/>
        <v/>
      </c>
      <c r="BJ439" s="90" t="str">
        <f t="shared" si="27"/>
        <v/>
      </c>
      <c r="BK439" s="91">
        <f t="shared" si="28"/>
        <v>0</v>
      </c>
      <c r="BL439" s="92">
        <f t="shared" si="29"/>
        <v>0</v>
      </c>
      <c r="BM439" s="95"/>
    </row>
    <row r="440" spans="1:65">
      <c r="A440" s="61">
        <f t="shared" si="30"/>
        <v>0</v>
      </c>
      <c r="B440" s="62"/>
      <c r="C440" s="62"/>
      <c r="D440" s="63"/>
      <c r="E440" s="64"/>
      <c r="F440" s="64"/>
      <c r="G440" s="65"/>
      <c r="H440" s="66" t="str">
        <f t="shared" si="7"/>
        <v/>
      </c>
      <c r="I440" s="67" t="str">
        <f t="shared" si="8"/>
        <v/>
      </c>
      <c r="J440" s="68" t="str">
        <f t="shared" si="9"/>
        <v/>
      </c>
      <c r="K440" s="69" t="str">
        <f t="shared" si="10"/>
        <v/>
      </c>
      <c r="L440" s="70" t="str">
        <f t="shared" si="11"/>
        <v/>
      </c>
      <c r="M440" s="71"/>
      <c r="N440" s="71"/>
      <c r="O440" s="71"/>
      <c r="P440" s="71"/>
      <c r="Q440" s="61"/>
      <c r="R440" s="63"/>
      <c r="S440" s="72"/>
      <c r="T440" s="61"/>
      <c r="U440" s="73"/>
      <c r="V440" s="62"/>
      <c r="W440" s="62"/>
      <c r="X440" s="62"/>
      <c r="Y440" s="93"/>
      <c r="Z440" s="94"/>
      <c r="AA440" s="74"/>
      <c r="AB440" s="75"/>
      <c r="AC440" s="75"/>
      <c r="AD440" s="76"/>
      <c r="AE440" s="77"/>
      <c r="AF440" s="75"/>
      <c r="AG440" s="78"/>
      <c r="AH440" s="79"/>
      <c r="AI440" s="74"/>
      <c r="AJ440" s="75"/>
      <c r="AK440" s="75"/>
      <c r="AL440" s="80">
        <f t="shared" si="12"/>
        <v>0</v>
      </c>
      <c r="AM440" s="74"/>
      <c r="AN440" s="74"/>
      <c r="AO440" s="81" t="str">
        <f t="shared" si="13"/>
        <v/>
      </c>
      <c r="AP440" s="82"/>
      <c r="AQ440" s="75"/>
      <c r="AR440" s="75"/>
      <c r="AS440" s="80">
        <f t="shared" si="14"/>
        <v>0</v>
      </c>
      <c r="AT440" s="74"/>
      <c r="AU440" s="75"/>
      <c r="AV440" s="75"/>
      <c r="AW440" s="75"/>
      <c r="AX440" s="80">
        <f t="shared" si="15"/>
        <v>0</v>
      </c>
      <c r="AY440" s="81" t="str">
        <f t="shared" si="16"/>
        <v/>
      </c>
      <c r="AZ440" s="83" t="str">
        <f t="shared" si="17"/>
        <v/>
      </c>
      <c r="BA440" s="80" t="str">
        <f t="shared" si="18"/>
        <v/>
      </c>
      <c r="BB440" s="84">
        <f t="shared" si="19"/>
        <v>0</v>
      </c>
      <c r="BC440" s="85" t="str">
        <f t="shared" si="20"/>
        <v/>
      </c>
      <c r="BD440" s="86" t="str">
        <f t="shared" si="21"/>
        <v/>
      </c>
      <c r="BE440" s="84">
        <f t="shared" si="22"/>
        <v>0</v>
      </c>
      <c r="BF440" s="87" t="str">
        <f t="shared" si="23"/>
        <v/>
      </c>
      <c r="BG440" s="88" t="str">
        <f t="shared" si="24"/>
        <v/>
      </c>
      <c r="BH440" s="89" t="str">
        <f t="shared" si="25"/>
        <v/>
      </c>
      <c r="BI440" s="90" t="str">
        <f t="shared" si="26"/>
        <v/>
      </c>
      <c r="BJ440" s="90" t="str">
        <f t="shared" si="27"/>
        <v/>
      </c>
      <c r="BK440" s="91">
        <f t="shared" si="28"/>
        <v>0</v>
      </c>
      <c r="BL440" s="92">
        <f t="shared" si="29"/>
        <v>0</v>
      </c>
      <c r="BM440" s="95"/>
    </row>
    <row r="441" spans="1:65">
      <c r="A441" s="61">
        <f t="shared" si="30"/>
        <v>0</v>
      </c>
      <c r="B441" s="62"/>
      <c r="C441" s="62"/>
      <c r="D441" s="63"/>
      <c r="E441" s="64"/>
      <c r="F441" s="64"/>
      <c r="G441" s="65"/>
      <c r="H441" s="66" t="str">
        <f t="shared" si="7"/>
        <v/>
      </c>
      <c r="I441" s="67" t="str">
        <f t="shared" si="8"/>
        <v/>
      </c>
      <c r="J441" s="68" t="str">
        <f t="shared" si="9"/>
        <v/>
      </c>
      <c r="K441" s="69" t="str">
        <f t="shared" si="10"/>
        <v/>
      </c>
      <c r="L441" s="70" t="str">
        <f t="shared" si="11"/>
        <v/>
      </c>
      <c r="M441" s="71"/>
      <c r="N441" s="71"/>
      <c r="O441" s="71"/>
      <c r="P441" s="71"/>
      <c r="Q441" s="61"/>
      <c r="R441" s="63"/>
      <c r="S441" s="72"/>
      <c r="T441" s="61"/>
      <c r="U441" s="73"/>
      <c r="V441" s="62"/>
      <c r="W441" s="62"/>
      <c r="X441" s="62"/>
      <c r="Y441" s="93"/>
      <c r="Z441" s="94"/>
      <c r="AA441" s="74"/>
      <c r="AB441" s="75"/>
      <c r="AC441" s="75"/>
      <c r="AD441" s="76"/>
      <c r="AE441" s="77"/>
      <c r="AF441" s="75"/>
      <c r="AG441" s="78"/>
      <c r="AH441" s="79"/>
      <c r="AI441" s="74"/>
      <c r="AJ441" s="75"/>
      <c r="AK441" s="75"/>
      <c r="AL441" s="80">
        <f t="shared" si="12"/>
        <v>0</v>
      </c>
      <c r="AM441" s="74"/>
      <c r="AN441" s="74"/>
      <c r="AO441" s="81" t="str">
        <f t="shared" si="13"/>
        <v/>
      </c>
      <c r="AP441" s="82"/>
      <c r="AQ441" s="75"/>
      <c r="AR441" s="75"/>
      <c r="AS441" s="80">
        <f t="shared" si="14"/>
        <v>0</v>
      </c>
      <c r="AT441" s="74"/>
      <c r="AU441" s="75"/>
      <c r="AV441" s="75"/>
      <c r="AW441" s="75"/>
      <c r="AX441" s="80">
        <f t="shared" si="15"/>
        <v>0</v>
      </c>
      <c r="AY441" s="81" t="str">
        <f t="shared" si="16"/>
        <v/>
      </c>
      <c r="AZ441" s="83" t="str">
        <f t="shared" si="17"/>
        <v/>
      </c>
      <c r="BA441" s="80" t="str">
        <f t="shared" si="18"/>
        <v/>
      </c>
      <c r="BB441" s="84">
        <f t="shared" si="19"/>
        <v>0</v>
      </c>
      <c r="BC441" s="85" t="str">
        <f t="shared" si="20"/>
        <v/>
      </c>
      <c r="BD441" s="86" t="str">
        <f t="shared" si="21"/>
        <v/>
      </c>
      <c r="BE441" s="84">
        <f t="shared" si="22"/>
        <v>0</v>
      </c>
      <c r="BF441" s="87" t="str">
        <f t="shared" si="23"/>
        <v/>
      </c>
      <c r="BG441" s="88" t="str">
        <f t="shared" si="24"/>
        <v/>
      </c>
      <c r="BH441" s="89" t="str">
        <f t="shared" si="25"/>
        <v/>
      </c>
      <c r="BI441" s="90" t="str">
        <f t="shared" si="26"/>
        <v/>
      </c>
      <c r="BJ441" s="90" t="str">
        <f t="shared" si="27"/>
        <v/>
      </c>
      <c r="BK441" s="91">
        <f t="shared" si="28"/>
        <v>0</v>
      </c>
      <c r="BL441" s="92">
        <f t="shared" si="29"/>
        <v>0</v>
      </c>
      <c r="BM441" s="95"/>
    </row>
    <row r="442" spans="1:65">
      <c r="A442" s="61">
        <f t="shared" si="30"/>
        <v>0</v>
      </c>
      <c r="B442" s="62"/>
      <c r="C442" s="62"/>
      <c r="D442" s="63"/>
      <c r="E442" s="64"/>
      <c r="F442" s="64"/>
      <c r="G442" s="65"/>
      <c r="H442" s="66" t="str">
        <f t="shared" si="7"/>
        <v/>
      </c>
      <c r="I442" s="67" t="str">
        <f t="shared" si="8"/>
        <v/>
      </c>
      <c r="J442" s="68" t="str">
        <f t="shared" si="9"/>
        <v/>
      </c>
      <c r="K442" s="69" t="str">
        <f t="shared" si="10"/>
        <v/>
      </c>
      <c r="L442" s="70" t="str">
        <f t="shared" si="11"/>
        <v/>
      </c>
      <c r="M442" s="71"/>
      <c r="N442" s="71"/>
      <c r="O442" s="71"/>
      <c r="P442" s="71"/>
      <c r="Q442" s="61"/>
      <c r="R442" s="63"/>
      <c r="S442" s="72"/>
      <c r="T442" s="61"/>
      <c r="U442" s="73"/>
      <c r="V442" s="62"/>
      <c r="W442" s="62"/>
      <c r="X442" s="62"/>
      <c r="Y442" s="93"/>
      <c r="Z442" s="94"/>
      <c r="AA442" s="74"/>
      <c r="AB442" s="75"/>
      <c r="AC442" s="75"/>
      <c r="AD442" s="76"/>
      <c r="AE442" s="77"/>
      <c r="AF442" s="75"/>
      <c r="AG442" s="78"/>
      <c r="AH442" s="79"/>
      <c r="AI442" s="74"/>
      <c r="AJ442" s="75"/>
      <c r="AK442" s="75"/>
      <c r="AL442" s="80">
        <f t="shared" si="12"/>
        <v>0</v>
      </c>
      <c r="AM442" s="74"/>
      <c r="AN442" s="74"/>
      <c r="AO442" s="81" t="str">
        <f t="shared" si="13"/>
        <v/>
      </c>
      <c r="AP442" s="82"/>
      <c r="AQ442" s="75"/>
      <c r="AR442" s="75"/>
      <c r="AS442" s="80">
        <f t="shared" si="14"/>
        <v>0</v>
      </c>
      <c r="AT442" s="74"/>
      <c r="AU442" s="75"/>
      <c r="AV442" s="75"/>
      <c r="AW442" s="75"/>
      <c r="AX442" s="80">
        <f t="shared" si="15"/>
        <v>0</v>
      </c>
      <c r="AY442" s="81" t="str">
        <f t="shared" si="16"/>
        <v/>
      </c>
      <c r="AZ442" s="83" t="str">
        <f t="shared" si="17"/>
        <v/>
      </c>
      <c r="BA442" s="80" t="str">
        <f t="shared" si="18"/>
        <v/>
      </c>
      <c r="BB442" s="84">
        <f t="shared" si="19"/>
        <v>0</v>
      </c>
      <c r="BC442" s="85" t="str">
        <f t="shared" si="20"/>
        <v/>
      </c>
      <c r="BD442" s="86" t="str">
        <f t="shared" si="21"/>
        <v/>
      </c>
      <c r="BE442" s="84">
        <f t="shared" si="22"/>
        <v>0</v>
      </c>
      <c r="BF442" s="87" t="str">
        <f t="shared" si="23"/>
        <v/>
      </c>
      <c r="BG442" s="88" t="str">
        <f t="shared" si="24"/>
        <v/>
      </c>
      <c r="BH442" s="89" t="str">
        <f t="shared" si="25"/>
        <v/>
      </c>
      <c r="BI442" s="90" t="str">
        <f t="shared" si="26"/>
        <v/>
      </c>
      <c r="BJ442" s="90" t="str">
        <f t="shared" si="27"/>
        <v/>
      </c>
      <c r="BK442" s="91">
        <f t="shared" si="28"/>
        <v>0</v>
      </c>
      <c r="BL442" s="92">
        <f t="shared" si="29"/>
        <v>0</v>
      </c>
      <c r="BM442" s="95"/>
    </row>
    <row r="443" spans="1:65">
      <c r="A443" s="61">
        <f t="shared" si="30"/>
        <v>0</v>
      </c>
      <c r="B443" s="62"/>
      <c r="C443" s="62"/>
      <c r="D443" s="63"/>
      <c r="E443" s="64"/>
      <c r="F443" s="64"/>
      <c r="G443" s="65"/>
      <c r="H443" s="66" t="str">
        <f t="shared" si="7"/>
        <v/>
      </c>
      <c r="I443" s="67" t="str">
        <f t="shared" si="8"/>
        <v/>
      </c>
      <c r="J443" s="68" t="str">
        <f t="shared" si="9"/>
        <v/>
      </c>
      <c r="K443" s="69" t="str">
        <f t="shared" si="10"/>
        <v/>
      </c>
      <c r="L443" s="70" t="str">
        <f t="shared" si="11"/>
        <v/>
      </c>
      <c r="M443" s="71"/>
      <c r="N443" s="71"/>
      <c r="O443" s="71"/>
      <c r="P443" s="71"/>
      <c r="Q443" s="61"/>
      <c r="R443" s="63"/>
      <c r="S443" s="72"/>
      <c r="T443" s="61"/>
      <c r="U443" s="73"/>
      <c r="V443" s="62"/>
      <c r="W443" s="62"/>
      <c r="X443" s="62"/>
      <c r="Y443" s="93"/>
      <c r="Z443" s="94"/>
      <c r="AA443" s="74"/>
      <c r="AB443" s="75"/>
      <c r="AC443" s="75"/>
      <c r="AD443" s="76"/>
      <c r="AE443" s="77"/>
      <c r="AF443" s="75"/>
      <c r="AG443" s="78"/>
      <c r="AH443" s="79"/>
      <c r="AI443" s="74"/>
      <c r="AJ443" s="75"/>
      <c r="AK443" s="75"/>
      <c r="AL443" s="80">
        <f t="shared" si="12"/>
        <v>0</v>
      </c>
      <c r="AM443" s="74"/>
      <c r="AN443" s="74"/>
      <c r="AO443" s="81" t="str">
        <f t="shared" si="13"/>
        <v/>
      </c>
      <c r="AP443" s="82"/>
      <c r="AQ443" s="75"/>
      <c r="AR443" s="75"/>
      <c r="AS443" s="80">
        <f t="shared" si="14"/>
        <v>0</v>
      </c>
      <c r="AT443" s="74"/>
      <c r="AU443" s="75"/>
      <c r="AV443" s="75"/>
      <c r="AW443" s="75"/>
      <c r="AX443" s="80">
        <f t="shared" si="15"/>
        <v>0</v>
      </c>
      <c r="AY443" s="81" t="str">
        <f t="shared" si="16"/>
        <v/>
      </c>
      <c r="AZ443" s="83" t="str">
        <f t="shared" si="17"/>
        <v/>
      </c>
      <c r="BA443" s="80" t="str">
        <f t="shared" si="18"/>
        <v/>
      </c>
      <c r="BB443" s="84">
        <f t="shared" si="19"/>
        <v>0</v>
      </c>
      <c r="BC443" s="85" t="str">
        <f t="shared" si="20"/>
        <v/>
      </c>
      <c r="BD443" s="86" t="str">
        <f t="shared" si="21"/>
        <v/>
      </c>
      <c r="BE443" s="84">
        <f t="shared" si="22"/>
        <v>0</v>
      </c>
      <c r="BF443" s="87" t="str">
        <f t="shared" si="23"/>
        <v/>
      </c>
      <c r="BG443" s="88" t="str">
        <f t="shared" si="24"/>
        <v/>
      </c>
      <c r="BH443" s="89" t="str">
        <f t="shared" si="25"/>
        <v/>
      </c>
      <c r="BI443" s="90" t="str">
        <f t="shared" si="26"/>
        <v/>
      </c>
      <c r="BJ443" s="90" t="str">
        <f t="shared" si="27"/>
        <v/>
      </c>
      <c r="BK443" s="91">
        <f t="shared" si="28"/>
        <v>0</v>
      </c>
      <c r="BL443" s="92">
        <f t="shared" si="29"/>
        <v>0</v>
      </c>
      <c r="BM443" s="95"/>
    </row>
    <row r="444" spans="1:65">
      <c r="A444" s="61">
        <f t="shared" si="30"/>
        <v>0</v>
      </c>
      <c r="B444" s="62"/>
      <c r="C444" s="62"/>
      <c r="D444" s="63"/>
      <c r="E444" s="64"/>
      <c r="F444" s="64"/>
      <c r="G444" s="65"/>
      <c r="H444" s="66" t="str">
        <f t="shared" si="7"/>
        <v/>
      </c>
      <c r="I444" s="67" t="str">
        <f t="shared" si="8"/>
        <v/>
      </c>
      <c r="J444" s="68" t="str">
        <f t="shared" si="9"/>
        <v/>
      </c>
      <c r="K444" s="69" t="str">
        <f t="shared" si="10"/>
        <v/>
      </c>
      <c r="L444" s="70" t="str">
        <f t="shared" si="11"/>
        <v/>
      </c>
      <c r="M444" s="71"/>
      <c r="N444" s="71"/>
      <c r="O444" s="71"/>
      <c r="P444" s="71"/>
      <c r="Q444" s="61"/>
      <c r="R444" s="63"/>
      <c r="S444" s="72"/>
      <c r="T444" s="61"/>
      <c r="U444" s="73"/>
      <c r="V444" s="62"/>
      <c r="W444" s="62"/>
      <c r="X444" s="62"/>
      <c r="Y444" s="93"/>
      <c r="Z444" s="94"/>
      <c r="AA444" s="74"/>
      <c r="AB444" s="75"/>
      <c r="AC444" s="75"/>
      <c r="AD444" s="76"/>
      <c r="AE444" s="77"/>
      <c r="AF444" s="75"/>
      <c r="AG444" s="78"/>
      <c r="AH444" s="79"/>
      <c r="AI444" s="74"/>
      <c r="AJ444" s="75"/>
      <c r="AK444" s="75"/>
      <c r="AL444" s="80">
        <f t="shared" si="12"/>
        <v>0</v>
      </c>
      <c r="AM444" s="74"/>
      <c r="AN444" s="74"/>
      <c r="AO444" s="81" t="str">
        <f t="shared" si="13"/>
        <v/>
      </c>
      <c r="AP444" s="82"/>
      <c r="AQ444" s="75"/>
      <c r="AR444" s="75"/>
      <c r="AS444" s="80">
        <f t="shared" si="14"/>
        <v>0</v>
      </c>
      <c r="AT444" s="74"/>
      <c r="AU444" s="75"/>
      <c r="AV444" s="75"/>
      <c r="AW444" s="75"/>
      <c r="AX444" s="80">
        <f t="shared" si="15"/>
        <v>0</v>
      </c>
      <c r="AY444" s="81" t="str">
        <f t="shared" si="16"/>
        <v/>
      </c>
      <c r="AZ444" s="83" t="str">
        <f t="shared" si="17"/>
        <v/>
      </c>
      <c r="BA444" s="80" t="str">
        <f t="shared" si="18"/>
        <v/>
      </c>
      <c r="BB444" s="84">
        <f t="shared" si="19"/>
        <v>0</v>
      </c>
      <c r="BC444" s="85" t="str">
        <f t="shared" si="20"/>
        <v/>
      </c>
      <c r="BD444" s="86" t="str">
        <f t="shared" si="21"/>
        <v/>
      </c>
      <c r="BE444" s="84">
        <f t="shared" si="22"/>
        <v>0</v>
      </c>
      <c r="BF444" s="87" t="str">
        <f t="shared" si="23"/>
        <v/>
      </c>
      <c r="BG444" s="88" t="str">
        <f t="shared" si="24"/>
        <v/>
      </c>
      <c r="BH444" s="89" t="str">
        <f t="shared" si="25"/>
        <v/>
      </c>
      <c r="BI444" s="90" t="str">
        <f t="shared" si="26"/>
        <v/>
      </c>
      <c r="BJ444" s="90" t="str">
        <f t="shared" si="27"/>
        <v/>
      </c>
      <c r="BK444" s="91">
        <f t="shared" si="28"/>
        <v>0</v>
      </c>
      <c r="BL444" s="92">
        <f t="shared" si="29"/>
        <v>0</v>
      </c>
      <c r="BM444" s="95"/>
    </row>
    <row r="445" spans="1:65">
      <c r="A445" s="61">
        <f t="shared" si="30"/>
        <v>0</v>
      </c>
      <c r="B445" s="62"/>
      <c r="C445" s="62"/>
      <c r="D445" s="63"/>
      <c r="E445" s="64"/>
      <c r="F445" s="64"/>
      <c r="G445" s="65"/>
      <c r="H445" s="66" t="str">
        <f t="shared" si="7"/>
        <v/>
      </c>
      <c r="I445" s="67" t="str">
        <f t="shared" si="8"/>
        <v/>
      </c>
      <c r="J445" s="68" t="str">
        <f t="shared" si="9"/>
        <v/>
      </c>
      <c r="K445" s="69" t="str">
        <f t="shared" si="10"/>
        <v/>
      </c>
      <c r="L445" s="70" t="str">
        <f t="shared" si="11"/>
        <v/>
      </c>
      <c r="M445" s="71"/>
      <c r="N445" s="71"/>
      <c r="O445" s="71"/>
      <c r="P445" s="71"/>
      <c r="Q445" s="61"/>
      <c r="R445" s="63"/>
      <c r="S445" s="72"/>
      <c r="T445" s="61"/>
      <c r="U445" s="73"/>
      <c r="V445" s="62"/>
      <c r="W445" s="62"/>
      <c r="X445" s="62"/>
      <c r="Y445" s="93"/>
      <c r="Z445" s="94"/>
      <c r="AA445" s="74"/>
      <c r="AB445" s="75"/>
      <c r="AC445" s="75"/>
      <c r="AD445" s="76"/>
      <c r="AE445" s="77"/>
      <c r="AF445" s="75"/>
      <c r="AG445" s="78"/>
      <c r="AH445" s="79"/>
      <c r="AI445" s="74"/>
      <c r="AJ445" s="75"/>
      <c r="AK445" s="75"/>
      <c r="AL445" s="80">
        <f t="shared" si="12"/>
        <v>0</v>
      </c>
      <c r="AM445" s="74"/>
      <c r="AN445" s="74"/>
      <c r="AO445" s="81" t="str">
        <f t="shared" si="13"/>
        <v/>
      </c>
      <c r="AP445" s="82"/>
      <c r="AQ445" s="75"/>
      <c r="AR445" s="75"/>
      <c r="AS445" s="80">
        <f t="shared" si="14"/>
        <v>0</v>
      </c>
      <c r="AT445" s="74"/>
      <c r="AU445" s="75"/>
      <c r="AV445" s="75"/>
      <c r="AW445" s="75"/>
      <c r="AX445" s="80">
        <f t="shared" si="15"/>
        <v>0</v>
      </c>
      <c r="AY445" s="81" t="str">
        <f t="shared" si="16"/>
        <v/>
      </c>
      <c r="AZ445" s="83" t="str">
        <f t="shared" si="17"/>
        <v/>
      </c>
      <c r="BA445" s="80" t="str">
        <f t="shared" si="18"/>
        <v/>
      </c>
      <c r="BB445" s="84">
        <f t="shared" si="19"/>
        <v>0</v>
      </c>
      <c r="BC445" s="85" t="str">
        <f t="shared" si="20"/>
        <v/>
      </c>
      <c r="BD445" s="86" t="str">
        <f t="shared" si="21"/>
        <v/>
      </c>
      <c r="BE445" s="84">
        <f t="shared" si="22"/>
        <v>0</v>
      </c>
      <c r="BF445" s="87" t="str">
        <f t="shared" si="23"/>
        <v/>
      </c>
      <c r="BG445" s="88" t="str">
        <f t="shared" si="24"/>
        <v/>
      </c>
      <c r="BH445" s="89" t="str">
        <f t="shared" si="25"/>
        <v/>
      </c>
      <c r="BI445" s="90" t="str">
        <f t="shared" si="26"/>
        <v/>
      </c>
      <c r="BJ445" s="90" t="str">
        <f t="shared" si="27"/>
        <v/>
      </c>
      <c r="BK445" s="91">
        <f t="shared" si="28"/>
        <v>0</v>
      </c>
      <c r="BL445" s="92">
        <f t="shared" si="29"/>
        <v>0</v>
      </c>
      <c r="BM445" s="95"/>
    </row>
    <row r="446" spans="1:65">
      <c r="A446" s="61">
        <f t="shared" si="30"/>
        <v>0</v>
      </c>
      <c r="B446" s="62"/>
      <c r="C446" s="62"/>
      <c r="D446" s="63"/>
      <c r="E446" s="64"/>
      <c r="F446" s="64"/>
      <c r="G446" s="65"/>
      <c r="H446" s="66" t="str">
        <f t="shared" si="7"/>
        <v/>
      </c>
      <c r="I446" s="67" t="str">
        <f t="shared" si="8"/>
        <v/>
      </c>
      <c r="J446" s="68" t="str">
        <f t="shared" si="9"/>
        <v/>
      </c>
      <c r="K446" s="69" t="str">
        <f t="shared" si="10"/>
        <v/>
      </c>
      <c r="L446" s="70" t="str">
        <f t="shared" si="11"/>
        <v/>
      </c>
      <c r="M446" s="71"/>
      <c r="N446" s="71"/>
      <c r="O446" s="71"/>
      <c r="P446" s="71"/>
      <c r="Q446" s="61"/>
      <c r="R446" s="63"/>
      <c r="S446" s="72"/>
      <c r="T446" s="61"/>
      <c r="U446" s="73"/>
      <c r="V446" s="62"/>
      <c r="W446" s="62"/>
      <c r="X446" s="62"/>
      <c r="Y446" s="93"/>
      <c r="Z446" s="94"/>
      <c r="AA446" s="74"/>
      <c r="AB446" s="75"/>
      <c r="AC446" s="75"/>
      <c r="AD446" s="76"/>
      <c r="AE446" s="77"/>
      <c r="AF446" s="75"/>
      <c r="AG446" s="78"/>
      <c r="AH446" s="79"/>
      <c r="AI446" s="74"/>
      <c r="AJ446" s="75"/>
      <c r="AK446" s="75"/>
      <c r="AL446" s="80">
        <f t="shared" si="12"/>
        <v>0</v>
      </c>
      <c r="AM446" s="74"/>
      <c r="AN446" s="74"/>
      <c r="AO446" s="81" t="str">
        <f t="shared" si="13"/>
        <v/>
      </c>
      <c r="AP446" s="82"/>
      <c r="AQ446" s="75"/>
      <c r="AR446" s="75"/>
      <c r="AS446" s="80">
        <f t="shared" si="14"/>
        <v>0</v>
      </c>
      <c r="AT446" s="74"/>
      <c r="AU446" s="75"/>
      <c r="AV446" s="75"/>
      <c r="AW446" s="75"/>
      <c r="AX446" s="80">
        <f t="shared" si="15"/>
        <v>0</v>
      </c>
      <c r="AY446" s="81" t="str">
        <f t="shared" si="16"/>
        <v/>
      </c>
      <c r="AZ446" s="83" t="str">
        <f t="shared" si="17"/>
        <v/>
      </c>
      <c r="BA446" s="80" t="str">
        <f t="shared" si="18"/>
        <v/>
      </c>
      <c r="BB446" s="84">
        <f t="shared" si="19"/>
        <v>0</v>
      </c>
      <c r="BC446" s="85" t="str">
        <f t="shared" si="20"/>
        <v/>
      </c>
      <c r="BD446" s="86" t="str">
        <f t="shared" si="21"/>
        <v/>
      </c>
      <c r="BE446" s="84">
        <f t="shared" si="22"/>
        <v>0</v>
      </c>
      <c r="BF446" s="87" t="str">
        <f t="shared" si="23"/>
        <v/>
      </c>
      <c r="BG446" s="88" t="str">
        <f t="shared" si="24"/>
        <v/>
      </c>
      <c r="BH446" s="89" t="str">
        <f t="shared" si="25"/>
        <v/>
      </c>
      <c r="BI446" s="90" t="str">
        <f t="shared" si="26"/>
        <v/>
      </c>
      <c r="BJ446" s="90" t="str">
        <f t="shared" si="27"/>
        <v/>
      </c>
      <c r="BK446" s="91">
        <f t="shared" si="28"/>
        <v>0</v>
      </c>
      <c r="BL446" s="92">
        <f t="shared" si="29"/>
        <v>0</v>
      </c>
      <c r="BM446" s="95"/>
    </row>
    <row r="447" spans="1:65">
      <c r="A447" s="61">
        <f t="shared" si="30"/>
        <v>0</v>
      </c>
      <c r="B447" s="62"/>
      <c r="C447" s="62"/>
      <c r="D447" s="63"/>
      <c r="E447" s="64"/>
      <c r="F447" s="64"/>
      <c r="G447" s="65"/>
      <c r="H447" s="66" t="str">
        <f t="shared" si="7"/>
        <v/>
      </c>
      <c r="I447" s="67" t="str">
        <f t="shared" si="8"/>
        <v/>
      </c>
      <c r="J447" s="68" t="str">
        <f t="shared" si="9"/>
        <v/>
      </c>
      <c r="K447" s="69" t="str">
        <f t="shared" si="10"/>
        <v/>
      </c>
      <c r="L447" s="70" t="str">
        <f t="shared" si="11"/>
        <v/>
      </c>
      <c r="M447" s="71"/>
      <c r="N447" s="71"/>
      <c r="O447" s="71"/>
      <c r="P447" s="71"/>
      <c r="Q447" s="61"/>
      <c r="R447" s="63"/>
      <c r="S447" s="72"/>
      <c r="T447" s="61"/>
      <c r="U447" s="73"/>
      <c r="V447" s="62"/>
      <c r="W447" s="62"/>
      <c r="X447" s="62"/>
      <c r="Y447" s="93"/>
      <c r="Z447" s="94"/>
      <c r="AA447" s="74"/>
      <c r="AB447" s="75"/>
      <c r="AC447" s="75"/>
      <c r="AD447" s="76"/>
      <c r="AE447" s="77"/>
      <c r="AF447" s="75"/>
      <c r="AG447" s="78"/>
      <c r="AH447" s="79"/>
      <c r="AI447" s="74"/>
      <c r="AJ447" s="75"/>
      <c r="AK447" s="75"/>
      <c r="AL447" s="80">
        <f t="shared" si="12"/>
        <v>0</v>
      </c>
      <c r="AM447" s="74"/>
      <c r="AN447" s="74"/>
      <c r="AO447" s="81" t="str">
        <f t="shared" si="13"/>
        <v/>
      </c>
      <c r="AP447" s="82"/>
      <c r="AQ447" s="75"/>
      <c r="AR447" s="75"/>
      <c r="AS447" s="80">
        <f t="shared" si="14"/>
        <v>0</v>
      </c>
      <c r="AT447" s="74"/>
      <c r="AU447" s="75"/>
      <c r="AV447" s="75"/>
      <c r="AW447" s="75"/>
      <c r="AX447" s="80">
        <f t="shared" si="15"/>
        <v>0</v>
      </c>
      <c r="AY447" s="81" t="str">
        <f t="shared" si="16"/>
        <v/>
      </c>
      <c r="AZ447" s="83" t="str">
        <f t="shared" si="17"/>
        <v/>
      </c>
      <c r="BA447" s="80" t="str">
        <f t="shared" si="18"/>
        <v/>
      </c>
      <c r="BB447" s="84">
        <f t="shared" si="19"/>
        <v>0</v>
      </c>
      <c r="BC447" s="85" t="str">
        <f t="shared" si="20"/>
        <v/>
      </c>
      <c r="BD447" s="86" t="str">
        <f t="shared" si="21"/>
        <v/>
      </c>
      <c r="BE447" s="84">
        <f t="shared" si="22"/>
        <v>0</v>
      </c>
      <c r="BF447" s="87" t="str">
        <f t="shared" si="23"/>
        <v/>
      </c>
      <c r="BG447" s="88" t="str">
        <f t="shared" si="24"/>
        <v/>
      </c>
      <c r="BH447" s="89" t="str">
        <f t="shared" si="25"/>
        <v/>
      </c>
      <c r="BI447" s="90" t="str">
        <f t="shared" si="26"/>
        <v/>
      </c>
      <c r="BJ447" s="90" t="str">
        <f t="shared" si="27"/>
        <v/>
      </c>
      <c r="BK447" s="91">
        <f t="shared" si="28"/>
        <v>0</v>
      </c>
      <c r="BL447" s="92">
        <f t="shared" si="29"/>
        <v>0</v>
      </c>
      <c r="BM447" s="95"/>
    </row>
    <row r="448" spans="1:65">
      <c r="A448" s="61">
        <f t="shared" si="30"/>
        <v>0</v>
      </c>
      <c r="B448" s="62"/>
      <c r="C448" s="62"/>
      <c r="D448" s="63"/>
      <c r="E448" s="64"/>
      <c r="F448" s="64"/>
      <c r="G448" s="65"/>
      <c r="H448" s="66" t="str">
        <f t="shared" si="7"/>
        <v/>
      </c>
      <c r="I448" s="67" t="str">
        <f t="shared" si="8"/>
        <v/>
      </c>
      <c r="J448" s="68" t="str">
        <f t="shared" si="9"/>
        <v/>
      </c>
      <c r="K448" s="69" t="str">
        <f t="shared" si="10"/>
        <v/>
      </c>
      <c r="L448" s="70" t="str">
        <f t="shared" si="11"/>
        <v/>
      </c>
      <c r="M448" s="71"/>
      <c r="N448" s="71"/>
      <c r="O448" s="71"/>
      <c r="P448" s="71"/>
      <c r="Q448" s="61"/>
      <c r="R448" s="63"/>
      <c r="S448" s="72"/>
      <c r="T448" s="61"/>
      <c r="U448" s="73"/>
      <c r="V448" s="62"/>
      <c r="W448" s="62"/>
      <c r="X448" s="62"/>
      <c r="Y448" s="93"/>
      <c r="Z448" s="94"/>
      <c r="AA448" s="74"/>
      <c r="AB448" s="75"/>
      <c r="AC448" s="75"/>
      <c r="AD448" s="76"/>
      <c r="AE448" s="77"/>
      <c r="AF448" s="75"/>
      <c r="AG448" s="78"/>
      <c r="AH448" s="79"/>
      <c r="AI448" s="74"/>
      <c r="AJ448" s="75"/>
      <c r="AK448" s="75"/>
      <c r="AL448" s="80">
        <f t="shared" si="12"/>
        <v>0</v>
      </c>
      <c r="AM448" s="74"/>
      <c r="AN448" s="74"/>
      <c r="AO448" s="81" t="str">
        <f t="shared" si="13"/>
        <v/>
      </c>
      <c r="AP448" s="82"/>
      <c r="AQ448" s="75"/>
      <c r="AR448" s="75"/>
      <c r="AS448" s="80">
        <f t="shared" si="14"/>
        <v>0</v>
      </c>
      <c r="AT448" s="74"/>
      <c r="AU448" s="75"/>
      <c r="AV448" s="75"/>
      <c r="AW448" s="75"/>
      <c r="AX448" s="80">
        <f t="shared" si="15"/>
        <v>0</v>
      </c>
      <c r="AY448" s="81" t="str">
        <f t="shared" si="16"/>
        <v/>
      </c>
      <c r="AZ448" s="83" t="str">
        <f t="shared" si="17"/>
        <v/>
      </c>
      <c r="BA448" s="80" t="str">
        <f t="shared" si="18"/>
        <v/>
      </c>
      <c r="BB448" s="84">
        <f t="shared" si="19"/>
        <v>0</v>
      </c>
      <c r="BC448" s="85" t="str">
        <f t="shared" si="20"/>
        <v/>
      </c>
      <c r="BD448" s="86" t="str">
        <f t="shared" si="21"/>
        <v/>
      </c>
      <c r="BE448" s="84">
        <f t="shared" si="22"/>
        <v>0</v>
      </c>
      <c r="BF448" s="87" t="str">
        <f t="shared" si="23"/>
        <v/>
      </c>
      <c r="BG448" s="88" t="str">
        <f t="shared" si="24"/>
        <v/>
      </c>
      <c r="BH448" s="89" t="str">
        <f t="shared" si="25"/>
        <v/>
      </c>
      <c r="BI448" s="90" t="str">
        <f t="shared" si="26"/>
        <v/>
      </c>
      <c r="BJ448" s="90" t="str">
        <f t="shared" si="27"/>
        <v/>
      </c>
      <c r="BK448" s="91">
        <f t="shared" si="28"/>
        <v>0</v>
      </c>
      <c r="BL448" s="92">
        <f t="shared" si="29"/>
        <v>0</v>
      </c>
      <c r="BM448" s="95"/>
    </row>
    <row r="449" spans="1:65">
      <c r="A449" s="61">
        <f t="shared" si="30"/>
        <v>0</v>
      </c>
      <c r="B449" s="62"/>
      <c r="C449" s="62"/>
      <c r="D449" s="63"/>
      <c r="E449" s="64"/>
      <c r="F449" s="64"/>
      <c r="G449" s="65"/>
      <c r="H449" s="66" t="str">
        <f t="shared" si="7"/>
        <v/>
      </c>
      <c r="I449" s="67" t="str">
        <f t="shared" si="8"/>
        <v/>
      </c>
      <c r="J449" s="68" t="str">
        <f t="shared" si="9"/>
        <v/>
      </c>
      <c r="K449" s="69" t="str">
        <f t="shared" si="10"/>
        <v/>
      </c>
      <c r="L449" s="70" t="str">
        <f t="shared" si="11"/>
        <v/>
      </c>
      <c r="M449" s="71"/>
      <c r="N449" s="71"/>
      <c r="O449" s="71"/>
      <c r="P449" s="71"/>
      <c r="Q449" s="61"/>
      <c r="R449" s="63"/>
      <c r="S449" s="72"/>
      <c r="T449" s="61"/>
      <c r="U449" s="73"/>
      <c r="V449" s="62"/>
      <c r="W449" s="62"/>
      <c r="X449" s="62"/>
      <c r="Y449" s="93"/>
      <c r="Z449" s="94"/>
      <c r="AA449" s="74"/>
      <c r="AB449" s="75"/>
      <c r="AC449" s="75"/>
      <c r="AD449" s="76"/>
      <c r="AE449" s="77"/>
      <c r="AF449" s="75"/>
      <c r="AG449" s="78"/>
      <c r="AH449" s="79"/>
      <c r="AI449" s="74"/>
      <c r="AJ449" s="75"/>
      <c r="AK449" s="75"/>
      <c r="AL449" s="80">
        <f t="shared" si="12"/>
        <v>0</v>
      </c>
      <c r="AM449" s="74"/>
      <c r="AN449" s="74"/>
      <c r="AO449" s="81" t="str">
        <f t="shared" si="13"/>
        <v/>
      </c>
      <c r="AP449" s="82"/>
      <c r="AQ449" s="75"/>
      <c r="AR449" s="75"/>
      <c r="AS449" s="80">
        <f t="shared" si="14"/>
        <v>0</v>
      </c>
      <c r="AT449" s="74"/>
      <c r="AU449" s="75"/>
      <c r="AV449" s="75"/>
      <c r="AW449" s="75"/>
      <c r="AX449" s="80">
        <f t="shared" si="15"/>
        <v>0</v>
      </c>
      <c r="AY449" s="81" t="str">
        <f t="shared" si="16"/>
        <v/>
      </c>
      <c r="AZ449" s="83" t="str">
        <f t="shared" si="17"/>
        <v/>
      </c>
      <c r="BA449" s="80" t="str">
        <f t="shared" si="18"/>
        <v/>
      </c>
      <c r="BB449" s="84">
        <f t="shared" si="19"/>
        <v>0</v>
      </c>
      <c r="BC449" s="85" t="str">
        <f t="shared" si="20"/>
        <v/>
      </c>
      <c r="BD449" s="86" t="str">
        <f t="shared" si="21"/>
        <v/>
      </c>
      <c r="BE449" s="84">
        <f t="shared" si="22"/>
        <v>0</v>
      </c>
      <c r="BF449" s="87" t="str">
        <f t="shared" si="23"/>
        <v/>
      </c>
      <c r="BG449" s="88" t="str">
        <f t="shared" si="24"/>
        <v/>
      </c>
      <c r="BH449" s="89" t="str">
        <f t="shared" si="25"/>
        <v/>
      </c>
      <c r="BI449" s="90" t="str">
        <f t="shared" si="26"/>
        <v/>
      </c>
      <c r="BJ449" s="90" t="str">
        <f t="shared" si="27"/>
        <v/>
      </c>
      <c r="BK449" s="91">
        <f t="shared" si="28"/>
        <v>0</v>
      </c>
      <c r="BL449" s="92">
        <f t="shared" si="29"/>
        <v>0</v>
      </c>
      <c r="BM449" s="95"/>
    </row>
    <row r="450" spans="1:65">
      <c r="A450" s="61">
        <f t="shared" si="30"/>
        <v>0</v>
      </c>
      <c r="B450" s="62"/>
      <c r="C450" s="62"/>
      <c r="D450" s="63"/>
      <c r="E450" s="64"/>
      <c r="F450" s="64"/>
      <c r="G450" s="65"/>
      <c r="H450" s="66" t="str">
        <f t="shared" si="7"/>
        <v/>
      </c>
      <c r="I450" s="67" t="str">
        <f t="shared" si="8"/>
        <v/>
      </c>
      <c r="J450" s="68" t="str">
        <f t="shared" si="9"/>
        <v/>
      </c>
      <c r="K450" s="69" t="str">
        <f t="shared" si="10"/>
        <v/>
      </c>
      <c r="L450" s="70" t="str">
        <f t="shared" si="11"/>
        <v/>
      </c>
      <c r="M450" s="71"/>
      <c r="N450" s="71"/>
      <c r="O450" s="71"/>
      <c r="P450" s="71"/>
      <c r="Q450" s="61"/>
      <c r="R450" s="63"/>
      <c r="S450" s="72"/>
      <c r="T450" s="61"/>
      <c r="U450" s="73"/>
      <c r="V450" s="62"/>
      <c r="W450" s="62"/>
      <c r="X450" s="62"/>
      <c r="Y450" s="93"/>
      <c r="Z450" s="94"/>
      <c r="AA450" s="74"/>
      <c r="AB450" s="75"/>
      <c r="AC450" s="75"/>
      <c r="AD450" s="76"/>
      <c r="AE450" s="77"/>
      <c r="AF450" s="75"/>
      <c r="AG450" s="78"/>
      <c r="AH450" s="79"/>
      <c r="AI450" s="74"/>
      <c r="AJ450" s="75"/>
      <c r="AK450" s="75"/>
      <c r="AL450" s="80">
        <f t="shared" si="12"/>
        <v>0</v>
      </c>
      <c r="AM450" s="74"/>
      <c r="AN450" s="74"/>
      <c r="AO450" s="81" t="str">
        <f t="shared" si="13"/>
        <v/>
      </c>
      <c r="AP450" s="82"/>
      <c r="AQ450" s="75"/>
      <c r="AR450" s="75"/>
      <c r="AS450" s="80">
        <f t="shared" si="14"/>
        <v>0</v>
      </c>
      <c r="AT450" s="74"/>
      <c r="AU450" s="75"/>
      <c r="AV450" s="75"/>
      <c r="AW450" s="75"/>
      <c r="AX450" s="80">
        <f t="shared" si="15"/>
        <v>0</v>
      </c>
      <c r="AY450" s="81" t="str">
        <f t="shared" si="16"/>
        <v/>
      </c>
      <c r="AZ450" s="83" t="str">
        <f t="shared" si="17"/>
        <v/>
      </c>
      <c r="BA450" s="80" t="str">
        <f t="shared" si="18"/>
        <v/>
      </c>
      <c r="BB450" s="84">
        <f t="shared" si="19"/>
        <v>0</v>
      </c>
      <c r="BC450" s="85" t="str">
        <f t="shared" si="20"/>
        <v/>
      </c>
      <c r="BD450" s="86" t="str">
        <f t="shared" si="21"/>
        <v/>
      </c>
      <c r="BE450" s="84">
        <f t="shared" si="22"/>
        <v>0</v>
      </c>
      <c r="BF450" s="87" t="str">
        <f t="shared" si="23"/>
        <v/>
      </c>
      <c r="BG450" s="88" t="str">
        <f t="shared" si="24"/>
        <v/>
      </c>
      <c r="BH450" s="89" t="str">
        <f t="shared" si="25"/>
        <v/>
      </c>
      <c r="BI450" s="90" t="str">
        <f t="shared" si="26"/>
        <v/>
      </c>
      <c r="BJ450" s="90" t="str">
        <f t="shared" si="27"/>
        <v/>
      </c>
      <c r="BK450" s="91">
        <f t="shared" si="28"/>
        <v>0</v>
      </c>
      <c r="BL450" s="92">
        <f t="shared" si="29"/>
        <v>0</v>
      </c>
      <c r="BM450" s="95"/>
    </row>
    <row r="451" spans="1:65">
      <c r="A451" s="61">
        <f t="shared" si="30"/>
        <v>0</v>
      </c>
      <c r="B451" s="62"/>
      <c r="C451" s="62"/>
      <c r="D451" s="63"/>
      <c r="E451" s="64"/>
      <c r="F451" s="64"/>
      <c r="G451" s="65"/>
      <c r="H451" s="66" t="str">
        <f t="shared" si="7"/>
        <v/>
      </c>
      <c r="I451" s="67" t="str">
        <f t="shared" si="8"/>
        <v/>
      </c>
      <c r="J451" s="68" t="str">
        <f t="shared" si="9"/>
        <v/>
      </c>
      <c r="K451" s="69" t="str">
        <f t="shared" si="10"/>
        <v/>
      </c>
      <c r="L451" s="70" t="str">
        <f t="shared" si="11"/>
        <v/>
      </c>
      <c r="M451" s="71"/>
      <c r="N451" s="71"/>
      <c r="O451" s="71"/>
      <c r="P451" s="71"/>
      <c r="Q451" s="61"/>
      <c r="R451" s="63"/>
      <c r="S451" s="72"/>
      <c r="T451" s="61"/>
      <c r="U451" s="73"/>
      <c r="V451" s="62"/>
      <c r="W451" s="62"/>
      <c r="X451" s="62"/>
      <c r="Y451" s="93"/>
      <c r="Z451" s="94"/>
      <c r="AA451" s="74"/>
      <c r="AB451" s="75"/>
      <c r="AC451" s="75"/>
      <c r="AD451" s="76"/>
      <c r="AE451" s="77"/>
      <c r="AF451" s="75"/>
      <c r="AG451" s="78"/>
      <c r="AH451" s="79"/>
      <c r="AI451" s="74"/>
      <c r="AJ451" s="75"/>
      <c r="AK451" s="75"/>
      <c r="AL451" s="80">
        <f t="shared" si="12"/>
        <v>0</v>
      </c>
      <c r="AM451" s="74"/>
      <c r="AN451" s="74"/>
      <c r="AO451" s="81" t="str">
        <f t="shared" si="13"/>
        <v/>
      </c>
      <c r="AP451" s="82"/>
      <c r="AQ451" s="75"/>
      <c r="AR451" s="75"/>
      <c r="AS451" s="80">
        <f t="shared" si="14"/>
        <v>0</v>
      </c>
      <c r="AT451" s="74"/>
      <c r="AU451" s="75"/>
      <c r="AV451" s="75"/>
      <c r="AW451" s="75"/>
      <c r="AX451" s="80">
        <f t="shared" si="15"/>
        <v>0</v>
      </c>
      <c r="AY451" s="81" t="str">
        <f t="shared" si="16"/>
        <v/>
      </c>
      <c r="AZ451" s="83" t="str">
        <f t="shared" si="17"/>
        <v/>
      </c>
      <c r="BA451" s="80" t="str">
        <f t="shared" si="18"/>
        <v/>
      </c>
      <c r="BB451" s="84">
        <f t="shared" si="19"/>
        <v>0</v>
      </c>
      <c r="BC451" s="85" t="str">
        <f t="shared" si="20"/>
        <v/>
      </c>
      <c r="BD451" s="86" t="str">
        <f t="shared" si="21"/>
        <v/>
      </c>
      <c r="BE451" s="84">
        <f t="shared" si="22"/>
        <v>0</v>
      </c>
      <c r="BF451" s="87" t="str">
        <f t="shared" si="23"/>
        <v/>
      </c>
      <c r="BG451" s="88" t="str">
        <f t="shared" si="24"/>
        <v/>
      </c>
      <c r="BH451" s="89" t="str">
        <f t="shared" si="25"/>
        <v/>
      </c>
      <c r="BI451" s="90" t="str">
        <f t="shared" si="26"/>
        <v/>
      </c>
      <c r="BJ451" s="90" t="str">
        <f t="shared" si="27"/>
        <v/>
      </c>
      <c r="BK451" s="91">
        <f t="shared" si="28"/>
        <v>0</v>
      </c>
      <c r="BL451" s="92">
        <f t="shared" si="29"/>
        <v>0</v>
      </c>
      <c r="BM451" s="95"/>
    </row>
    <row r="452" spans="1:65">
      <c r="A452" s="61">
        <f t="shared" si="30"/>
        <v>0</v>
      </c>
      <c r="B452" s="62"/>
      <c r="C452" s="62"/>
      <c r="D452" s="63"/>
      <c r="E452" s="64"/>
      <c r="F452" s="64"/>
      <c r="G452" s="65"/>
      <c r="H452" s="66" t="str">
        <f t="shared" si="7"/>
        <v/>
      </c>
      <c r="I452" s="67" t="str">
        <f t="shared" si="8"/>
        <v/>
      </c>
      <c r="J452" s="68" t="str">
        <f t="shared" si="9"/>
        <v/>
      </c>
      <c r="K452" s="69" t="str">
        <f t="shared" si="10"/>
        <v/>
      </c>
      <c r="L452" s="70" t="str">
        <f t="shared" si="11"/>
        <v/>
      </c>
      <c r="M452" s="71"/>
      <c r="N452" s="71"/>
      <c r="O452" s="71"/>
      <c r="P452" s="71"/>
      <c r="Q452" s="61"/>
      <c r="R452" s="63"/>
      <c r="S452" s="72"/>
      <c r="T452" s="61"/>
      <c r="U452" s="73"/>
      <c r="V452" s="62"/>
      <c r="W452" s="62"/>
      <c r="X452" s="62"/>
      <c r="Y452" s="93"/>
      <c r="Z452" s="94"/>
      <c r="AA452" s="74"/>
      <c r="AB452" s="75"/>
      <c r="AC452" s="75"/>
      <c r="AD452" s="76"/>
      <c r="AE452" s="77"/>
      <c r="AF452" s="75"/>
      <c r="AG452" s="78"/>
      <c r="AH452" s="79"/>
      <c r="AI452" s="74"/>
      <c r="AJ452" s="75"/>
      <c r="AK452" s="75"/>
      <c r="AL452" s="80">
        <f t="shared" si="12"/>
        <v>0</v>
      </c>
      <c r="AM452" s="74"/>
      <c r="AN452" s="74"/>
      <c r="AO452" s="81" t="str">
        <f t="shared" si="13"/>
        <v/>
      </c>
      <c r="AP452" s="82"/>
      <c r="AQ452" s="75"/>
      <c r="AR452" s="75"/>
      <c r="AS452" s="80">
        <f t="shared" si="14"/>
        <v>0</v>
      </c>
      <c r="AT452" s="74"/>
      <c r="AU452" s="75"/>
      <c r="AV452" s="75"/>
      <c r="AW452" s="75"/>
      <c r="AX452" s="80">
        <f t="shared" si="15"/>
        <v>0</v>
      </c>
      <c r="AY452" s="81" t="str">
        <f t="shared" si="16"/>
        <v/>
      </c>
      <c r="AZ452" s="83" t="str">
        <f t="shared" si="17"/>
        <v/>
      </c>
      <c r="BA452" s="80" t="str">
        <f t="shared" si="18"/>
        <v/>
      </c>
      <c r="BB452" s="84">
        <f t="shared" si="19"/>
        <v>0</v>
      </c>
      <c r="BC452" s="85" t="str">
        <f t="shared" si="20"/>
        <v/>
      </c>
      <c r="BD452" s="86" t="str">
        <f t="shared" si="21"/>
        <v/>
      </c>
      <c r="BE452" s="84">
        <f t="shared" si="22"/>
        <v>0</v>
      </c>
      <c r="BF452" s="87" t="str">
        <f t="shared" si="23"/>
        <v/>
      </c>
      <c r="BG452" s="88" t="str">
        <f t="shared" si="24"/>
        <v/>
      </c>
      <c r="BH452" s="89" t="str">
        <f t="shared" si="25"/>
        <v/>
      </c>
      <c r="BI452" s="90" t="str">
        <f t="shared" si="26"/>
        <v/>
      </c>
      <c r="BJ452" s="90" t="str">
        <f t="shared" si="27"/>
        <v/>
      </c>
      <c r="BK452" s="91">
        <f t="shared" si="28"/>
        <v>0</v>
      </c>
      <c r="BL452" s="92">
        <f t="shared" si="29"/>
        <v>0</v>
      </c>
      <c r="BM452" s="95"/>
    </row>
    <row r="453" spans="1:65">
      <c r="A453" s="61">
        <f t="shared" si="30"/>
        <v>0</v>
      </c>
      <c r="B453" s="62"/>
      <c r="C453" s="62"/>
      <c r="D453" s="63"/>
      <c r="E453" s="64"/>
      <c r="F453" s="64"/>
      <c r="G453" s="65"/>
      <c r="H453" s="66" t="str">
        <f t="shared" si="7"/>
        <v/>
      </c>
      <c r="I453" s="67" t="str">
        <f t="shared" si="8"/>
        <v/>
      </c>
      <c r="J453" s="68" t="str">
        <f t="shared" si="9"/>
        <v/>
      </c>
      <c r="K453" s="69" t="str">
        <f t="shared" si="10"/>
        <v/>
      </c>
      <c r="L453" s="70" t="str">
        <f t="shared" si="11"/>
        <v/>
      </c>
      <c r="M453" s="71"/>
      <c r="N453" s="71"/>
      <c r="O453" s="71"/>
      <c r="P453" s="71"/>
      <c r="Q453" s="61"/>
      <c r="R453" s="63"/>
      <c r="S453" s="72"/>
      <c r="T453" s="61"/>
      <c r="U453" s="73"/>
      <c r="V453" s="62"/>
      <c r="W453" s="62"/>
      <c r="X453" s="62"/>
      <c r="Y453" s="93"/>
      <c r="Z453" s="94"/>
      <c r="AA453" s="74"/>
      <c r="AB453" s="75"/>
      <c r="AC453" s="75"/>
      <c r="AD453" s="76"/>
      <c r="AE453" s="77"/>
      <c r="AF453" s="75"/>
      <c r="AG453" s="78"/>
      <c r="AH453" s="79"/>
      <c r="AI453" s="74"/>
      <c r="AJ453" s="75"/>
      <c r="AK453" s="75"/>
      <c r="AL453" s="80">
        <f t="shared" si="12"/>
        <v>0</v>
      </c>
      <c r="AM453" s="74"/>
      <c r="AN453" s="74"/>
      <c r="AO453" s="81" t="str">
        <f t="shared" si="13"/>
        <v/>
      </c>
      <c r="AP453" s="82"/>
      <c r="AQ453" s="75"/>
      <c r="AR453" s="75"/>
      <c r="AS453" s="80">
        <f t="shared" si="14"/>
        <v>0</v>
      </c>
      <c r="AT453" s="74"/>
      <c r="AU453" s="75"/>
      <c r="AV453" s="75"/>
      <c r="AW453" s="75"/>
      <c r="AX453" s="80">
        <f t="shared" si="15"/>
        <v>0</v>
      </c>
      <c r="AY453" s="81" t="str">
        <f t="shared" si="16"/>
        <v/>
      </c>
      <c r="AZ453" s="83" t="str">
        <f t="shared" si="17"/>
        <v/>
      </c>
      <c r="BA453" s="80" t="str">
        <f t="shared" si="18"/>
        <v/>
      </c>
      <c r="BB453" s="84">
        <f t="shared" si="19"/>
        <v>0</v>
      </c>
      <c r="BC453" s="85" t="str">
        <f t="shared" si="20"/>
        <v/>
      </c>
      <c r="BD453" s="86" t="str">
        <f t="shared" si="21"/>
        <v/>
      </c>
      <c r="BE453" s="84">
        <f t="shared" si="22"/>
        <v>0</v>
      </c>
      <c r="BF453" s="87" t="str">
        <f t="shared" si="23"/>
        <v/>
      </c>
      <c r="BG453" s="88" t="str">
        <f t="shared" si="24"/>
        <v/>
      </c>
      <c r="BH453" s="89" t="str">
        <f t="shared" si="25"/>
        <v/>
      </c>
      <c r="BI453" s="90" t="str">
        <f t="shared" si="26"/>
        <v/>
      </c>
      <c r="BJ453" s="90" t="str">
        <f t="shared" si="27"/>
        <v/>
      </c>
      <c r="BK453" s="91">
        <f t="shared" si="28"/>
        <v>0</v>
      </c>
      <c r="BL453" s="92">
        <f t="shared" si="29"/>
        <v>0</v>
      </c>
      <c r="BM453" s="95"/>
    </row>
    <row r="454" spans="1:65">
      <c r="A454" s="61">
        <f t="shared" si="30"/>
        <v>0</v>
      </c>
      <c r="B454" s="62"/>
      <c r="C454" s="62"/>
      <c r="D454" s="63"/>
      <c r="E454" s="64"/>
      <c r="F454" s="64"/>
      <c r="G454" s="65"/>
      <c r="H454" s="66" t="str">
        <f t="shared" si="7"/>
        <v/>
      </c>
      <c r="I454" s="67" t="str">
        <f t="shared" si="8"/>
        <v/>
      </c>
      <c r="J454" s="68" t="str">
        <f t="shared" si="9"/>
        <v/>
      </c>
      <c r="K454" s="69" t="str">
        <f t="shared" si="10"/>
        <v/>
      </c>
      <c r="L454" s="70" t="str">
        <f t="shared" si="11"/>
        <v/>
      </c>
      <c r="M454" s="71"/>
      <c r="N454" s="71"/>
      <c r="O454" s="71"/>
      <c r="P454" s="71"/>
      <c r="Q454" s="61"/>
      <c r="R454" s="63"/>
      <c r="S454" s="72"/>
      <c r="T454" s="61"/>
      <c r="U454" s="73"/>
      <c r="V454" s="62"/>
      <c r="W454" s="62"/>
      <c r="X454" s="62"/>
      <c r="Y454" s="93"/>
      <c r="Z454" s="94"/>
      <c r="AA454" s="74"/>
      <c r="AB454" s="75"/>
      <c r="AC454" s="75"/>
      <c r="AD454" s="76"/>
      <c r="AE454" s="77"/>
      <c r="AF454" s="75"/>
      <c r="AG454" s="78"/>
      <c r="AH454" s="79"/>
      <c r="AI454" s="74"/>
      <c r="AJ454" s="75"/>
      <c r="AK454" s="75"/>
      <c r="AL454" s="80">
        <f t="shared" si="12"/>
        <v>0</v>
      </c>
      <c r="AM454" s="74"/>
      <c r="AN454" s="74"/>
      <c r="AO454" s="81" t="str">
        <f t="shared" si="13"/>
        <v/>
      </c>
      <c r="AP454" s="82"/>
      <c r="AQ454" s="75"/>
      <c r="AR454" s="75"/>
      <c r="AS454" s="80">
        <f t="shared" si="14"/>
        <v>0</v>
      </c>
      <c r="AT454" s="74"/>
      <c r="AU454" s="75"/>
      <c r="AV454" s="75"/>
      <c r="AW454" s="75"/>
      <c r="AX454" s="80">
        <f t="shared" si="15"/>
        <v>0</v>
      </c>
      <c r="AY454" s="81" t="str">
        <f t="shared" si="16"/>
        <v/>
      </c>
      <c r="AZ454" s="83" t="str">
        <f t="shared" si="17"/>
        <v/>
      </c>
      <c r="BA454" s="80" t="str">
        <f t="shared" si="18"/>
        <v/>
      </c>
      <c r="BB454" s="84">
        <f t="shared" si="19"/>
        <v>0</v>
      </c>
      <c r="BC454" s="85" t="str">
        <f t="shared" si="20"/>
        <v/>
      </c>
      <c r="BD454" s="86" t="str">
        <f t="shared" si="21"/>
        <v/>
      </c>
      <c r="BE454" s="84">
        <f t="shared" si="22"/>
        <v>0</v>
      </c>
      <c r="BF454" s="87" t="str">
        <f t="shared" si="23"/>
        <v/>
      </c>
      <c r="BG454" s="88" t="str">
        <f t="shared" si="24"/>
        <v/>
      </c>
      <c r="BH454" s="89" t="str">
        <f t="shared" si="25"/>
        <v/>
      </c>
      <c r="BI454" s="90" t="str">
        <f t="shared" si="26"/>
        <v/>
      </c>
      <c r="BJ454" s="90" t="str">
        <f t="shared" si="27"/>
        <v/>
      </c>
      <c r="BK454" s="91">
        <f t="shared" si="28"/>
        <v>0</v>
      </c>
      <c r="BL454" s="92">
        <f t="shared" si="29"/>
        <v>0</v>
      </c>
      <c r="BM454" s="95"/>
    </row>
    <row r="455" spans="1:65">
      <c r="A455" s="61">
        <f t="shared" si="30"/>
        <v>0</v>
      </c>
      <c r="B455" s="62"/>
      <c r="C455" s="62"/>
      <c r="D455" s="63"/>
      <c r="E455" s="64"/>
      <c r="F455" s="64"/>
      <c r="G455" s="65"/>
      <c r="H455" s="66" t="str">
        <f t="shared" si="7"/>
        <v/>
      </c>
      <c r="I455" s="67" t="str">
        <f t="shared" si="8"/>
        <v/>
      </c>
      <c r="J455" s="68" t="str">
        <f t="shared" si="9"/>
        <v/>
      </c>
      <c r="K455" s="69" t="str">
        <f t="shared" si="10"/>
        <v/>
      </c>
      <c r="L455" s="70" t="str">
        <f t="shared" si="11"/>
        <v/>
      </c>
      <c r="M455" s="71"/>
      <c r="N455" s="71"/>
      <c r="O455" s="71"/>
      <c r="P455" s="71"/>
      <c r="Q455" s="61"/>
      <c r="R455" s="63"/>
      <c r="S455" s="72"/>
      <c r="T455" s="61"/>
      <c r="U455" s="73"/>
      <c r="V455" s="62"/>
      <c r="W455" s="62"/>
      <c r="X455" s="62"/>
      <c r="Y455" s="93"/>
      <c r="Z455" s="94"/>
      <c r="AA455" s="74"/>
      <c r="AB455" s="75"/>
      <c r="AC455" s="75"/>
      <c r="AD455" s="76"/>
      <c r="AE455" s="77"/>
      <c r="AF455" s="75"/>
      <c r="AG455" s="78"/>
      <c r="AH455" s="79"/>
      <c r="AI455" s="74"/>
      <c r="AJ455" s="75"/>
      <c r="AK455" s="75"/>
      <c r="AL455" s="80">
        <f t="shared" si="12"/>
        <v>0</v>
      </c>
      <c r="AM455" s="74"/>
      <c r="AN455" s="74"/>
      <c r="AO455" s="81" t="str">
        <f t="shared" si="13"/>
        <v/>
      </c>
      <c r="AP455" s="82"/>
      <c r="AQ455" s="75"/>
      <c r="AR455" s="75"/>
      <c r="AS455" s="80">
        <f t="shared" si="14"/>
        <v>0</v>
      </c>
      <c r="AT455" s="74"/>
      <c r="AU455" s="75"/>
      <c r="AV455" s="75"/>
      <c r="AW455" s="75"/>
      <c r="AX455" s="80">
        <f t="shared" si="15"/>
        <v>0</v>
      </c>
      <c r="AY455" s="81" t="str">
        <f t="shared" si="16"/>
        <v/>
      </c>
      <c r="AZ455" s="83" t="str">
        <f t="shared" si="17"/>
        <v/>
      </c>
      <c r="BA455" s="80" t="str">
        <f t="shared" si="18"/>
        <v/>
      </c>
      <c r="BB455" s="84">
        <f t="shared" si="19"/>
        <v>0</v>
      </c>
      <c r="BC455" s="85" t="str">
        <f t="shared" si="20"/>
        <v/>
      </c>
      <c r="BD455" s="86" t="str">
        <f t="shared" si="21"/>
        <v/>
      </c>
      <c r="BE455" s="84">
        <f t="shared" si="22"/>
        <v>0</v>
      </c>
      <c r="BF455" s="87" t="str">
        <f t="shared" si="23"/>
        <v/>
      </c>
      <c r="BG455" s="88" t="str">
        <f t="shared" si="24"/>
        <v/>
      </c>
      <c r="BH455" s="89" t="str">
        <f t="shared" si="25"/>
        <v/>
      </c>
      <c r="BI455" s="90" t="str">
        <f t="shared" si="26"/>
        <v/>
      </c>
      <c r="BJ455" s="90" t="str">
        <f t="shared" si="27"/>
        <v/>
      </c>
      <c r="BK455" s="91">
        <f t="shared" si="28"/>
        <v>0</v>
      </c>
      <c r="BL455" s="92">
        <f t="shared" si="29"/>
        <v>0</v>
      </c>
      <c r="BM455" s="95"/>
    </row>
    <row r="456" spans="1:65">
      <c r="A456" s="61">
        <f t="shared" si="30"/>
        <v>0</v>
      </c>
      <c r="B456" s="62"/>
      <c r="C456" s="62"/>
      <c r="D456" s="63"/>
      <c r="E456" s="64"/>
      <c r="F456" s="64"/>
      <c r="G456" s="65"/>
      <c r="H456" s="66" t="str">
        <f t="shared" ref="H456:H519" si="31">IF(F456="","",IF(F456="","",IF((F456-E456+1)&gt;360,"Most Recently 12 Months","Year To Date")))</f>
        <v/>
      </c>
      <c r="I456" s="67" t="str">
        <f t="shared" ref="I456:I519" si="32">IF(F456="","",ROUND((F456-E456+1)/(((365*3+366)/4)/12),0))</f>
        <v/>
      </c>
      <c r="J456" s="68" t="str">
        <f t="shared" ref="J456:J519" si="33">IF(F456="","",YEAR(F456))</f>
        <v/>
      </c>
      <c r="K456" s="69" t="str">
        <f t="shared" ref="K456:K519" si="34">IF(F456="","",CEILING(L456/3,1))</f>
        <v/>
      </c>
      <c r="L456" s="70" t="str">
        <f t="shared" ref="L456:L519" si="35">IF(F456="","",MONTH(F456))</f>
        <v/>
      </c>
      <c r="M456" s="71"/>
      <c r="N456" s="71"/>
      <c r="O456" s="71"/>
      <c r="P456" s="71"/>
      <c r="Q456" s="61"/>
      <c r="R456" s="63"/>
      <c r="S456" s="72"/>
      <c r="T456" s="61"/>
      <c r="U456" s="73"/>
      <c r="V456" s="62"/>
      <c r="W456" s="62"/>
      <c r="X456" s="62"/>
      <c r="Y456" s="93"/>
      <c r="Z456" s="94"/>
      <c r="AA456" s="74"/>
      <c r="AB456" s="75"/>
      <c r="AC456" s="75"/>
      <c r="AD456" s="76"/>
      <c r="AE456" s="77"/>
      <c r="AF456" s="75"/>
      <c r="AG456" s="78"/>
      <c r="AH456" s="79"/>
      <c r="AI456" s="74"/>
      <c r="AJ456" s="75"/>
      <c r="AK456" s="75"/>
      <c r="AL456" s="80">
        <f t="shared" ref="AL456:AL519" si="36">SUM(AI456:AK456)</f>
        <v>0</v>
      </c>
      <c r="AM456" s="74"/>
      <c r="AN456" s="74"/>
      <c r="AO456" s="81" t="str">
        <f t="shared" ref="AO456:AO519" si="37">IFERROR(AN456/AM456,"")</f>
        <v/>
      </c>
      <c r="AP456" s="82"/>
      <c r="AQ456" s="75"/>
      <c r="AR456" s="75"/>
      <c r="AS456" s="80">
        <f t="shared" ref="AS456:AS519" si="38">SUM(AQ456:AR456)</f>
        <v>0</v>
      </c>
      <c r="AT456" s="74"/>
      <c r="AU456" s="75"/>
      <c r="AV456" s="75"/>
      <c r="AW456" s="75"/>
      <c r="AX456" s="80">
        <f t="shared" ref="AX456:AX519" si="39">SUM(AT456:AW456)</f>
        <v>0</v>
      </c>
      <c r="AY456" s="81" t="str">
        <f t="shared" ref="AY456:AY519" si="40">IFERROR(AP456/AF456,"")</f>
        <v/>
      </c>
      <c r="AZ456" s="83" t="str">
        <f t="shared" ref="AZ456:AZ519" si="41">IFERROR(AS456/AP456,"")</f>
        <v/>
      </c>
      <c r="BA456" s="80" t="str">
        <f t="shared" ref="BA456:BA519" si="42">IFERROR(AY456*AZ456,"")</f>
        <v/>
      </c>
      <c r="BB456" s="84">
        <f t="shared" ref="BB456:BB519" si="43">AG456-SUM(AL456,AS456:AU456,AW456)</f>
        <v>0</v>
      </c>
      <c r="BC456" s="85" t="str">
        <f t="shared" ref="BC456:BC519" si="44">IFERROR(BB456/AV456,"")</f>
        <v/>
      </c>
      <c r="BD456" s="86" t="str">
        <f t="shared" ref="BD456:BD519" si="45">IFERROR(BB456/AG456,"")</f>
        <v/>
      </c>
      <c r="BE456" s="84">
        <f t="shared" ref="BE456:BE519" si="46">AG456-SUM(AL456,AS456:AU456)</f>
        <v>0</v>
      </c>
      <c r="BF456" s="87" t="str">
        <f t="shared" ref="BF456:BF519" si="47">IFERROR(BE456/SUM(AV456:AW456),"")</f>
        <v/>
      </c>
      <c r="BG456" s="88" t="str">
        <f t="shared" ref="BG456:BG519" si="48">IFERROR(BE456/AG456,"")</f>
        <v/>
      </c>
      <c r="BH456" s="89" t="str">
        <f t="shared" ref="BH456:BH519" si="49">IFERROR(AS456/AG456,"")</f>
        <v/>
      </c>
      <c r="BI456" s="90" t="str">
        <f t="shared" ref="BI456:BI519" si="50">IFERROR(AL456/AG456,"")</f>
        <v/>
      </c>
      <c r="BJ456" s="90" t="str">
        <f t="shared" ref="BJ456:BJ519" si="51">IFERROR(AX456/AG456,"")</f>
        <v/>
      </c>
      <c r="BK456" s="91">
        <f t="shared" ref="BK456:BK519" si="52">SUM(BH456:BJ456)</f>
        <v>0</v>
      </c>
      <c r="BL456" s="92">
        <f t="shared" ref="BL456:BL519" si="53">AG456-SUM(AL456,AS456,AX456)</f>
        <v>0</v>
      </c>
      <c r="BM456" s="95"/>
    </row>
    <row r="457" spans="1:65">
      <c r="A457" s="61">
        <f t="shared" si="30"/>
        <v>0</v>
      </c>
      <c r="B457" s="62"/>
      <c r="C457" s="62"/>
      <c r="D457" s="63"/>
      <c r="E457" s="64"/>
      <c r="F457" s="64"/>
      <c r="G457" s="65"/>
      <c r="H457" s="66" t="str">
        <f t="shared" si="31"/>
        <v/>
      </c>
      <c r="I457" s="67" t="str">
        <f t="shared" si="32"/>
        <v/>
      </c>
      <c r="J457" s="68" t="str">
        <f t="shared" si="33"/>
        <v/>
      </c>
      <c r="K457" s="69" t="str">
        <f t="shared" si="34"/>
        <v/>
      </c>
      <c r="L457" s="70" t="str">
        <f t="shared" si="35"/>
        <v/>
      </c>
      <c r="M457" s="71"/>
      <c r="N457" s="71"/>
      <c r="O457" s="71"/>
      <c r="P457" s="71"/>
      <c r="Q457" s="61"/>
      <c r="R457" s="63"/>
      <c r="S457" s="72"/>
      <c r="T457" s="61"/>
      <c r="U457" s="73"/>
      <c r="V457" s="62"/>
      <c r="W457" s="62"/>
      <c r="X457" s="62"/>
      <c r="Y457" s="93"/>
      <c r="Z457" s="94"/>
      <c r="AA457" s="74"/>
      <c r="AB457" s="75"/>
      <c r="AC457" s="75"/>
      <c r="AD457" s="76"/>
      <c r="AE457" s="77"/>
      <c r="AF457" s="75"/>
      <c r="AG457" s="78"/>
      <c r="AH457" s="79"/>
      <c r="AI457" s="74"/>
      <c r="AJ457" s="75"/>
      <c r="AK457" s="75"/>
      <c r="AL457" s="80">
        <f t="shared" si="36"/>
        <v>0</v>
      </c>
      <c r="AM457" s="74"/>
      <c r="AN457" s="74"/>
      <c r="AO457" s="81" t="str">
        <f t="shared" si="37"/>
        <v/>
      </c>
      <c r="AP457" s="82"/>
      <c r="AQ457" s="75"/>
      <c r="AR457" s="75"/>
      <c r="AS457" s="80">
        <f t="shared" si="38"/>
        <v>0</v>
      </c>
      <c r="AT457" s="74"/>
      <c r="AU457" s="75"/>
      <c r="AV457" s="75"/>
      <c r="AW457" s="75"/>
      <c r="AX457" s="80">
        <f t="shared" si="39"/>
        <v>0</v>
      </c>
      <c r="AY457" s="81" t="str">
        <f t="shared" si="40"/>
        <v/>
      </c>
      <c r="AZ457" s="83" t="str">
        <f t="shared" si="41"/>
        <v/>
      </c>
      <c r="BA457" s="80" t="str">
        <f t="shared" si="42"/>
        <v/>
      </c>
      <c r="BB457" s="84">
        <f t="shared" si="43"/>
        <v>0</v>
      </c>
      <c r="BC457" s="85" t="str">
        <f t="shared" si="44"/>
        <v/>
      </c>
      <c r="BD457" s="86" t="str">
        <f t="shared" si="45"/>
        <v/>
      </c>
      <c r="BE457" s="84">
        <f t="shared" si="46"/>
        <v>0</v>
      </c>
      <c r="BF457" s="87" t="str">
        <f t="shared" si="47"/>
        <v/>
      </c>
      <c r="BG457" s="88" t="str">
        <f t="shared" si="48"/>
        <v/>
      </c>
      <c r="BH457" s="89" t="str">
        <f t="shared" si="49"/>
        <v/>
      </c>
      <c r="BI457" s="90" t="str">
        <f t="shared" si="50"/>
        <v/>
      </c>
      <c r="BJ457" s="90" t="str">
        <f t="shared" si="51"/>
        <v/>
      </c>
      <c r="BK457" s="91">
        <f t="shared" si="52"/>
        <v>0</v>
      </c>
      <c r="BL457" s="92">
        <f t="shared" si="53"/>
        <v>0</v>
      </c>
      <c r="BM457" s="95"/>
    </row>
    <row r="458" spans="1:65">
      <c r="A458" s="61">
        <f t="shared" si="30"/>
        <v>0</v>
      </c>
      <c r="B458" s="62"/>
      <c r="C458" s="62"/>
      <c r="D458" s="63"/>
      <c r="E458" s="64"/>
      <c r="F458" s="64"/>
      <c r="G458" s="65"/>
      <c r="H458" s="66" t="str">
        <f t="shared" si="31"/>
        <v/>
      </c>
      <c r="I458" s="67" t="str">
        <f t="shared" si="32"/>
        <v/>
      </c>
      <c r="J458" s="68" t="str">
        <f t="shared" si="33"/>
        <v/>
      </c>
      <c r="K458" s="69" t="str">
        <f t="shared" si="34"/>
        <v/>
      </c>
      <c r="L458" s="70" t="str">
        <f t="shared" si="35"/>
        <v/>
      </c>
      <c r="M458" s="71"/>
      <c r="N458" s="71"/>
      <c r="O458" s="71"/>
      <c r="P458" s="71"/>
      <c r="Q458" s="61"/>
      <c r="R458" s="63"/>
      <c r="S458" s="72"/>
      <c r="T458" s="61"/>
      <c r="U458" s="73"/>
      <c r="V458" s="62"/>
      <c r="W458" s="62"/>
      <c r="X458" s="62"/>
      <c r="Y458" s="93"/>
      <c r="Z458" s="94"/>
      <c r="AA458" s="74"/>
      <c r="AB458" s="75"/>
      <c r="AC458" s="75"/>
      <c r="AD458" s="76"/>
      <c r="AE458" s="77"/>
      <c r="AF458" s="75"/>
      <c r="AG458" s="78"/>
      <c r="AH458" s="79"/>
      <c r="AI458" s="74"/>
      <c r="AJ458" s="75"/>
      <c r="AK458" s="75"/>
      <c r="AL458" s="80">
        <f t="shared" si="36"/>
        <v>0</v>
      </c>
      <c r="AM458" s="74"/>
      <c r="AN458" s="74"/>
      <c r="AO458" s="81" t="str">
        <f t="shared" si="37"/>
        <v/>
      </c>
      <c r="AP458" s="82"/>
      <c r="AQ458" s="75"/>
      <c r="AR458" s="75"/>
      <c r="AS458" s="80">
        <f t="shared" si="38"/>
        <v>0</v>
      </c>
      <c r="AT458" s="74"/>
      <c r="AU458" s="75"/>
      <c r="AV458" s="75"/>
      <c r="AW458" s="75"/>
      <c r="AX458" s="80">
        <f t="shared" si="39"/>
        <v>0</v>
      </c>
      <c r="AY458" s="81" t="str">
        <f t="shared" si="40"/>
        <v/>
      </c>
      <c r="AZ458" s="83" t="str">
        <f t="shared" si="41"/>
        <v/>
      </c>
      <c r="BA458" s="80" t="str">
        <f t="shared" si="42"/>
        <v/>
      </c>
      <c r="BB458" s="84">
        <f t="shared" si="43"/>
        <v>0</v>
      </c>
      <c r="BC458" s="85" t="str">
        <f t="shared" si="44"/>
        <v/>
      </c>
      <c r="BD458" s="86" t="str">
        <f t="shared" si="45"/>
        <v/>
      </c>
      <c r="BE458" s="84">
        <f t="shared" si="46"/>
        <v>0</v>
      </c>
      <c r="BF458" s="87" t="str">
        <f t="shared" si="47"/>
        <v/>
      </c>
      <c r="BG458" s="88" t="str">
        <f t="shared" si="48"/>
        <v/>
      </c>
      <c r="BH458" s="89" t="str">
        <f t="shared" si="49"/>
        <v/>
      </c>
      <c r="BI458" s="90" t="str">
        <f t="shared" si="50"/>
        <v/>
      </c>
      <c r="BJ458" s="90" t="str">
        <f t="shared" si="51"/>
        <v/>
      </c>
      <c r="BK458" s="91">
        <f t="shared" si="52"/>
        <v>0</v>
      </c>
      <c r="BL458" s="92">
        <f t="shared" si="53"/>
        <v>0</v>
      </c>
      <c r="BM458" s="95"/>
    </row>
    <row r="459" spans="1:65">
      <c r="A459" s="61">
        <f t="shared" si="30"/>
        <v>0</v>
      </c>
      <c r="B459" s="62"/>
      <c r="C459" s="62"/>
      <c r="D459" s="63"/>
      <c r="E459" s="64"/>
      <c r="F459" s="64"/>
      <c r="G459" s="65"/>
      <c r="H459" s="66" t="str">
        <f t="shared" si="31"/>
        <v/>
      </c>
      <c r="I459" s="67" t="str">
        <f t="shared" si="32"/>
        <v/>
      </c>
      <c r="J459" s="68" t="str">
        <f t="shared" si="33"/>
        <v/>
      </c>
      <c r="K459" s="69" t="str">
        <f t="shared" si="34"/>
        <v/>
      </c>
      <c r="L459" s="70" t="str">
        <f t="shared" si="35"/>
        <v/>
      </c>
      <c r="M459" s="71"/>
      <c r="N459" s="71"/>
      <c r="O459" s="71"/>
      <c r="P459" s="71"/>
      <c r="Q459" s="61"/>
      <c r="R459" s="63"/>
      <c r="S459" s="72"/>
      <c r="T459" s="61"/>
      <c r="U459" s="73"/>
      <c r="V459" s="62"/>
      <c r="W459" s="62"/>
      <c r="X459" s="62"/>
      <c r="Y459" s="93"/>
      <c r="Z459" s="94"/>
      <c r="AA459" s="74"/>
      <c r="AB459" s="75"/>
      <c r="AC459" s="75"/>
      <c r="AD459" s="76"/>
      <c r="AE459" s="77"/>
      <c r="AF459" s="75"/>
      <c r="AG459" s="78"/>
      <c r="AH459" s="79"/>
      <c r="AI459" s="74"/>
      <c r="AJ459" s="75"/>
      <c r="AK459" s="75"/>
      <c r="AL459" s="80">
        <f t="shared" si="36"/>
        <v>0</v>
      </c>
      <c r="AM459" s="74"/>
      <c r="AN459" s="74"/>
      <c r="AO459" s="81" t="str">
        <f t="shared" si="37"/>
        <v/>
      </c>
      <c r="AP459" s="82"/>
      <c r="AQ459" s="75"/>
      <c r="AR459" s="75"/>
      <c r="AS459" s="80">
        <f t="shared" si="38"/>
        <v>0</v>
      </c>
      <c r="AT459" s="74"/>
      <c r="AU459" s="75"/>
      <c r="AV459" s="75"/>
      <c r="AW459" s="75"/>
      <c r="AX459" s="80">
        <f t="shared" si="39"/>
        <v>0</v>
      </c>
      <c r="AY459" s="81" t="str">
        <f t="shared" si="40"/>
        <v/>
      </c>
      <c r="AZ459" s="83" t="str">
        <f t="shared" si="41"/>
        <v/>
      </c>
      <c r="BA459" s="80" t="str">
        <f t="shared" si="42"/>
        <v/>
      </c>
      <c r="BB459" s="84">
        <f t="shared" si="43"/>
        <v>0</v>
      </c>
      <c r="BC459" s="85" t="str">
        <f t="shared" si="44"/>
        <v/>
      </c>
      <c r="BD459" s="86" t="str">
        <f t="shared" si="45"/>
        <v/>
      </c>
      <c r="BE459" s="84">
        <f t="shared" si="46"/>
        <v>0</v>
      </c>
      <c r="BF459" s="87" t="str">
        <f t="shared" si="47"/>
        <v/>
      </c>
      <c r="BG459" s="88" t="str">
        <f t="shared" si="48"/>
        <v/>
      </c>
      <c r="BH459" s="89" t="str">
        <f t="shared" si="49"/>
        <v/>
      </c>
      <c r="BI459" s="90" t="str">
        <f t="shared" si="50"/>
        <v/>
      </c>
      <c r="BJ459" s="90" t="str">
        <f t="shared" si="51"/>
        <v/>
      </c>
      <c r="BK459" s="91">
        <f t="shared" si="52"/>
        <v>0</v>
      </c>
      <c r="BL459" s="92">
        <f t="shared" si="53"/>
        <v>0</v>
      </c>
      <c r="BM459" s="95"/>
    </row>
    <row r="460" spans="1:65">
      <c r="A460" s="61">
        <f t="shared" si="30"/>
        <v>0</v>
      </c>
      <c r="B460" s="62"/>
      <c r="C460" s="62"/>
      <c r="D460" s="63"/>
      <c r="E460" s="64"/>
      <c r="F460" s="64"/>
      <c r="G460" s="65"/>
      <c r="H460" s="66" t="str">
        <f t="shared" si="31"/>
        <v/>
      </c>
      <c r="I460" s="67" t="str">
        <f t="shared" si="32"/>
        <v/>
      </c>
      <c r="J460" s="68" t="str">
        <f t="shared" si="33"/>
        <v/>
      </c>
      <c r="K460" s="69" t="str">
        <f t="shared" si="34"/>
        <v/>
      </c>
      <c r="L460" s="70" t="str">
        <f t="shared" si="35"/>
        <v/>
      </c>
      <c r="M460" s="71"/>
      <c r="N460" s="71"/>
      <c r="O460" s="71"/>
      <c r="P460" s="71"/>
      <c r="Q460" s="61"/>
      <c r="R460" s="63"/>
      <c r="S460" s="72"/>
      <c r="T460" s="61"/>
      <c r="U460" s="73"/>
      <c r="V460" s="62"/>
      <c r="W460" s="62"/>
      <c r="X460" s="62"/>
      <c r="Y460" s="93"/>
      <c r="Z460" s="94"/>
      <c r="AA460" s="74"/>
      <c r="AB460" s="75"/>
      <c r="AC460" s="75"/>
      <c r="AD460" s="76"/>
      <c r="AE460" s="77"/>
      <c r="AF460" s="75"/>
      <c r="AG460" s="78"/>
      <c r="AH460" s="79"/>
      <c r="AI460" s="74"/>
      <c r="AJ460" s="75"/>
      <c r="AK460" s="75"/>
      <c r="AL460" s="80">
        <f t="shared" si="36"/>
        <v>0</v>
      </c>
      <c r="AM460" s="74"/>
      <c r="AN460" s="74"/>
      <c r="AO460" s="81" t="str">
        <f t="shared" si="37"/>
        <v/>
      </c>
      <c r="AP460" s="82"/>
      <c r="AQ460" s="75"/>
      <c r="AR460" s="75"/>
      <c r="AS460" s="80">
        <f t="shared" si="38"/>
        <v>0</v>
      </c>
      <c r="AT460" s="74"/>
      <c r="AU460" s="75"/>
      <c r="AV460" s="75"/>
      <c r="AW460" s="75"/>
      <c r="AX460" s="80">
        <f t="shared" si="39"/>
        <v>0</v>
      </c>
      <c r="AY460" s="81" t="str">
        <f t="shared" si="40"/>
        <v/>
      </c>
      <c r="AZ460" s="83" t="str">
        <f t="shared" si="41"/>
        <v/>
      </c>
      <c r="BA460" s="80" t="str">
        <f t="shared" si="42"/>
        <v/>
      </c>
      <c r="BB460" s="84">
        <f t="shared" si="43"/>
        <v>0</v>
      </c>
      <c r="BC460" s="85" t="str">
        <f t="shared" si="44"/>
        <v/>
      </c>
      <c r="BD460" s="86" t="str">
        <f t="shared" si="45"/>
        <v/>
      </c>
      <c r="BE460" s="84">
        <f t="shared" si="46"/>
        <v>0</v>
      </c>
      <c r="BF460" s="87" t="str">
        <f t="shared" si="47"/>
        <v/>
      </c>
      <c r="BG460" s="88" t="str">
        <f t="shared" si="48"/>
        <v/>
      </c>
      <c r="BH460" s="89" t="str">
        <f t="shared" si="49"/>
        <v/>
      </c>
      <c r="BI460" s="90" t="str">
        <f t="shared" si="50"/>
        <v/>
      </c>
      <c r="BJ460" s="90" t="str">
        <f t="shared" si="51"/>
        <v/>
      </c>
      <c r="BK460" s="91">
        <f t="shared" si="52"/>
        <v>0</v>
      </c>
      <c r="BL460" s="92">
        <f t="shared" si="53"/>
        <v>0</v>
      </c>
      <c r="BM460" s="95"/>
    </row>
    <row r="461" spans="1:65">
      <c r="A461" s="61">
        <f t="shared" si="30"/>
        <v>0</v>
      </c>
      <c r="B461" s="62"/>
      <c r="C461" s="62"/>
      <c r="D461" s="63"/>
      <c r="E461" s="64"/>
      <c r="F461" s="64"/>
      <c r="G461" s="65"/>
      <c r="H461" s="66" t="str">
        <f t="shared" si="31"/>
        <v/>
      </c>
      <c r="I461" s="67" t="str">
        <f t="shared" si="32"/>
        <v/>
      </c>
      <c r="J461" s="68" t="str">
        <f t="shared" si="33"/>
        <v/>
      </c>
      <c r="K461" s="69" t="str">
        <f t="shared" si="34"/>
        <v/>
      </c>
      <c r="L461" s="70" t="str">
        <f t="shared" si="35"/>
        <v/>
      </c>
      <c r="M461" s="71"/>
      <c r="N461" s="71"/>
      <c r="O461" s="71"/>
      <c r="P461" s="71"/>
      <c r="Q461" s="61"/>
      <c r="R461" s="63"/>
      <c r="S461" s="72"/>
      <c r="T461" s="61"/>
      <c r="U461" s="73"/>
      <c r="V461" s="62"/>
      <c r="W461" s="62"/>
      <c r="X461" s="62"/>
      <c r="Y461" s="93"/>
      <c r="Z461" s="94"/>
      <c r="AA461" s="74"/>
      <c r="AB461" s="75"/>
      <c r="AC461" s="75"/>
      <c r="AD461" s="76"/>
      <c r="AE461" s="77"/>
      <c r="AF461" s="75"/>
      <c r="AG461" s="78"/>
      <c r="AH461" s="79"/>
      <c r="AI461" s="74"/>
      <c r="AJ461" s="75"/>
      <c r="AK461" s="75"/>
      <c r="AL461" s="80">
        <f t="shared" si="36"/>
        <v>0</v>
      </c>
      <c r="AM461" s="74"/>
      <c r="AN461" s="74"/>
      <c r="AO461" s="81" t="str">
        <f t="shared" si="37"/>
        <v/>
      </c>
      <c r="AP461" s="82"/>
      <c r="AQ461" s="75"/>
      <c r="AR461" s="75"/>
      <c r="AS461" s="80">
        <f t="shared" si="38"/>
        <v>0</v>
      </c>
      <c r="AT461" s="74"/>
      <c r="AU461" s="75"/>
      <c r="AV461" s="75"/>
      <c r="AW461" s="75"/>
      <c r="AX461" s="80">
        <f t="shared" si="39"/>
        <v>0</v>
      </c>
      <c r="AY461" s="81" t="str">
        <f t="shared" si="40"/>
        <v/>
      </c>
      <c r="AZ461" s="83" t="str">
        <f t="shared" si="41"/>
        <v/>
      </c>
      <c r="BA461" s="80" t="str">
        <f t="shared" si="42"/>
        <v/>
      </c>
      <c r="BB461" s="84">
        <f t="shared" si="43"/>
        <v>0</v>
      </c>
      <c r="BC461" s="85" t="str">
        <f t="shared" si="44"/>
        <v/>
      </c>
      <c r="BD461" s="86" t="str">
        <f t="shared" si="45"/>
        <v/>
      </c>
      <c r="BE461" s="84">
        <f t="shared" si="46"/>
        <v>0</v>
      </c>
      <c r="BF461" s="87" t="str">
        <f t="shared" si="47"/>
        <v/>
      </c>
      <c r="BG461" s="88" t="str">
        <f t="shared" si="48"/>
        <v/>
      </c>
      <c r="BH461" s="89" t="str">
        <f t="shared" si="49"/>
        <v/>
      </c>
      <c r="BI461" s="90" t="str">
        <f t="shared" si="50"/>
        <v/>
      </c>
      <c r="BJ461" s="90" t="str">
        <f t="shared" si="51"/>
        <v/>
      </c>
      <c r="BK461" s="91">
        <f t="shared" si="52"/>
        <v>0</v>
      </c>
      <c r="BL461" s="92">
        <f t="shared" si="53"/>
        <v>0</v>
      </c>
      <c r="BM461" s="95"/>
    </row>
    <row r="462" spans="1:65">
      <c r="A462" s="61">
        <f t="shared" si="30"/>
        <v>0</v>
      </c>
      <c r="B462" s="62"/>
      <c r="C462" s="62"/>
      <c r="D462" s="63"/>
      <c r="E462" s="64"/>
      <c r="F462" s="64"/>
      <c r="G462" s="65"/>
      <c r="H462" s="66" t="str">
        <f t="shared" si="31"/>
        <v/>
      </c>
      <c r="I462" s="67" t="str">
        <f t="shared" si="32"/>
        <v/>
      </c>
      <c r="J462" s="68" t="str">
        <f t="shared" si="33"/>
        <v/>
      </c>
      <c r="K462" s="69" t="str">
        <f t="shared" si="34"/>
        <v/>
      </c>
      <c r="L462" s="70" t="str">
        <f t="shared" si="35"/>
        <v/>
      </c>
      <c r="M462" s="71"/>
      <c r="N462" s="71"/>
      <c r="O462" s="71"/>
      <c r="P462" s="71"/>
      <c r="Q462" s="61"/>
      <c r="R462" s="63"/>
      <c r="S462" s="72"/>
      <c r="T462" s="61"/>
      <c r="U462" s="73"/>
      <c r="V462" s="62"/>
      <c r="W462" s="62"/>
      <c r="X462" s="62"/>
      <c r="Y462" s="93"/>
      <c r="Z462" s="94"/>
      <c r="AA462" s="74"/>
      <c r="AB462" s="75"/>
      <c r="AC462" s="75"/>
      <c r="AD462" s="76"/>
      <c r="AE462" s="77"/>
      <c r="AF462" s="75"/>
      <c r="AG462" s="78"/>
      <c r="AH462" s="79"/>
      <c r="AI462" s="74"/>
      <c r="AJ462" s="75"/>
      <c r="AK462" s="75"/>
      <c r="AL462" s="80">
        <f t="shared" si="36"/>
        <v>0</v>
      </c>
      <c r="AM462" s="74"/>
      <c r="AN462" s="74"/>
      <c r="AO462" s="81" t="str">
        <f t="shared" si="37"/>
        <v/>
      </c>
      <c r="AP462" s="82"/>
      <c r="AQ462" s="75"/>
      <c r="AR462" s="75"/>
      <c r="AS462" s="80">
        <f t="shared" si="38"/>
        <v>0</v>
      </c>
      <c r="AT462" s="74"/>
      <c r="AU462" s="75"/>
      <c r="AV462" s="75"/>
      <c r="AW462" s="75"/>
      <c r="AX462" s="80">
        <f t="shared" si="39"/>
        <v>0</v>
      </c>
      <c r="AY462" s="81" t="str">
        <f t="shared" si="40"/>
        <v/>
      </c>
      <c r="AZ462" s="83" t="str">
        <f t="shared" si="41"/>
        <v/>
      </c>
      <c r="BA462" s="80" t="str">
        <f t="shared" si="42"/>
        <v/>
      </c>
      <c r="BB462" s="84">
        <f t="shared" si="43"/>
        <v>0</v>
      </c>
      <c r="BC462" s="85" t="str">
        <f t="shared" si="44"/>
        <v/>
      </c>
      <c r="BD462" s="86" t="str">
        <f t="shared" si="45"/>
        <v/>
      </c>
      <c r="BE462" s="84">
        <f t="shared" si="46"/>
        <v>0</v>
      </c>
      <c r="BF462" s="87" t="str">
        <f t="shared" si="47"/>
        <v/>
      </c>
      <c r="BG462" s="88" t="str">
        <f t="shared" si="48"/>
        <v/>
      </c>
      <c r="BH462" s="89" t="str">
        <f t="shared" si="49"/>
        <v/>
      </c>
      <c r="BI462" s="90" t="str">
        <f t="shared" si="50"/>
        <v/>
      </c>
      <c r="BJ462" s="90" t="str">
        <f t="shared" si="51"/>
        <v/>
      </c>
      <c r="BK462" s="91">
        <f t="shared" si="52"/>
        <v>0</v>
      </c>
      <c r="BL462" s="92">
        <f t="shared" si="53"/>
        <v>0</v>
      </c>
      <c r="BM462" s="95"/>
    </row>
    <row r="463" spans="1:65">
      <c r="A463" s="61">
        <f t="shared" si="30"/>
        <v>0</v>
      </c>
      <c r="B463" s="62"/>
      <c r="C463" s="62"/>
      <c r="D463" s="63"/>
      <c r="E463" s="64"/>
      <c r="F463" s="64"/>
      <c r="G463" s="65"/>
      <c r="H463" s="66" t="str">
        <f t="shared" si="31"/>
        <v/>
      </c>
      <c r="I463" s="67" t="str">
        <f t="shared" si="32"/>
        <v/>
      </c>
      <c r="J463" s="68" t="str">
        <f t="shared" si="33"/>
        <v/>
      </c>
      <c r="K463" s="69" t="str">
        <f t="shared" si="34"/>
        <v/>
      </c>
      <c r="L463" s="70" t="str">
        <f t="shared" si="35"/>
        <v/>
      </c>
      <c r="M463" s="71"/>
      <c r="N463" s="71"/>
      <c r="O463" s="71"/>
      <c r="P463" s="71"/>
      <c r="Q463" s="61"/>
      <c r="R463" s="63"/>
      <c r="S463" s="72"/>
      <c r="T463" s="61"/>
      <c r="U463" s="73"/>
      <c r="V463" s="62"/>
      <c r="W463" s="62"/>
      <c r="X463" s="62"/>
      <c r="Y463" s="93"/>
      <c r="Z463" s="94"/>
      <c r="AA463" s="74"/>
      <c r="AB463" s="75"/>
      <c r="AC463" s="75"/>
      <c r="AD463" s="76"/>
      <c r="AE463" s="77"/>
      <c r="AF463" s="75"/>
      <c r="AG463" s="78"/>
      <c r="AH463" s="79"/>
      <c r="AI463" s="74"/>
      <c r="AJ463" s="75"/>
      <c r="AK463" s="75"/>
      <c r="AL463" s="80">
        <f t="shared" si="36"/>
        <v>0</v>
      </c>
      <c r="AM463" s="74"/>
      <c r="AN463" s="74"/>
      <c r="AO463" s="81" t="str">
        <f t="shared" si="37"/>
        <v/>
      </c>
      <c r="AP463" s="82"/>
      <c r="AQ463" s="75"/>
      <c r="AR463" s="75"/>
      <c r="AS463" s="80">
        <f t="shared" si="38"/>
        <v>0</v>
      </c>
      <c r="AT463" s="74"/>
      <c r="AU463" s="75"/>
      <c r="AV463" s="75"/>
      <c r="AW463" s="75"/>
      <c r="AX463" s="80">
        <f t="shared" si="39"/>
        <v>0</v>
      </c>
      <c r="AY463" s="81" t="str">
        <f t="shared" si="40"/>
        <v/>
      </c>
      <c r="AZ463" s="83" t="str">
        <f t="shared" si="41"/>
        <v/>
      </c>
      <c r="BA463" s="80" t="str">
        <f t="shared" si="42"/>
        <v/>
      </c>
      <c r="BB463" s="84">
        <f t="shared" si="43"/>
        <v>0</v>
      </c>
      <c r="BC463" s="85" t="str">
        <f t="shared" si="44"/>
        <v/>
      </c>
      <c r="BD463" s="86" t="str">
        <f t="shared" si="45"/>
        <v/>
      </c>
      <c r="BE463" s="84">
        <f t="shared" si="46"/>
        <v>0</v>
      </c>
      <c r="BF463" s="87" t="str">
        <f t="shared" si="47"/>
        <v/>
      </c>
      <c r="BG463" s="88" t="str">
        <f t="shared" si="48"/>
        <v/>
      </c>
      <c r="BH463" s="89" t="str">
        <f t="shared" si="49"/>
        <v/>
      </c>
      <c r="BI463" s="90" t="str">
        <f t="shared" si="50"/>
        <v/>
      </c>
      <c r="BJ463" s="90" t="str">
        <f t="shared" si="51"/>
        <v/>
      </c>
      <c r="BK463" s="91">
        <f t="shared" si="52"/>
        <v>0</v>
      </c>
      <c r="BL463" s="92">
        <f t="shared" si="53"/>
        <v>0</v>
      </c>
      <c r="BM463" s="95"/>
    </row>
    <row r="464" spans="1:65">
      <c r="A464" s="61">
        <f t="shared" si="30"/>
        <v>0</v>
      </c>
      <c r="B464" s="62"/>
      <c r="C464" s="62"/>
      <c r="D464" s="63"/>
      <c r="E464" s="64"/>
      <c r="F464" s="64"/>
      <c r="G464" s="65"/>
      <c r="H464" s="66" t="str">
        <f t="shared" si="31"/>
        <v/>
      </c>
      <c r="I464" s="67" t="str">
        <f t="shared" si="32"/>
        <v/>
      </c>
      <c r="J464" s="68" t="str">
        <f t="shared" si="33"/>
        <v/>
      </c>
      <c r="K464" s="69" t="str">
        <f t="shared" si="34"/>
        <v/>
      </c>
      <c r="L464" s="70" t="str">
        <f t="shared" si="35"/>
        <v/>
      </c>
      <c r="M464" s="71"/>
      <c r="N464" s="71"/>
      <c r="O464" s="71"/>
      <c r="P464" s="71"/>
      <c r="Q464" s="61"/>
      <c r="R464" s="63"/>
      <c r="S464" s="72"/>
      <c r="T464" s="61"/>
      <c r="U464" s="73"/>
      <c r="V464" s="62"/>
      <c r="W464" s="62"/>
      <c r="X464" s="62"/>
      <c r="Y464" s="93"/>
      <c r="Z464" s="94"/>
      <c r="AA464" s="74"/>
      <c r="AB464" s="75"/>
      <c r="AC464" s="75"/>
      <c r="AD464" s="76"/>
      <c r="AE464" s="77"/>
      <c r="AF464" s="75"/>
      <c r="AG464" s="78"/>
      <c r="AH464" s="79"/>
      <c r="AI464" s="74"/>
      <c r="AJ464" s="75"/>
      <c r="AK464" s="75"/>
      <c r="AL464" s="80">
        <f t="shared" si="36"/>
        <v>0</v>
      </c>
      <c r="AM464" s="74"/>
      <c r="AN464" s="74"/>
      <c r="AO464" s="81" t="str">
        <f t="shared" si="37"/>
        <v/>
      </c>
      <c r="AP464" s="82"/>
      <c r="AQ464" s="75"/>
      <c r="AR464" s="75"/>
      <c r="AS464" s="80">
        <f t="shared" si="38"/>
        <v>0</v>
      </c>
      <c r="AT464" s="74"/>
      <c r="AU464" s="75"/>
      <c r="AV464" s="75"/>
      <c r="AW464" s="75"/>
      <c r="AX464" s="80">
        <f t="shared" si="39"/>
        <v>0</v>
      </c>
      <c r="AY464" s="81" t="str">
        <f t="shared" si="40"/>
        <v/>
      </c>
      <c r="AZ464" s="83" t="str">
        <f t="shared" si="41"/>
        <v/>
      </c>
      <c r="BA464" s="80" t="str">
        <f t="shared" si="42"/>
        <v/>
      </c>
      <c r="BB464" s="84">
        <f t="shared" si="43"/>
        <v>0</v>
      </c>
      <c r="BC464" s="85" t="str">
        <f t="shared" si="44"/>
        <v/>
      </c>
      <c r="BD464" s="86" t="str">
        <f t="shared" si="45"/>
        <v/>
      </c>
      <c r="BE464" s="84">
        <f t="shared" si="46"/>
        <v>0</v>
      </c>
      <c r="BF464" s="87" t="str">
        <f t="shared" si="47"/>
        <v/>
      </c>
      <c r="BG464" s="88" t="str">
        <f t="shared" si="48"/>
        <v/>
      </c>
      <c r="BH464" s="89" t="str">
        <f t="shared" si="49"/>
        <v/>
      </c>
      <c r="BI464" s="90" t="str">
        <f t="shared" si="50"/>
        <v/>
      </c>
      <c r="BJ464" s="90" t="str">
        <f t="shared" si="51"/>
        <v/>
      </c>
      <c r="BK464" s="91">
        <f t="shared" si="52"/>
        <v>0</v>
      </c>
      <c r="BL464" s="92">
        <f t="shared" si="53"/>
        <v>0</v>
      </c>
      <c r="BM464" s="95"/>
    </row>
    <row r="465" spans="1:65">
      <c r="A465" s="61">
        <f t="shared" si="30"/>
        <v>0</v>
      </c>
      <c r="B465" s="62"/>
      <c r="C465" s="62"/>
      <c r="D465" s="63"/>
      <c r="E465" s="64"/>
      <c r="F465" s="64"/>
      <c r="G465" s="65"/>
      <c r="H465" s="66" t="str">
        <f t="shared" si="31"/>
        <v/>
      </c>
      <c r="I465" s="67" t="str">
        <f t="shared" si="32"/>
        <v/>
      </c>
      <c r="J465" s="68" t="str">
        <f t="shared" si="33"/>
        <v/>
      </c>
      <c r="K465" s="69" t="str">
        <f t="shared" si="34"/>
        <v/>
      </c>
      <c r="L465" s="70" t="str">
        <f t="shared" si="35"/>
        <v/>
      </c>
      <c r="M465" s="71"/>
      <c r="N465" s="71"/>
      <c r="O465" s="71"/>
      <c r="P465" s="71"/>
      <c r="Q465" s="61"/>
      <c r="R465" s="63"/>
      <c r="S465" s="72"/>
      <c r="T465" s="61"/>
      <c r="U465" s="73"/>
      <c r="V465" s="62"/>
      <c r="W465" s="62"/>
      <c r="X465" s="62"/>
      <c r="Y465" s="93"/>
      <c r="Z465" s="94"/>
      <c r="AA465" s="74"/>
      <c r="AB465" s="75"/>
      <c r="AC465" s="75"/>
      <c r="AD465" s="76"/>
      <c r="AE465" s="77"/>
      <c r="AF465" s="75"/>
      <c r="AG465" s="78"/>
      <c r="AH465" s="79"/>
      <c r="AI465" s="74"/>
      <c r="AJ465" s="75"/>
      <c r="AK465" s="75"/>
      <c r="AL465" s="80">
        <f t="shared" si="36"/>
        <v>0</v>
      </c>
      <c r="AM465" s="74"/>
      <c r="AN465" s="74"/>
      <c r="AO465" s="81" t="str">
        <f t="shared" si="37"/>
        <v/>
      </c>
      <c r="AP465" s="82"/>
      <c r="AQ465" s="75"/>
      <c r="AR465" s="75"/>
      <c r="AS465" s="80">
        <f t="shared" si="38"/>
        <v>0</v>
      </c>
      <c r="AT465" s="74"/>
      <c r="AU465" s="75"/>
      <c r="AV465" s="75"/>
      <c r="AW465" s="75"/>
      <c r="AX465" s="80">
        <f t="shared" si="39"/>
        <v>0</v>
      </c>
      <c r="AY465" s="81" t="str">
        <f t="shared" si="40"/>
        <v/>
      </c>
      <c r="AZ465" s="83" t="str">
        <f t="shared" si="41"/>
        <v/>
      </c>
      <c r="BA465" s="80" t="str">
        <f t="shared" si="42"/>
        <v/>
      </c>
      <c r="BB465" s="84">
        <f t="shared" si="43"/>
        <v>0</v>
      </c>
      <c r="BC465" s="85" t="str">
        <f t="shared" si="44"/>
        <v/>
      </c>
      <c r="BD465" s="86" t="str">
        <f t="shared" si="45"/>
        <v/>
      </c>
      <c r="BE465" s="84">
        <f t="shared" si="46"/>
        <v>0</v>
      </c>
      <c r="BF465" s="87" t="str">
        <f t="shared" si="47"/>
        <v/>
      </c>
      <c r="BG465" s="88" t="str">
        <f t="shared" si="48"/>
        <v/>
      </c>
      <c r="BH465" s="89" t="str">
        <f t="shared" si="49"/>
        <v/>
      </c>
      <c r="BI465" s="90" t="str">
        <f t="shared" si="50"/>
        <v/>
      </c>
      <c r="BJ465" s="90" t="str">
        <f t="shared" si="51"/>
        <v/>
      </c>
      <c r="BK465" s="91">
        <f t="shared" si="52"/>
        <v>0</v>
      </c>
      <c r="BL465" s="92">
        <f t="shared" si="53"/>
        <v>0</v>
      </c>
      <c r="BM465" s="95"/>
    </row>
    <row r="466" spans="1:65">
      <c r="A466" s="61">
        <f t="shared" si="30"/>
        <v>0</v>
      </c>
      <c r="B466" s="62"/>
      <c r="C466" s="62"/>
      <c r="D466" s="63"/>
      <c r="E466" s="64"/>
      <c r="F466" s="64"/>
      <c r="G466" s="65"/>
      <c r="H466" s="66" t="str">
        <f t="shared" si="31"/>
        <v/>
      </c>
      <c r="I466" s="67" t="str">
        <f t="shared" si="32"/>
        <v/>
      </c>
      <c r="J466" s="68" t="str">
        <f t="shared" si="33"/>
        <v/>
      </c>
      <c r="K466" s="69" t="str">
        <f t="shared" si="34"/>
        <v/>
      </c>
      <c r="L466" s="70" t="str">
        <f t="shared" si="35"/>
        <v/>
      </c>
      <c r="M466" s="71"/>
      <c r="N466" s="71"/>
      <c r="O466" s="71"/>
      <c r="P466" s="71"/>
      <c r="Q466" s="61"/>
      <c r="R466" s="63"/>
      <c r="S466" s="72"/>
      <c r="T466" s="61"/>
      <c r="U466" s="73"/>
      <c r="V466" s="62"/>
      <c r="W466" s="62"/>
      <c r="X466" s="62"/>
      <c r="Y466" s="93"/>
      <c r="Z466" s="94"/>
      <c r="AA466" s="74"/>
      <c r="AB466" s="75"/>
      <c r="AC466" s="75"/>
      <c r="AD466" s="76"/>
      <c r="AE466" s="77"/>
      <c r="AF466" s="75"/>
      <c r="AG466" s="78"/>
      <c r="AH466" s="79"/>
      <c r="AI466" s="74"/>
      <c r="AJ466" s="75"/>
      <c r="AK466" s="75"/>
      <c r="AL466" s="80">
        <f t="shared" si="36"/>
        <v>0</v>
      </c>
      <c r="AM466" s="74"/>
      <c r="AN466" s="74"/>
      <c r="AO466" s="81" t="str">
        <f t="shared" si="37"/>
        <v/>
      </c>
      <c r="AP466" s="82"/>
      <c r="AQ466" s="75"/>
      <c r="AR466" s="75"/>
      <c r="AS466" s="80">
        <f t="shared" si="38"/>
        <v>0</v>
      </c>
      <c r="AT466" s="74"/>
      <c r="AU466" s="75"/>
      <c r="AV466" s="75"/>
      <c r="AW466" s="75"/>
      <c r="AX466" s="80">
        <f t="shared" si="39"/>
        <v>0</v>
      </c>
      <c r="AY466" s="81" t="str">
        <f t="shared" si="40"/>
        <v/>
      </c>
      <c r="AZ466" s="83" t="str">
        <f t="shared" si="41"/>
        <v/>
      </c>
      <c r="BA466" s="80" t="str">
        <f t="shared" si="42"/>
        <v/>
      </c>
      <c r="BB466" s="84">
        <f t="shared" si="43"/>
        <v>0</v>
      </c>
      <c r="BC466" s="85" t="str">
        <f t="shared" si="44"/>
        <v/>
      </c>
      <c r="BD466" s="86" t="str">
        <f t="shared" si="45"/>
        <v/>
      </c>
      <c r="BE466" s="84">
        <f t="shared" si="46"/>
        <v>0</v>
      </c>
      <c r="BF466" s="87" t="str">
        <f t="shared" si="47"/>
        <v/>
      </c>
      <c r="BG466" s="88" t="str">
        <f t="shared" si="48"/>
        <v/>
      </c>
      <c r="BH466" s="89" t="str">
        <f t="shared" si="49"/>
        <v/>
      </c>
      <c r="BI466" s="90" t="str">
        <f t="shared" si="50"/>
        <v/>
      </c>
      <c r="BJ466" s="90" t="str">
        <f t="shared" si="51"/>
        <v/>
      </c>
      <c r="BK466" s="91">
        <f t="shared" si="52"/>
        <v>0</v>
      </c>
      <c r="BL466" s="92">
        <f t="shared" si="53"/>
        <v>0</v>
      </c>
      <c r="BM466" s="95"/>
    </row>
    <row r="467" spans="1:65">
      <c r="A467" s="61">
        <f t="shared" si="30"/>
        <v>0</v>
      </c>
      <c r="B467" s="62"/>
      <c r="C467" s="62"/>
      <c r="D467" s="63"/>
      <c r="E467" s="64"/>
      <c r="F467" s="64"/>
      <c r="G467" s="65"/>
      <c r="H467" s="66" t="str">
        <f t="shared" si="31"/>
        <v/>
      </c>
      <c r="I467" s="67" t="str">
        <f t="shared" si="32"/>
        <v/>
      </c>
      <c r="J467" s="68" t="str">
        <f t="shared" si="33"/>
        <v/>
      </c>
      <c r="K467" s="69" t="str">
        <f t="shared" si="34"/>
        <v/>
      </c>
      <c r="L467" s="70" t="str">
        <f t="shared" si="35"/>
        <v/>
      </c>
      <c r="M467" s="71"/>
      <c r="N467" s="71"/>
      <c r="O467" s="71"/>
      <c r="P467" s="71"/>
      <c r="Q467" s="61"/>
      <c r="R467" s="63"/>
      <c r="S467" s="72"/>
      <c r="T467" s="61"/>
      <c r="U467" s="73"/>
      <c r="V467" s="62"/>
      <c r="W467" s="62"/>
      <c r="X467" s="62"/>
      <c r="Y467" s="93"/>
      <c r="Z467" s="94"/>
      <c r="AA467" s="74"/>
      <c r="AB467" s="75"/>
      <c r="AC467" s="75"/>
      <c r="AD467" s="76"/>
      <c r="AE467" s="77"/>
      <c r="AF467" s="75"/>
      <c r="AG467" s="78"/>
      <c r="AH467" s="79"/>
      <c r="AI467" s="74"/>
      <c r="AJ467" s="75"/>
      <c r="AK467" s="75"/>
      <c r="AL467" s="80">
        <f t="shared" si="36"/>
        <v>0</v>
      </c>
      <c r="AM467" s="74"/>
      <c r="AN467" s="74"/>
      <c r="AO467" s="81" t="str">
        <f t="shared" si="37"/>
        <v/>
      </c>
      <c r="AP467" s="82"/>
      <c r="AQ467" s="75"/>
      <c r="AR467" s="75"/>
      <c r="AS467" s="80">
        <f t="shared" si="38"/>
        <v>0</v>
      </c>
      <c r="AT467" s="74"/>
      <c r="AU467" s="75"/>
      <c r="AV467" s="75"/>
      <c r="AW467" s="75"/>
      <c r="AX467" s="80">
        <f t="shared" si="39"/>
        <v>0</v>
      </c>
      <c r="AY467" s="81" t="str">
        <f t="shared" si="40"/>
        <v/>
      </c>
      <c r="AZ467" s="83" t="str">
        <f t="shared" si="41"/>
        <v/>
      </c>
      <c r="BA467" s="80" t="str">
        <f t="shared" si="42"/>
        <v/>
      </c>
      <c r="BB467" s="84">
        <f t="shared" si="43"/>
        <v>0</v>
      </c>
      <c r="BC467" s="85" t="str">
        <f t="shared" si="44"/>
        <v/>
      </c>
      <c r="BD467" s="86" t="str">
        <f t="shared" si="45"/>
        <v/>
      </c>
      <c r="BE467" s="84">
        <f t="shared" si="46"/>
        <v>0</v>
      </c>
      <c r="BF467" s="87" t="str">
        <f t="shared" si="47"/>
        <v/>
      </c>
      <c r="BG467" s="88" t="str">
        <f t="shared" si="48"/>
        <v/>
      </c>
      <c r="BH467" s="89" t="str">
        <f t="shared" si="49"/>
        <v/>
      </c>
      <c r="BI467" s="90" t="str">
        <f t="shared" si="50"/>
        <v/>
      </c>
      <c r="BJ467" s="90" t="str">
        <f t="shared" si="51"/>
        <v/>
      </c>
      <c r="BK467" s="91">
        <f t="shared" si="52"/>
        <v>0</v>
      </c>
      <c r="BL467" s="92">
        <f t="shared" si="53"/>
        <v>0</v>
      </c>
      <c r="BM467" s="95"/>
    </row>
    <row r="468" spans="1:65">
      <c r="A468" s="61">
        <f t="shared" si="30"/>
        <v>0</v>
      </c>
      <c r="B468" s="62"/>
      <c r="C468" s="62"/>
      <c r="D468" s="63"/>
      <c r="E468" s="64"/>
      <c r="F468" s="64"/>
      <c r="G468" s="65"/>
      <c r="H468" s="66" t="str">
        <f t="shared" si="31"/>
        <v/>
      </c>
      <c r="I468" s="67" t="str">
        <f t="shared" si="32"/>
        <v/>
      </c>
      <c r="J468" s="68" t="str">
        <f t="shared" si="33"/>
        <v/>
      </c>
      <c r="K468" s="69" t="str">
        <f t="shared" si="34"/>
        <v/>
      </c>
      <c r="L468" s="70" t="str">
        <f t="shared" si="35"/>
        <v/>
      </c>
      <c r="M468" s="71"/>
      <c r="N468" s="71"/>
      <c r="O468" s="71"/>
      <c r="P468" s="71"/>
      <c r="Q468" s="61"/>
      <c r="R468" s="63"/>
      <c r="S468" s="72"/>
      <c r="T468" s="61"/>
      <c r="U468" s="73"/>
      <c r="V468" s="62"/>
      <c r="W468" s="62"/>
      <c r="X468" s="62"/>
      <c r="Y468" s="93"/>
      <c r="Z468" s="94"/>
      <c r="AA468" s="74"/>
      <c r="AB468" s="75"/>
      <c r="AC468" s="75"/>
      <c r="AD468" s="76"/>
      <c r="AE468" s="77"/>
      <c r="AF468" s="75"/>
      <c r="AG468" s="78"/>
      <c r="AH468" s="79"/>
      <c r="AI468" s="74"/>
      <c r="AJ468" s="75"/>
      <c r="AK468" s="75"/>
      <c r="AL468" s="80">
        <f t="shared" si="36"/>
        <v>0</v>
      </c>
      <c r="AM468" s="74"/>
      <c r="AN468" s="74"/>
      <c r="AO468" s="81" t="str">
        <f t="shared" si="37"/>
        <v/>
      </c>
      <c r="AP468" s="82"/>
      <c r="AQ468" s="75"/>
      <c r="AR468" s="75"/>
      <c r="AS468" s="80">
        <f t="shared" si="38"/>
        <v>0</v>
      </c>
      <c r="AT468" s="74"/>
      <c r="AU468" s="75"/>
      <c r="AV468" s="75"/>
      <c r="AW468" s="75"/>
      <c r="AX468" s="80">
        <f t="shared" si="39"/>
        <v>0</v>
      </c>
      <c r="AY468" s="81" t="str">
        <f t="shared" si="40"/>
        <v/>
      </c>
      <c r="AZ468" s="83" t="str">
        <f t="shared" si="41"/>
        <v/>
      </c>
      <c r="BA468" s="80" t="str">
        <f t="shared" si="42"/>
        <v/>
      </c>
      <c r="BB468" s="84">
        <f t="shared" si="43"/>
        <v>0</v>
      </c>
      <c r="BC468" s="85" t="str">
        <f t="shared" si="44"/>
        <v/>
      </c>
      <c r="BD468" s="86" t="str">
        <f t="shared" si="45"/>
        <v/>
      </c>
      <c r="BE468" s="84">
        <f t="shared" si="46"/>
        <v>0</v>
      </c>
      <c r="BF468" s="87" t="str">
        <f t="shared" si="47"/>
        <v/>
      </c>
      <c r="BG468" s="88" t="str">
        <f t="shared" si="48"/>
        <v/>
      </c>
      <c r="BH468" s="89" t="str">
        <f t="shared" si="49"/>
        <v/>
      </c>
      <c r="BI468" s="90" t="str">
        <f t="shared" si="50"/>
        <v/>
      </c>
      <c r="BJ468" s="90" t="str">
        <f t="shared" si="51"/>
        <v/>
      </c>
      <c r="BK468" s="91">
        <f t="shared" si="52"/>
        <v>0</v>
      </c>
      <c r="BL468" s="92">
        <f t="shared" si="53"/>
        <v>0</v>
      </c>
      <c r="BM468" s="95"/>
    </row>
    <row r="469" spans="1:65">
      <c r="A469" s="61">
        <f t="shared" si="30"/>
        <v>0</v>
      </c>
      <c r="B469" s="62"/>
      <c r="C469" s="62"/>
      <c r="D469" s="63"/>
      <c r="E469" s="64"/>
      <c r="F469" s="64"/>
      <c r="G469" s="65"/>
      <c r="H469" s="66" t="str">
        <f t="shared" si="31"/>
        <v/>
      </c>
      <c r="I469" s="67" t="str">
        <f t="shared" si="32"/>
        <v/>
      </c>
      <c r="J469" s="68" t="str">
        <f t="shared" si="33"/>
        <v/>
      </c>
      <c r="K469" s="69" t="str">
        <f t="shared" si="34"/>
        <v/>
      </c>
      <c r="L469" s="70" t="str">
        <f t="shared" si="35"/>
        <v/>
      </c>
      <c r="M469" s="71"/>
      <c r="N469" s="71"/>
      <c r="O469" s="71"/>
      <c r="P469" s="71"/>
      <c r="Q469" s="61"/>
      <c r="R469" s="63"/>
      <c r="S469" s="72"/>
      <c r="T469" s="61"/>
      <c r="U469" s="73"/>
      <c r="V469" s="62"/>
      <c r="W469" s="62"/>
      <c r="X469" s="62"/>
      <c r="Y469" s="93"/>
      <c r="Z469" s="94"/>
      <c r="AA469" s="74"/>
      <c r="AB469" s="75"/>
      <c r="AC469" s="75"/>
      <c r="AD469" s="76"/>
      <c r="AE469" s="77"/>
      <c r="AF469" s="75"/>
      <c r="AG469" s="78"/>
      <c r="AH469" s="79"/>
      <c r="AI469" s="74"/>
      <c r="AJ469" s="75"/>
      <c r="AK469" s="75"/>
      <c r="AL469" s="80">
        <f t="shared" si="36"/>
        <v>0</v>
      </c>
      <c r="AM469" s="74"/>
      <c r="AN469" s="74"/>
      <c r="AO469" s="81" t="str">
        <f t="shared" si="37"/>
        <v/>
      </c>
      <c r="AP469" s="82"/>
      <c r="AQ469" s="75"/>
      <c r="AR469" s="75"/>
      <c r="AS469" s="80">
        <f t="shared" si="38"/>
        <v>0</v>
      </c>
      <c r="AT469" s="74"/>
      <c r="AU469" s="75"/>
      <c r="AV469" s="75"/>
      <c r="AW469" s="75"/>
      <c r="AX469" s="80">
        <f t="shared" si="39"/>
        <v>0</v>
      </c>
      <c r="AY469" s="81" t="str">
        <f t="shared" si="40"/>
        <v/>
      </c>
      <c r="AZ469" s="83" t="str">
        <f t="shared" si="41"/>
        <v/>
      </c>
      <c r="BA469" s="80" t="str">
        <f t="shared" si="42"/>
        <v/>
      </c>
      <c r="BB469" s="84">
        <f t="shared" si="43"/>
        <v>0</v>
      </c>
      <c r="BC469" s="85" t="str">
        <f t="shared" si="44"/>
        <v/>
      </c>
      <c r="BD469" s="86" t="str">
        <f t="shared" si="45"/>
        <v/>
      </c>
      <c r="BE469" s="84">
        <f t="shared" si="46"/>
        <v>0</v>
      </c>
      <c r="BF469" s="87" t="str">
        <f t="shared" si="47"/>
        <v/>
      </c>
      <c r="BG469" s="88" t="str">
        <f t="shared" si="48"/>
        <v/>
      </c>
      <c r="BH469" s="89" t="str">
        <f t="shared" si="49"/>
        <v/>
      </c>
      <c r="BI469" s="90" t="str">
        <f t="shared" si="50"/>
        <v/>
      </c>
      <c r="BJ469" s="90" t="str">
        <f t="shared" si="51"/>
        <v/>
      </c>
      <c r="BK469" s="91">
        <f t="shared" si="52"/>
        <v>0</v>
      </c>
      <c r="BL469" s="92">
        <f t="shared" si="53"/>
        <v>0</v>
      </c>
      <c r="BM469" s="95"/>
    </row>
    <row r="470" spans="1:65">
      <c r="A470" s="61">
        <f t="shared" si="30"/>
        <v>0</v>
      </c>
      <c r="B470" s="62"/>
      <c r="C470" s="62"/>
      <c r="D470" s="63"/>
      <c r="E470" s="64"/>
      <c r="F470" s="64"/>
      <c r="G470" s="65"/>
      <c r="H470" s="66" t="str">
        <f t="shared" si="31"/>
        <v/>
      </c>
      <c r="I470" s="67" t="str">
        <f t="shared" si="32"/>
        <v/>
      </c>
      <c r="J470" s="68" t="str">
        <f t="shared" si="33"/>
        <v/>
      </c>
      <c r="K470" s="69" t="str">
        <f t="shared" si="34"/>
        <v/>
      </c>
      <c r="L470" s="70" t="str">
        <f t="shared" si="35"/>
        <v/>
      </c>
      <c r="M470" s="71"/>
      <c r="N470" s="71"/>
      <c r="O470" s="71"/>
      <c r="P470" s="71"/>
      <c r="Q470" s="61"/>
      <c r="R470" s="63"/>
      <c r="S470" s="72"/>
      <c r="T470" s="61"/>
      <c r="U470" s="73"/>
      <c r="V470" s="62"/>
      <c r="W470" s="62"/>
      <c r="X470" s="62"/>
      <c r="Y470" s="93"/>
      <c r="Z470" s="94"/>
      <c r="AA470" s="74"/>
      <c r="AB470" s="75"/>
      <c r="AC470" s="75"/>
      <c r="AD470" s="76"/>
      <c r="AE470" s="77"/>
      <c r="AF470" s="75"/>
      <c r="AG470" s="78"/>
      <c r="AH470" s="79"/>
      <c r="AI470" s="74"/>
      <c r="AJ470" s="75"/>
      <c r="AK470" s="75"/>
      <c r="AL470" s="80">
        <f t="shared" si="36"/>
        <v>0</v>
      </c>
      <c r="AM470" s="74"/>
      <c r="AN470" s="74"/>
      <c r="AO470" s="81" t="str">
        <f t="shared" si="37"/>
        <v/>
      </c>
      <c r="AP470" s="82"/>
      <c r="AQ470" s="75"/>
      <c r="AR470" s="75"/>
      <c r="AS470" s="80">
        <f t="shared" si="38"/>
        <v>0</v>
      </c>
      <c r="AT470" s="74"/>
      <c r="AU470" s="75"/>
      <c r="AV470" s="75"/>
      <c r="AW470" s="75"/>
      <c r="AX470" s="80">
        <f t="shared" si="39"/>
        <v>0</v>
      </c>
      <c r="AY470" s="81" t="str">
        <f t="shared" si="40"/>
        <v/>
      </c>
      <c r="AZ470" s="83" t="str">
        <f t="shared" si="41"/>
        <v/>
      </c>
      <c r="BA470" s="80" t="str">
        <f t="shared" si="42"/>
        <v/>
      </c>
      <c r="BB470" s="84">
        <f t="shared" si="43"/>
        <v>0</v>
      </c>
      <c r="BC470" s="85" t="str">
        <f t="shared" si="44"/>
        <v/>
      </c>
      <c r="BD470" s="86" t="str">
        <f t="shared" si="45"/>
        <v/>
      </c>
      <c r="BE470" s="84">
        <f t="shared" si="46"/>
        <v>0</v>
      </c>
      <c r="BF470" s="87" t="str">
        <f t="shared" si="47"/>
        <v/>
      </c>
      <c r="BG470" s="88" t="str">
        <f t="shared" si="48"/>
        <v/>
      </c>
      <c r="BH470" s="89" t="str">
        <f t="shared" si="49"/>
        <v/>
      </c>
      <c r="BI470" s="90" t="str">
        <f t="shared" si="50"/>
        <v/>
      </c>
      <c r="BJ470" s="90" t="str">
        <f t="shared" si="51"/>
        <v/>
      </c>
      <c r="BK470" s="91">
        <f t="shared" si="52"/>
        <v>0</v>
      </c>
      <c r="BL470" s="92">
        <f t="shared" si="53"/>
        <v>0</v>
      </c>
      <c r="BM470" s="95"/>
    </row>
    <row r="471" spans="1:65">
      <c r="A471" s="61">
        <f t="shared" si="30"/>
        <v>0</v>
      </c>
      <c r="B471" s="62"/>
      <c r="C471" s="62"/>
      <c r="D471" s="63"/>
      <c r="E471" s="64"/>
      <c r="F471" s="64"/>
      <c r="G471" s="65"/>
      <c r="H471" s="66" t="str">
        <f t="shared" si="31"/>
        <v/>
      </c>
      <c r="I471" s="67" t="str">
        <f t="shared" si="32"/>
        <v/>
      </c>
      <c r="J471" s="68" t="str">
        <f t="shared" si="33"/>
        <v/>
      </c>
      <c r="K471" s="69" t="str">
        <f t="shared" si="34"/>
        <v/>
      </c>
      <c r="L471" s="70" t="str">
        <f t="shared" si="35"/>
        <v/>
      </c>
      <c r="M471" s="71"/>
      <c r="N471" s="71"/>
      <c r="O471" s="71"/>
      <c r="P471" s="71"/>
      <c r="Q471" s="61"/>
      <c r="R471" s="63"/>
      <c r="S471" s="72"/>
      <c r="T471" s="61"/>
      <c r="U471" s="73"/>
      <c r="V471" s="62"/>
      <c r="W471" s="62"/>
      <c r="X471" s="62"/>
      <c r="Y471" s="93"/>
      <c r="Z471" s="94"/>
      <c r="AA471" s="74"/>
      <c r="AB471" s="75"/>
      <c r="AC471" s="75"/>
      <c r="AD471" s="76"/>
      <c r="AE471" s="77"/>
      <c r="AF471" s="75"/>
      <c r="AG471" s="78"/>
      <c r="AH471" s="79"/>
      <c r="AI471" s="74"/>
      <c r="AJ471" s="75"/>
      <c r="AK471" s="75"/>
      <c r="AL471" s="80">
        <f t="shared" si="36"/>
        <v>0</v>
      </c>
      <c r="AM471" s="74"/>
      <c r="AN471" s="74"/>
      <c r="AO471" s="81" t="str">
        <f t="shared" si="37"/>
        <v/>
      </c>
      <c r="AP471" s="82"/>
      <c r="AQ471" s="75"/>
      <c r="AR471" s="75"/>
      <c r="AS471" s="80">
        <f t="shared" si="38"/>
        <v>0</v>
      </c>
      <c r="AT471" s="74"/>
      <c r="AU471" s="75"/>
      <c r="AV471" s="75"/>
      <c r="AW471" s="75"/>
      <c r="AX471" s="80">
        <f t="shared" si="39"/>
        <v>0</v>
      </c>
      <c r="AY471" s="81" t="str">
        <f t="shared" si="40"/>
        <v/>
      </c>
      <c r="AZ471" s="83" t="str">
        <f t="shared" si="41"/>
        <v/>
      </c>
      <c r="BA471" s="80" t="str">
        <f t="shared" si="42"/>
        <v/>
      </c>
      <c r="BB471" s="84">
        <f t="shared" si="43"/>
        <v>0</v>
      </c>
      <c r="BC471" s="85" t="str">
        <f t="shared" si="44"/>
        <v/>
      </c>
      <c r="BD471" s="86" t="str">
        <f t="shared" si="45"/>
        <v/>
      </c>
      <c r="BE471" s="84">
        <f t="shared" si="46"/>
        <v>0</v>
      </c>
      <c r="BF471" s="87" t="str">
        <f t="shared" si="47"/>
        <v/>
      </c>
      <c r="BG471" s="88" t="str">
        <f t="shared" si="48"/>
        <v/>
      </c>
      <c r="BH471" s="89" t="str">
        <f t="shared" si="49"/>
        <v/>
      </c>
      <c r="BI471" s="90" t="str">
        <f t="shared" si="50"/>
        <v/>
      </c>
      <c r="BJ471" s="90" t="str">
        <f t="shared" si="51"/>
        <v/>
      </c>
      <c r="BK471" s="91">
        <f t="shared" si="52"/>
        <v>0</v>
      </c>
      <c r="BL471" s="92">
        <f t="shared" si="53"/>
        <v>0</v>
      </c>
      <c r="BM471" s="95"/>
    </row>
    <row r="472" spans="1:65">
      <c r="A472" s="61">
        <f t="shared" si="30"/>
        <v>0</v>
      </c>
      <c r="B472" s="62"/>
      <c r="C472" s="62"/>
      <c r="D472" s="63"/>
      <c r="E472" s="64"/>
      <c r="F472" s="64"/>
      <c r="G472" s="65"/>
      <c r="H472" s="66" t="str">
        <f t="shared" si="31"/>
        <v/>
      </c>
      <c r="I472" s="67" t="str">
        <f t="shared" si="32"/>
        <v/>
      </c>
      <c r="J472" s="68" t="str">
        <f t="shared" si="33"/>
        <v/>
      </c>
      <c r="K472" s="69" t="str">
        <f t="shared" si="34"/>
        <v/>
      </c>
      <c r="L472" s="70" t="str">
        <f t="shared" si="35"/>
        <v/>
      </c>
      <c r="M472" s="71"/>
      <c r="N472" s="71"/>
      <c r="O472" s="71"/>
      <c r="P472" s="71"/>
      <c r="Q472" s="61"/>
      <c r="R472" s="63"/>
      <c r="S472" s="72"/>
      <c r="T472" s="61"/>
      <c r="U472" s="73"/>
      <c r="V472" s="62"/>
      <c r="W472" s="62"/>
      <c r="X472" s="62"/>
      <c r="Y472" s="93"/>
      <c r="Z472" s="94"/>
      <c r="AA472" s="74"/>
      <c r="AB472" s="75"/>
      <c r="AC472" s="75"/>
      <c r="AD472" s="76"/>
      <c r="AE472" s="77"/>
      <c r="AF472" s="75"/>
      <c r="AG472" s="78"/>
      <c r="AH472" s="79"/>
      <c r="AI472" s="74"/>
      <c r="AJ472" s="75"/>
      <c r="AK472" s="75"/>
      <c r="AL472" s="80">
        <f t="shared" si="36"/>
        <v>0</v>
      </c>
      <c r="AM472" s="74"/>
      <c r="AN472" s="74"/>
      <c r="AO472" s="81" t="str">
        <f t="shared" si="37"/>
        <v/>
      </c>
      <c r="AP472" s="82"/>
      <c r="AQ472" s="75"/>
      <c r="AR472" s="75"/>
      <c r="AS472" s="80">
        <f t="shared" si="38"/>
        <v>0</v>
      </c>
      <c r="AT472" s="74"/>
      <c r="AU472" s="75"/>
      <c r="AV472" s="75"/>
      <c r="AW472" s="75"/>
      <c r="AX472" s="80">
        <f t="shared" si="39"/>
        <v>0</v>
      </c>
      <c r="AY472" s="81" t="str">
        <f t="shared" si="40"/>
        <v/>
      </c>
      <c r="AZ472" s="83" t="str">
        <f t="shared" si="41"/>
        <v/>
      </c>
      <c r="BA472" s="80" t="str">
        <f t="shared" si="42"/>
        <v/>
      </c>
      <c r="BB472" s="84">
        <f t="shared" si="43"/>
        <v>0</v>
      </c>
      <c r="BC472" s="85" t="str">
        <f t="shared" si="44"/>
        <v/>
      </c>
      <c r="BD472" s="86" t="str">
        <f t="shared" si="45"/>
        <v/>
      </c>
      <c r="BE472" s="84">
        <f t="shared" si="46"/>
        <v>0</v>
      </c>
      <c r="BF472" s="87" t="str">
        <f t="shared" si="47"/>
        <v/>
      </c>
      <c r="BG472" s="88" t="str">
        <f t="shared" si="48"/>
        <v/>
      </c>
      <c r="BH472" s="89" t="str">
        <f t="shared" si="49"/>
        <v/>
      </c>
      <c r="BI472" s="90" t="str">
        <f t="shared" si="50"/>
        <v/>
      </c>
      <c r="BJ472" s="90" t="str">
        <f t="shared" si="51"/>
        <v/>
      </c>
      <c r="BK472" s="91">
        <f t="shared" si="52"/>
        <v>0</v>
      </c>
      <c r="BL472" s="92">
        <f t="shared" si="53"/>
        <v>0</v>
      </c>
      <c r="BM472" s="95"/>
    </row>
    <row r="473" spans="1:65">
      <c r="A473" s="61">
        <f t="shared" si="30"/>
        <v>0</v>
      </c>
      <c r="B473" s="62"/>
      <c r="C473" s="62"/>
      <c r="D473" s="63"/>
      <c r="E473" s="64"/>
      <c r="F473" s="64"/>
      <c r="G473" s="65"/>
      <c r="H473" s="66" t="str">
        <f t="shared" si="31"/>
        <v/>
      </c>
      <c r="I473" s="67" t="str">
        <f t="shared" si="32"/>
        <v/>
      </c>
      <c r="J473" s="68" t="str">
        <f t="shared" si="33"/>
        <v/>
      </c>
      <c r="K473" s="69" t="str">
        <f t="shared" si="34"/>
        <v/>
      </c>
      <c r="L473" s="70" t="str">
        <f t="shared" si="35"/>
        <v/>
      </c>
      <c r="M473" s="71"/>
      <c r="N473" s="71"/>
      <c r="O473" s="71"/>
      <c r="P473" s="71"/>
      <c r="Q473" s="61"/>
      <c r="R473" s="63"/>
      <c r="S473" s="72"/>
      <c r="T473" s="61"/>
      <c r="U473" s="73"/>
      <c r="V473" s="62"/>
      <c r="W473" s="62"/>
      <c r="X473" s="62"/>
      <c r="Y473" s="93"/>
      <c r="Z473" s="94"/>
      <c r="AA473" s="74"/>
      <c r="AB473" s="75"/>
      <c r="AC473" s="75"/>
      <c r="AD473" s="76"/>
      <c r="AE473" s="77"/>
      <c r="AF473" s="75"/>
      <c r="AG473" s="78"/>
      <c r="AH473" s="79"/>
      <c r="AI473" s="74"/>
      <c r="AJ473" s="75"/>
      <c r="AK473" s="75"/>
      <c r="AL473" s="80">
        <f t="shared" si="36"/>
        <v>0</v>
      </c>
      <c r="AM473" s="74"/>
      <c r="AN473" s="74"/>
      <c r="AO473" s="81" t="str">
        <f t="shared" si="37"/>
        <v/>
      </c>
      <c r="AP473" s="82"/>
      <c r="AQ473" s="75"/>
      <c r="AR473" s="75"/>
      <c r="AS473" s="80">
        <f t="shared" si="38"/>
        <v>0</v>
      </c>
      <c r="AT473" s="74"/>
      <c r="AU473" s="75"/>
      <c r="AV473" s="75"/>
      <c r="AW473" s="75"/>
      <c r="AX473" s="80">
        <f t="shared" si="39"/>
        <v>0</v>
      </c>
      <c r="AY473" s="81" t="str">
        <f t="shared" si="40"/>
        <v/>
      </c>
      <c r="AZ473" s="83" t="str">
        <f t="shared" si="41"/>
        <v/>
      </c>
      <c r="BA473" s="80" t="str">
        <f t="shared" si="42"/>
        <v/>
      </c>
      <c r="BB473" s="84">
        <f t="shared" si="43"/>
        <v>0</v>
      </c>
      <c r="BC473" s="85" t="str">
        <f t="shared" si="44"/>
        <v/>
      </c>
      <c r="BD473" s="86" t="str">
        <f t="shared" si="45"/>
        <v/>
      </c>
      <c r="BE473" s="84">
        <f t="shared" si="46"/>
        <v>0</v>
      </c>
      <c r="BF473" s="87" t="str">
        <f t="shared" si="47"/>
        <v/>
      </c>
      <c r="BG473" s="88" t="str">
        <f t="shared" si="48"/>
        <v/>
      </c>
      <c r="BH473" s="89" t="str">
        <f t="shared" si="49"/>
        <v/>
      </c>
      <c r="BI473" s="90" t="str">
        <f t="shared" si="50"/>
        <v/>
      </c>
      <c r="BJ473" s="90" t="str">
        <f t="shared" si="51"/>
        <v/>
      </c>
      <c r="BK473" s="91">
        <f t="shared" si="52"/>
        <v>0</v>
      </c>
      <c r="BL473" s="92">
        <f t="shared" si="53"/>
        <v>0</v>
      </c>
      <c r="BM473" s="95"/>
    </row>
    <row r="474" spans="1:65">
      <c r="A474" s="61">
        <f t="shared" si="30"/>
        <v>0</v>
      </c>
      <c r="B474" s="62"/>
      <c r="C474" s="62"/>
      <c r="D474" s="63"/>
      <c r="E474" s="64"/>
      <c r="F474" s="64"/>
      <c r="G474" s="65"/>
      <c r="H474" s="66" t="str">
        <f t="shared" si="31"/>
        <v/>
      </c>
      <c r="I474" s="67" t="str">
        <f t="shared" si="32"/>
        <v/>
      </c>
      <c r="J474" s="68" t="str">
        <f t="shared" si="33"/>
        <v/>
      </c>
      <c r="K474" s="69" t="str">
        <f t="shared" si="34"/>
        <v/>
      </c>
      <c r="L474" s="70" t="str">
        <f t="shared" si="35"/>
        <v/>
      </c>
      <c r="M474" s="71"/>
      <c r="N474" s="71"/>
      <c r="O474" s="71"/>
      <c r="P474" s="71"/>
      <c r="Q474" s="61"/>
      <c r="R474" s="63"/>
      <c r="S474" s="72"/>
      <c r="T474" s="61"/>
      <c r="U474" s="73"/>
      <c r="V474" s="62"/>
      <c r="W474" s="62"/>
      <c r="X474" s="62"/>
      <c r="Y474" s="93"/>
      <c r="Z474" s="94"/>
      <c r="AA474" s="74"/>
      <c r="AB474" s="75"/>
      <c r="AC474" s="75"/>
      <c r="AD474" s="76"/>
      <c r="AE474" s="77"/>
      <c r="AF474" s="75"/>
      <c r="AG474" s="78"/>
      <c r="AH474" s="79"/>
      <c r="AI474" s="74"/>
      <c r="AJ474" s="75"/>
      <c r="AK474" s="75"/>
      <c r="AL474" s="80">
        <f t="shared" si="36"/>
        <v>0</v>
      </c>
      <c r="AM474" s="74"/>
      <c r="AN474" s="74"/>
      <c r="AO474" s="81" t="str">
        <f t="shared" si="37"/>
        <v/>
      </c>
      <c r="AP474" s="82"/>
      <c r="AQ474" s="75"/>
      <c r="AR474" s="75"/>
      <c r="AS474" s="80">
        <f t="shared" si="38"/>
        <v>0</v>
      </c>
      <c r="AT474" s="74"/>
      <c r="AU474" s="75"/>
      <c r="AV474" s="75"/>
      <c r="AW474" s="75"/>
      <c r="AX474" s="80">
        <f t="shared" si="39"/>
        <v>0</v>
      </c>
      <c r="AY474" s="81" t="str">
        <f t="shared" si="40"/>
        <v/>
      </c>
      <c r="AZ474" s="83" t="str">
        <f t="shared" si="41"/>
        <v/>
      </c>
      <c r="BA474" s="80" t="str">
        <f t="shared" si="42"/>
        <v/>
      </c>
      <c r="BB474" s="84">
        <f t="shared" si="43"/>
        <v>0</v>
      </c>
      <c r="BC474" s="85" t="str">
        <f t="shared" si="44"/>
        <v/>
      </c>
      <c r="BD474" s="86" t="str">
        <f t="shared" si="45"/>
        <v/>
      </c>
      <c r="BE474" s="84">
        <f t="shared" si="46"/>
        <v>0</v>
      </c>
      <c r="BF474" s="87" t="str">
        <f t="shared" si="47"/>
        <v/>
      </c>
      <c r="BG474" s="88" t="str">
        <f t="shared" si="48"/>
        <v/>
      </c>
      <c r="BH474" s="89" t="str">
        <f t="shared" si="49"/>
        <v/>
      </c>
      <c r="BI474" s="90" t="str">
        <f t="shared" si="50"/>
        <v/>
      </c>
      <c r="BJ474" s="90" t="str">
        <f t="shared" si="51"/>
        <v/>
      </c>
      <c r="BK474" s="91">
        <f t="shared" si="52"/>
        <v>0</v>
      </c>
      <c r="BL474" s="92">
        <f t="shared" si="53"/>
        <v>0</v>
      </c>
      <c r="BM474" s="95"/>
    </row>
    <row r="475" spans="1:65">
      <c r="A475" s="61">
        <f t="shared" si="30"/>
        <v>0</v>
      </c>
      <c r="B475" s="62"/>
      <c r="C475" s="62"/>
      <c r="D475" s="63"/>
      <c r="E475" s="64"/>
      <c r="F475" s="64"/>
      <c r="G475" s="65"/>
      <c r="H475" s="66" t="str">
        <f t="shared" si="31"/>
        <v/>
      </c>
      <c r="I475" s="67" t="str">
        <f t="shared" si="32"/>
        <v/>
      </c>
      <c r="J475" s="68" t="str">
        <f t="shared" si="33"/>
        <v/>
      </c>
      <c r="K475" s="69" t="str">
        <f t="shared" si="34"/>
        <v/>
      </c>
      <c r="L475" s="70" t="str">
        <f t="shared" si="35"/>
        <v/>
      </c>
      <c r="M475" s="71"/>
      <c r="N475" s="71"/>
      <c r="O475" s="71"/>
      <c r="P475" s="71"/>
      <c r="Q475" s="61"/>
      <c r="R475" s="63"/>
      <c r="S475" s="72"/>
      <c r="T475" s="61"/>
      <c r="U475" s="73"/>
      <c r="V475" s="62"/>
      <c r="W475" s="62"/>
      <c r="X475" s="62"/>
      <c r="Y475" s="93"/>
      <c r="Z475" s="94"/>
      <c r="AA475" s="74"/>
      <c r="AB475" s="75"/>
      <c r="AC475" s="75"/>
      <c r="AD475" s="76"/>
      <c r="AE475" s="77"/>
      <c r="AF475" s="75"/>
      <c r="AG475" s="78"/>
      <c r="AH475" s="79"/>
      <c r="AI475" s="74"/>
      <c r="AJ475" s="75"/>
      <c r="AK475" s="75"/>
      <c r="AL475" s="80">
        <f t="shared" si="36"/>
        <v>0</v>
      </c>
      <c r="AM475" s="74"/>
      <c r="AN475" s="74"/>
      <c r="AO475" s="81" t="str">
        <f t="shared" si="37"/>
        <v/>
      </c>
      <c r="AP475" s="82"/>
      <c r="AQ475" s="75"/>
      <c r="AR475" s="75"/>
      <c r="AS475" s="80">
        <f t="shared" si="38"/>
        <v>0</v>
      </c>
      <c r="AT475" s="74"/>
      <c r="AU475" s="75"/>
      <c r="AV475" s="75"/>
      <c r="AW475" s="75"/>
      <c r="AX475" s="80">
        <f t="shared" si="39"/>
        <v>0</v>
      </c>
      <c r="AY475" s="81" t="str">
        <f t="shared" si="40"/>
        <v/>
      </c>
      <c r="AZ475" s="83" t="str">
        <f t="shared" si="41"/>
        <v/>
      </c>
      <c r="BA475" s="80" t="str">
        <f t="shared" si="42"/>
        <v/>
      </c>
      <c r="BB475" s="84">
        <f t="shared" si="43"/>
        <v>0</v>
      </c>
      <c r="BC475" s="85" t="str">
        <f t="shared" si="44"/>
        <v/>
      </c>
      <c r="BD475" s="86" t="str">
        <f t="shared" si="45"/>
        <v/>
      </c>
      <c r="BE475" s="84">
        <f t="shared" si="46"/>
        <v>0</v>
      </c>
      <c r="BF475" s="87" t="str">
        <f t="shared" si="47"/>
        <v/>
      </c>
      <c r="BG475" s="88" t="str">
        <f t="shared" si="48"/>
        <v/>
      </c>
      <c r="BH475" s="89" t="str">
        <f t="shared" si="49"/>
        <v/>
      </c>
      <c r="BI475" s="90" t="str">
        <f t="shared" si="50"/>
        <v/>
      </c>
      <c r="BJ475" s="90" t="str">
        <f t="shared" si="51"/>
        <v/>
      </c>
      <c r="BK475" s="91">
        <f t="shared" si="52"/>
        <v>0</v>
      </c>
      <c r="BL475" s="92">
        <f t="shared" si="53"/>
        <v>0</v>
      </c>
      <c r="BM475" s="95"/>
    </row>
    <row r="476" spans="1:65">
      <c r="A476" s="61">
        <f t="shared" si="30"/>
        <v>0</v>
      </c>
      <c r="B476" s="62"/>
      <c r="C476" s="62"/>
      <c r="D476" s="63"/>
      <c r="E476" s="64"/>
      <c r="F476" s="64"/>
      <c r="G476" s="65"/>
      <c r="H476" s="66" t="str">
        <f t="shared" si="31"/>
        <v/>
      </c>
      <c r="I476" s="67" t="str">
        <f t="shared" si="32"/>
        <v/>
      </c>
      <c r="J476" s="68" t="str">
        <f t="shared" si="33"/>
        <v/>
      </c>
      <c r="K476" s="69" t="str">
        <f t="shared" si="34"/>
        <v/>
      </c>
      <c r="L476" s="70" t="str">
        <f t="shared" si="35"/>
        <v/>
      </c>
      <c r="M476" s="71"/>
      <c r="N476" s="71"/>
      <c r="O476" s="71"/>
      <c r="P476" s="71"/>
      <c r="Q476" s="61"/>
      <c r="R476" s="63"/>
      <c r="S476" s="72"/>
      <c r="T476" s="61"/>
      <c r="U476" s="73"/>
      <c r="V476" s="62"/>
      <c r="W476" s="62"/>
      <c r="X476" s="62"/>
      <c r="Y476" s="93"/>
      <c r="Z476" s="94"/>
      <c r="AA476" s="74"/>
      <c r="AB476" s="75"/>
      <c r="AC476" s="75"/>
      <c r="AD476" s="76"/>
      <c r="AE476" s="77"/>
      <c r="AF476" s="75"/>
      <c r="AG476" s="78"/>
      <c r="AH476" s="79"/>
      <c r="AI476" s="74"/>
      <c r="AJ476" s="75"/>
      <c r="AK476" s="75"/>
      <c r="AL476" s="80">
        <f t="shared" si="36"/>
        <v>0</v>
      </c>
      <c r="AM476" s="74"/>
      <c r="AN476" s="74"/>
      <c r="AO476" s="81" t="str">
        <f t="shared" si="37"/>
        <v/>
      </c>
      <c r="AP476" s="82"/>
      <c r="AQ476" s="75"/>
      <c r="AR476" s="75"/>
      <c r="AS476" s="80">
        <f t="shared" si="38"/>
        <v>0</v>
      </c>
      <c r="AT476" s="74"/>
      <c r="AU476" s="75"/>
      <c r="AV476" s="75"/>
      <c r="AW476" s="75"/>
      <c r="AX476" s="80">
        <f t="shared" si="39"/>
        <v>0</v>
      </c>
      <c r="AY476" s="81" t="str">
        <f t="shared" si="40"/>
        <v/>
      </c>
      <c r="AZ476" s="83" t="str">
        <f t="shared" si="41"/>
        <v/>
      </c>
      <c r="BA476" s="80" t="str">
        <f t="shared" si="42"/>
        <v/>
      </c>
      <c r="BB476" s="84">
        <f t="shared" si="43"/>
        <v>0</v>
      </c>
      <c r="BC476" s="85" t="str">
        <f t="shared" si="44"/>
        <v/>
      </c>
      <c r="BD476" s="86" t="str">
        <f t="shared" si="45"/>
        <v/>
      </c>
      <c r="BE476" s="84">
        <f t="shared" si="46"/>
        <v>0</v>
      </c>
      <c r="BF476" s="87" t="str">
        <f t="shared" si="47"/>
        <v/>
      </c>
      <c r="BG476" s="88" t="str">
        <f t="shared" si="48"/>
        <v/>
      </c>
      <c r="BH476" s="89" t="str">
        <f t="shared" si="49"/>
        <v/>
      </c>
      <c r="BI476" s="90" t="str">
        <f t="shared" si="50"/>
        <v/>
      </c>
      <c r="BJ476" s="90" t="str">
        <f t="shared" si="51"/>
        <v/>
      </c>
      <c r="BK476" s="91">
        <f t="shared" si="52"/>
        <v>0</v>
      </c>
      <c r="BL476" s="92">
        <f t="shared" si="53"/>
        <v>0</v>
      </c>
      <c r="BM476" s="95"/>
    </row>
    <row r="477" spans="1:65">
      <c r="A477" s="61">
        <f t="shared" si="30"/>
        <v>0</v>
      </c>
      <c r="B477" s="62"/>
      <c r="C477" s="62"/>
      <c r="D477" s="63"/>
      <c r="E477" s="64"/>
      <c r="F477" s="64"/>
      <c r="G477" s="65"/>
      <c r="H477" s="66" t="str">
        <f t="shared" si="31"/>
        <v/>
      </c>
      <c r="I477" s="67" t="str">
        <f t="shared" si="32"/>
        <v/>
      </c>
      <c r="J477" s="68" t="str">
        <f t="shared" si="33"/>
        <v/>
      </c>
      <c r="K477" s="69" t="str">
        <f t="shared" si="34"/>
        <v/>
      </c>
      <c r="L477" s="70" t="str">
        <f t="shared" si="35"/>
        <v/>
      </c>
      <c r="M477" s="71"/>
      <c r="N477" s="71"/>
      <c r="O477" s="71"/>
      <c r="P477" s="71"/>
      <c r="Q477" s="61"/>
      <c r="R477" s="63"/>
      <c r="S477" s="72"/>
      <c r="T477" s="61"/>
      <c r="U477" s="73"/>
      <c r="V477" s="62"/>
      <c r="W477" s="62"/>
      <c r="X477" s="62"/>
      <c r="Y477" s="93"/>
      <c r="Z477" s="94"/>
      <c r="AA477" s="74"/>
      <c r="AB477" s="75"/>
      <c r="AC477" s="75"/>
      <c r="AD477" s="76"/>
      <c r="AE477" s="77"/>
      <c r="AF477" s="75"/>
      <c r="AG477" s="78"/>
      <c r="AH477" s="79"/>
      <c r="AI477" s="74"/>
      <c r="AJ477" s="75"/>
      <c r="AK477" s="75"/>
      <c r="AL477" s="80">
        <f t="shared" si="36"/>
        <v>0</v>
      </c>
      <c r="AM477" s="74"/>
      <c r="AN477" s="74"/>
      <c r="AO477" s="81" t="str">
        <f t="shared" si="37"/>
        <v/>
      </c>
      <c r="AP477" s="82"/>
      <c r="AQ477" s="75"/>
      <c r="AR477" s="75"/>
      <c r="AS477" s="80">
        <f t="shared" si="38"/>
        <v>0</v>
      </c>
      <c r="AT477" s="74"/>
      <c r="AU477" s="75"/>
      <c r="AV477" s="75"/>
      <c r="AW477" s="75"/>
      <c r="AX477" s="80">
        <f t="shared" si="39"/>
        <v>0</v>
      </c>
      <c r="AY477" s="81" t="str">
        <f t="shared" si="40"/>
        <v/>
      </c>
      <c r="AZ477" s="83" t="str">
        <f t="shared" si="41"/>
        <v/>
      </c>
      <c r="BA477" s="80" t="str">
        <f t="shared" si="42"/>
        <v/>
      </c>
      <c r="BB477" s="84">
        <f t="shared" si="43"/>
        <v>0</v>
      </c>
      <c r="BC477" s="85" t="str">
        <f t="shared" si="44"/>
        <v/>
      </c>
      <c r="BD477" s="86" t="str">
        <f t="shared" si="45"/>
        <v/>
      </c>
      <c r="BE477" s="84">
        <f t="shared" si="46"/>
        <v>0</v>
      </c>
      <c r="BF477" s="87" t="str">
        <f t="shared" si="47"/>
        <v/>
      </c>
      <c r="BG477" s="88" t="str">
        <f t="shared" si="48"/>
        <v/>
      </c>
      <c r="BH477" s="89" t="str">
        <f t="shared" si="49"/>
        <v/>
      </c>
      <c r="BI477" s="90" t="str">
        <f t="shared" si="50"/>
        <v/>
      </c>
      <c r="BJ477" s="90" t="str">
        <f t="shared" si="51"/>
        <v/>
      </c>
      <c r="BK477" s="91">
        <f t="shared" si="52"/>
        <v>0</v>
      </c>
      <c r="BL477" s="92">
        <f t="shared" si="53"/>
        <v>0</v>
      </c>
      <c r="BM477" s="95"/>
    </row>
    <row r="478" spans="1:65">
      <c r="A478" s="61">
        <f t="shared" si="30"/>
        <v>0</v>
      </c>
      <c r="B478" s="62"/>
      <c r="C478" s="62"/>
      <c r="D478" s="63"/>
      <c r="E478" s="64"/>
      <c r="F478" s="64"/>
      <c r="G478" s="65"/>
      <c r="H478" s="66" t="str">
        <f t="shared" si="31"/>
        <v/>
      </c>
      <c r="I478" s="67" t="str">
        <f t="shared" si="32"/>
        <v/>
      </c>
      <c r="J478" s="68" t="str">
        <f t="shared" si="33"/>
        <v/>
      </c>
      <c r="K478" s="69" t="str">
        <f t="shared" si="34"/>
        <v/>
      </c>
      <c r="L478" s="70" t="str">
        <f t="shared" si="35"/>
        <v/>
      </c>
      <c r="M478" s="71"/>
      <c r="N478" s="71"/>
      <c r="O478" s="71"/>
      <c r="P478" s="71"/>
      <c r="Q478" s="61"/>
      <c r="R478" s="63"/>
      <c r="S478" s="72"/>
      <c r="T478" s="61"/>
      <c r="U478" s="73"/>
      <c r="V478" s="62"/>
      <c r="W478" s="62"/>
      <c r="X478" s="62"/>
      <c r="Y478" s="93"/>
      <c r="Z478" s="94"/>
      <c r="AA478" s="74"/>
      <c r="AB478" s="75"/>
      <c r="AC478" s="75"/>
      <c r="AD478" s="76"/>
      <c r="AE478" s="77"/>
      <c r="AF478" s="75"/>
      <c r="AG478" s="78"/>
      <c r="AH478" s="79"/>
      <c r="AI478" s="74"/>
      <c r="AJ478" s="75"/>
      <c r="AK478" s="75"/>
      <c r="AL478" s="80">
        <f t="shared" si="36"/>
        <v>0</v>
      </c>
      <c r="AM478" s="74"/>
      <c r="AN478" s="74"/>
      <c r="AO478" s="81" t="str">
        <f t="shared" si="37"/>
        <v/>
      </c>
      <c r="AP478" s="82"/>
      <c r="AQ478" s="75"/>
      <c r="AR478" s="75"/>
      <c r="AS478" s="80">
        <f t="shared" si="38"/>
        <v>0</v>
      </c>
      <c r="AT478" s="74"/>
      <c r="AU478" s="75"/>
      <c r="AV478" s="75"/>
      <c r="AW478" s="75"/>
      <c r="AX478" s="80">
        <f t="shared" si="39"/>
        <v>0</v>
      </c>
      <c r="AY478" s="81" t="str">
        <f t="shared" si="40"/>
        <v/>
      </c>
      <c r="AZ478" s="83" t="str">
        <f t="shared" si="41"/>
        <v/>
      </c>
      <c r="BA478" s="80" t="str">
        <f t="shared" si="42"/>
        <v/>
      </c>
      <c r="BB478" s="84">
        <f t="shared" si="43"/>
        <v>0</v>
      </c>
      <c r="BC478" s="85" t="str">
        <f t="shared" si="44"/>
        <v/>
      </c>
      <c r="BD478" s="86" t="str">
        <f t="shared" si="45"/>
        <v/>
      </c>
      <c r="BE478" s="84">
        <f t="shared" si="46"/>
        <v>0</v>
      </c>
      <c r="BF478" s="87" t="str">
        <f t="shared" si="47"/>
        <v/>
      </c>
      <c r="BG478" s="88" t="str">
        <f t="shared" si="48"/>
        <v/>
      </c>
      <c r="BH478" s="89" t="str">
        <f t="shared" si="49"/>
        <v/>
      </c>
      <c r="BI478" s="90" t="str">
        <f t="shared" si="50"/>
        <v/>
      </c>
      <c r="BJ478" s="90" t="str">
        <f t="shared" si="51"/>
        <v/>
      </c>
      <c r="BK478" s="91">
        <f t="shared" si="52"/>
        <v>0</v>
      </c>
      <c r="BL478" s="92">
        <f t="shared" si="53"/>
        <v>0</v>
      </c>
      <c r="BM478" s="95"/>
    </row>
    <row r="479" spans="1:65">
      <c r="A479" s="61">
        <f t="shared" si="30"/>
        <v>0</v>
      </c>
      <c r="B479" s="62"/>
      <c r="C479" s="62"/>
      <c r="D479" s="63"/>
      <c r="E479" s="64"/>
      <c r="F479" s="64"/>
      <c r="G479" s="65"/>
      <c r="H479" s="66" t="str">
        <f t="shared" si="31"/>
        <v/>
      </c>
      <c r="I479" s="67" t="str">
        <f t="shared" si="32"/>
        <v/>
      </c>
      <c r="J479" s="68" t="str">
        <f t="shared" si="33"/>
        <v/>
      </c>
      <c r="K479" s="69" t="str">
        <f t="shared" si="34"/>
        <v/>
      </c>
      <c r="L479" s="70" t="str">
        <f t="shared" si="35"/>
        <v/>
      </c>
      <c r="M479" s="71"/>
      <c r="N479" s="71"/>
      <c r="O479" s="71"/>
      <c r="P479" s="71"/>
      <c r="Q479" s="61"/>
      <c r="R479" s="63"/>
      <c r="S479" s="72"/>
      <c r="T479" s="61"/>
      <c r="U479" s="73"/>
      <c r="V479" s="62"/>
      <c r="W479" s="62"/>
      <c r="X479" s="62"/>
      <c r="Y479" s="93"/>
      <c r="Z479" s="94"/>
      <c r="AA479" s="74"/>
      <c r="AB479" s="75"/>
      <c r="AC479" s="75"/>
      <c r="AD479" s="76"/>
      <c r="AE479" s="77"/>
      <c r="AF479" s="75"/>
      <c r="AG479" s="78"/>
      <c r="AH479" s="79"/>
      <c r="AI479" s="74"/>
      <c r="AJ479" s="75"/>
      <c r="AK479" s="75"/>
      <c r="AL479" s="80">
        <f t="shared" si="36"/>
        <v>0</v>
      </c>
      <c r="AM479" s="74"/>
      <c r="AN479" s="74"/>
      <c r="AO479" s="81" t="str">
        <f t="shared" si="37"/>
        <v/>
      </c>
      <c r="AP479" s="82"/>
      <c r="AQ479" s="75"/>
      <c r="AR479" s="75"/>
      <c r="AS479" s="80">
        <f t="shared" si="38"/>
        <v>0</v>
      </c>
      <c r="AT479" s="74"/>
      <c r="AU479" s="75"/>
      <c r="AV479" s="75"/>
      <c r="AW479" s="75"/>
      <c r="AX479" s="80">
        <f t="shared" si="39"/>
        <v>0</v>
      </c>
      <c r="AY479" s="81" t="str">
        <f t="shared" si="40"/>
        <v/>
      </c>
      <c r="AZ479" s="83" t="str">
        <f t="shared" si="41"/>
        <v/>
      </c>
      <c r="BA479" s="80" t="str">
        <f t="shared" si="42"/>
        <v/>
      </c>
      <c r="BB479" s="84">
        <f t="shared" si="43"/>
        <v>0</v>
      </c>
      <c r="BC479" s="85" t="str">
        <f t="shared" si="44"/>
        <v/>
      </c>
      <c r="BD479" s="86" t="str">
        <f t="shared" si="45"/>
        <v/>
      </c>
      <c r="BE479" s="84">
        <f t="shared" si="46"/>
        <v>0</v>
      </c>
      <c r="BF479" s="87" t="str">
        <f t="shared" si="47"/>
        <v/>
      </c>
      <c r="BG479" s="88" t="str">
        <f t="shared" si="48"/>
        <v/>
      </c>
      <c r="BH479" s="89" t="str">
        <f t="shared" si="49"/>
        <v/>
      </c>
      <c r="BI479" s="90" t="str">
        <f t="shared" si="50"/>
        <v/>
      </c>
      <c r="BJ479" s="90" t="str">
        <f t="shared" si="51"/>
        <v/>
      </c>
      <c r="BK479" s="91">
        <f t="shared" si="52"/>
        <v>0</v>
      </c>
      <c r="BL479" s="92">
        <f t="shared" si="53"/>
        <v>0</v>
      </c>
      <c r="BM479" s="95"/>
    </row>
    <row r="480" spans="1:65">
      <c r="A480" s="61">
        <f t="shared" si="30"/>
        <v>0</v>
      </c>
      <c r="B480" s="62"/>
      <c r="C480" s="62"/>
      <c r="D480" s="63"/>
      <c r="E480" s="64"/>
      <c r="F480" s="64"/>
      <c r="G480" s="65"/>
      <c r="H480" s="66" t="str">
        <f t="shared" si="31"/>
        <v/>
      </c>
      <c r="I480" s="67" t="str">
        <f t="shared" si="32"/>
        <v/>
      </c>
      <c r="J480" s="68" t="str">
        <f t="shared" si="33"/>
        <v/>
      </c>
      <c r="K480" s="69" t="str">
        <f t="shared" si="34"/>
        <v/>
      </c>
      <c r="L480" s="70" t="str">
        <f t="shared" si="35"/>
        <v/>
      </c>
      <c r="M480" s="71"/>
      <c r="N480" s="71"/>
      <c r="O480" s="71"/>
      <c r="P480" s="71"/>
      <c r="Q480" s="61"/>
      <c r="R480" s="63"/>
      <c r="S480" s="72"/>
      <c r="T480" s="61"/>
      <c r="U480" s="73"/>
      <c r="V480" s="62"/>
      <c r="W480" s="62"/>
      <c r="X480" s="62"/>
      <c r="Y480" s="93"/>
      <c r="Z480" s="94"/>
      <c r="AA480" s="74"/>
      <c r="AB480" s="75"/>
      <c r="AC480" s="75"/>
      <c r="AD480" s="76"/>
      <c r="AE480" s="77"/>
      <c r="AF480" s="75"/>
      <c r="AG480" s="78"/>
      <c r="AH480" s="79"/>
      <c r="AI480" s="74"/>
      <c r="AJ480" s="75"/>
      <c r="AK480" s="75"/>
      <c r="AL480" s="80">
        <f t="shared" si="36"/>
        <v>0</v>
      </c>
      <c r="AM480" s="74"/>
      <c r="AN480" s="74"/>
      <c r="AO480" s="81" t="str">
        <f t="shared" si="37"/>
        <v/>
      </c>
      <c r="AP480" s="82"/>
      <c r="AQ480" s="75"/>
      <c r="AR480" s="75"/>
      <c r="AS480" s="80">
        <f t="shared" si="38"/>
        <v>0</v>
      </c>
      <c r="AT480" s="74"/>
      <c r="AU480" s="75"/>
      <c r="AV480" s="75"/>
      <c r="AW480" s="75"/>
      <c r="AX480" s="80">
        <f t="shared" si="39"/>
        <v>0</v>
      </c>
      <c r="AY480" s="81" t="str">
        <f t="shared" si="40"/>
        <v/>
      </c>
      <c r="AZ480" s="83" t="str">
        <f t="shared" si="41"/>
        <v/>
      </c>
      <c r="BA480" s="80" t="str">
        <f t="shared" si="42"/>
        <v/>
      </c>
      <c r="BB480" s="84">
        <f t="shared" si="43"/>
        <v>0</v>
      </c>
      <c r="BC480" s="85" t="str">
        <f t="shared" si="44"/>
        <v/>
      </c>
      <c r="BD480" s="86" t="str">
        <f t="shared" si="45"/>
        <v/>
      </c>
      <c r="BE480" s="84">
        <f t="shared" si="46"/>
        <v>0</v>
      </c>
      <c r="BF480" s="87" t="str">
        <f t="shared" si="47"/>
        <v/>
      </c>
      <c r="BG480" s="88" t="str">
        <f t="shared" si="48"/>
        <v/>
      </c>
      <c r="BH480" s="89" t="str">
        <f t="shared" si="49"/>
        <v/>
      </c>
      <c r="BI480" s="90" t="str">
        <f t="shared" si="50"/>
        <v/>
      </c>
      <c r="BJ480" s="90" t="str">
        <f t="shared" si="51"/>
        <v/>
      </c>
      <c r="BK480" s="91">
        <f t="shared" si="52"/>
        <v>0</v>
      </c>
      <c r="BL480" s="92">
        <f t="shared" si="53"/>
        <v>0</v>
      </c>
      <c r="BM480" s="95"/>
    </row>
    <row r="481" spans="1:65">
      <c r="A481" s="61">
        <f t="shared" si="30"/>
        <v>0</v>
      </c>
      <c r="B481" s="62"/>
      <c r="C481" s="62"/>
      <c r="D481" s="63"/>
      <c r="E481" s="64"/>
      <c r="F481" s="64"/>
      <c r="G481" s="65"/>
      <c r="H481" s="66" t="str">
        <f t="shared" si="31"/>
        <v/>
      </c>
      <c r="I481" s="67" t="str">
        <f t="shared" si="32"/>
        <v/>
      </c>
      <c r="J481" s="68" t="str">
        <f t="shared" si="33"/>
        <v/>
      </c>
      <c r="K481" s="69" t="str">
        <f t="shared" si="34"/>
        <v/>
      </c>
      <c r="L481" s="70" t="str">
        <f t="shared" si="35"/>
        <v/>
      </c>
      <c r="M481" s="71"/>
      <c r="N481" s="71"/>
      <c r="O481" s="71"/>
      <c r="P481" s="71"/>
      <c r="Q481" s="61"/>
      <c r="R481" s="63"/>
      <c r="S481" s="72"/>
      <c r="T481" s="61"/>
      <c r="U481" s="73"/>
      <c r="V481" s="62"/>
      <c r="W481" s="62"/>
      <c r="X481" s="62"/>
      <c r="Y481" s="93"/>
      <c r="Z481" s="94"/>
      <c r="AA481" s="74"/>
      <c r="AB481" s="75"/>
      <c r="AC481" s="75"/>
      <c r="AD481" s="76"/>
      <c r="AE481" s="77"/>
      <c r="AF481" s="75"/>
      <c r="AG481" s="78"/>
      <c r="AH481" s="79"/>
      <c r="AI481" s="74"/>
      <c r="AJ481" s="75"/>
      <c r="AK481" s="75"/>
      <c r="AL481" s="80">
        <f t="shared" si="36"/>
        <v>0</v>
      </c>
      <c r="AM481" s="74"/>
      <c r="AN481" s="74"/>
      <c r="AO481" s="81" t="str">
        <f t="shared" si="37"/>
        <v/>
      </c>
      <c r="AP481" s="82"/>
      <c r="AQ481" s="75"/>
      <c r="AR481" s="75"/>
      <c r="AS481" s="80">
        <f t="shared" si="38"/>
        <v>0</v>
      </c>
      <c r="AT481" s="74"/>
      <c r="AU481" s="75"/>
      <c r="AV481" s="75"/>
      <c r="AW481" s="75"/>
      <c r="AX481" s="80">
        <f t="shared" si="39"/>
        <v>0</v>
      </c>
      <c r="AY481" s="81" t="str">
        <f t="shared" si="40"/>
        <v/>
      </c>
      <c r="AZ481" s="83" t="str">
        <f t="shared" si="41"/>
        <v/>
      </c>
      <c r="BA481" s="80" t="str">
        <f t="shared" si="42"/>
        <v/>
      </c>
      <c r="BB481" s="84">
        <f t="shared" si="43"/>
        <v>0</v>
      </c>
      <c r="BC481" s="85" t="str">
        <f t="shared" si="44"/>
        <v/>
      </c>
      <c r="BD481" s="86" t="str">
        <f t="shared" si="45"/>
        <v/>
      </c>
      <c r="BE481" s="84">
        <f t="shared" si="46"/>
        <v>0</v>
      </c>
      <c r="BF481" s="87" t="str">
        <f t="shared" si="47"/>
        <v/>
      </c>
      <c r="BG481" s="88" t="str">
        <f t="shared" si="48"/>
        <v/>
      </c>
      <c r="BH481" s="89" t="str">
        <f t="shared" si="49"/>
        <v/>
      </c>
      <c r="BI481" s="90" t="str">
        <f t="shared" si="50"/>
        <v/>
      </c>
      <c r="BJ481" s="90" t="str">
        <f t="shared" si="51"/>
        <v/>
      </c>
      <c r="BK481" s="91">
        <f t="shared" si="52"/>
        <v>0</v>
      </c>
      <c r="BL481" s="92">
        <f t="shared" si="53"/>
        <v>0</v>
      </c>
      <c r="BM481" s="95"/>
    </row>
    <row r="482" spans="1:65">
      <c r="A482" s="61">
        <f t="shared" ref="A482:A545" si="54">B482</f>
        <v>0</v>
      </c>
      <c r="B482" s="62"/>
      <c r="C482" s="62"/>
      <c r="D482" s="63"/>
      <c r="E482" s="64"/>
      <c r="F482" s="64"/>
      <c r="G482" s="65"/>
      <c r="H482" s="66" t="str">
        <f t="shared" si="31"/>
        <v/>
      </c>
      <c r="I482" s="67" t="str">
        <f t="shared" si="32"/>
        <v/>
      </c>
      <c r="J482" s="68" t="str">
        <f t="shared" si="33"/>
        <v/>
      </c>
      <c r="K482" s="69" t="str">
        <f t="shared" si="34"/>
        <v/>
      </c>
      <c r="L482" s="70" t="str">
        <f t="shared" si="35"/>
        <v/>
      </c>
      <c r="M482" s="71"/>
      <c r="N482" s="71"/>
      <c r="O482" s="71"/>
      <c r="P482" s="71"/>
      <c r="Q482" s="61"/>
      <c r="R482" s="63"/>
      <c r="S482" s="72"/>
      <c r="T482" s="61"/>
      <c r="U482" s="73"/>
      <c r="V482" s="62"/>
      <c r="W482" s="62"/>
      <c r="X482" s="62"/>
      <c r="Y482" s="93"/>
      <c r="Z482" s="94"/>
      <c r="AA482" s="74"/>
      <c r="AB482" s="75"/>
      <c r="AC482" s="75"/>
      <c r="AD482" s="76"/>
      <c r="AE482" s="77"/>
      <c r="AF482" s="75"/>
      <c r="AG482" s="78"/>
      <c r="AH482" s="79"/>
      <c r="AI482" s="74"/>
      <c r="AJ482" s="75"/>
      <c r="AK482" s="75"/>
      <c r="AL482" s="80">
        <f t="shared" si="36"/>
        <v>0</v>
      </c>
      <c r="AM482" s="74"/>
      <c r="AN482" s="74"/>
      <c r="AO482" s="81" t="str">
        <f t="shared" si="37"/>
        <v/>
      </c>
      <c r="AP482" s="82"/>
      <c r="AQ482" s="75"/>
      <c r="AR482" s="75"/>
      <c r="AS482" s="80">
        <f t="shared" si="38"/>
        <v>0</v>
      </c>
      <c r="AT482" s="74"/>
      <c r="AU482" s="75"/>
      <c r="AV482" s="75"/>
      <c r="AW482" s="75"/>
      <c r="AX482" s="80">
        <f t="shared" si="39"/>
        <v>0</v>
      </c>
      <c r="AY482" s="81" t="str">
        <f t="shared" si="40"/>
        <v/>
      </c>
      <c r="AZ482" s="83" t="str">
        <f t="shared" si="41"/>
        <v/>
      </c>
      <c r="BA482" s="80" t="str">
        <f t="shared" si="42"/>
        <v/>
      </c>
      <c r="BB482" s="84">
        <f t="shared" si="43"/>
        <v>0</v>
      </c>
      <c r="BC482" s="85" t="str">
        <f t="shared" si="44"/>
        <v/>
      </c>
      <c r="BD482" s="86" t="str">
        <f t="shared" si="45"/>
        <v/>
      </c>
      <c r="BE482" s="84">
        <f t="shared" si="46"/>
        <v>0</v>
      </c>
      <c r="BF482" s="87" t="str">
        <f t="shared" si="47"/>
        <v/>
      </c>
      <c r="BG482" s="88" t="str">
        <f t="shared" si="48"/>
        <v/>
      </c>
      <c r="BH482" s="89" t="str">
        <f t="shared" si="49"/>
        <v/>
      </c>
      <c r="BI482" s="90" t="str">
        <f t="shared" si="50"/>
        <v/>
      </c>
      <c r="BJ482" s="90" t="str">
        <f t="shared" si="51"/>
        <v/>
      </c>
      <c r="BK482" s="91">
        <f t="shared" si="52"/>
        <v>0</v>
      </c>
      <c r="BL482" s="92">
        <f t="shared" si="53"/>
        <v>0</v>
      </c>
      <c r="BM482" s="95"/>
    </row>
    <row r="483" spans="1:65">
      <c r="A483" s="61">
        <f t="shared" si="54"/>
        <v>0</v>
      </c>
      <c r="B483" s="62"/>
      <c r="C483" s="62"/>
      <c r="D483" s="63"/>
      <c r="E483" s="64"/>
      <c r="F483" s="64"/>
      <c r="G483" s="65"/>
      <c r="H483" s="66" t="str">
        <f t="shared" si="31"/>
        <v/>
      </c>
      <c r="I483" s="67" t="str">
        <f t="shared" si="32"/>
        <v/>
      </c>
      <c r="J483" s="68" t="str">
        <f t="shared" si="33"/>
        <v/>
      </c>
      <c r="K483" s="69" t="str">
        <f t="shared" si="34"/>
        <v/>
      </c>
      <c r="L483" s="70" t="str">
        <f t="shared" si="35"/>
        <v/>
      </c>
      <c r="M483" s="71"/>
      <c r="N483" s="71"/>
      <c r="O483" s="71"/>
      <c r="P483" s="71"/>
      <c r="Q483" s="61"/>
      <c r="R483" s="63"/>
      <c r="S483" s="72"/>
      <c r="T483" s="61"/>
      <c r="U483" s="73"/>
      <c r="V483" s="62"/>
      <c r="W483" s="62"/>
      <c r="X483" s="62"/>
      <c r="Y483" s="93"/>
      <c r="Z483" s="94"/>
      <c r="AA483" s="74"/>
      <c r="AB483" s="75"/>
      <c r="AC483" s="75"/>
      <c r="AD483" s="76"/>
      <c r="AE483" s="77"/>
      <c r="AF483" s="75"/>
      <c r="AG483" s="78"/>
      <c r="AH483" s="79"/>
      <c r="AI483" s="74"/>
      <c r="AJ483" s="75"/>
      <c r="AK483" s="75"/>
      <c r="AL483" s="80">
        <f t="shared" si="36"/>
        <v>0</v>
      </c>
      <c r="AM483" s="74"/>
      <c r="AN483" s="74"/>
      <c r="AO483" s="81" t="str">
        <f t="shared" si="37"/>
        <v/>
      </c>
      <c r="AP483" s="82"/>
      <c r="AQ483" s="75"/>
      <c r="AR483" s="75"/>
      <c r="AS483" s="80">
        <f t="shared" si="38"/>
        <v>0</v>
      </c>
      <c r="AT483" s="74"/>
      <c r="AU483" s="75"/>
      <c r="AV483" s="75"/>
      <c r="AW483" s="75"/>
      <c r="AX483" s="80">
        <f t="shared" si="39"/>
        <v>0</v>
      </c>
      <c r="AY483" s="81" t="str">
        <f t="shared" si="40"/>
        <v/>
      </c>
      <c r="AZ483" s="83" t="str">
        <f t="shared" si="41"/>
        <v/>
      </c>
      <c r="BA483" s="80" t="str">
        <f t="shared" si="42"/>
        <v/>
      </c>
      <c r="BB483" s="84">
        <f t="shared" si="43"/>
        <v>0</v>
      </c>
      <c r="BC483" s="85" t="str">
        <f t="shared" si="44"/>
        <v/>
      </c>
      <c r="BD483" s="86" t="str">
        <f t="shared" si="45"/>
        <v/>
      </c>
      <c r="BE483" s="84">
        <f t="shared" si="46"/>
        <v>0</v>
      </c>
      <c r="BF483" s="87" t="str">
        <f t="shared" si="47"/>
        <v/>
      </c>
      <c r="BG483" s="88" t="str">
        <f t="shared" si="48"/>
        <v/>
      </c>
      <c r="BH483" s="89" t="str">
        <f t="shared" si="49"/>
        <v/>
      </c>
      <c r="BI483" s="90" t="str">
        <f t="shared" si="50"/>
        <v/>
      </c>
      <c r="BJ483" s="90" t="str">
        <f t="shared" si="51"/>
        <v/>
      </c>
      <c r="BK483" s="91">
        <f t="shared" si="52"/>
        <v>0</v>
      </c>
      <c r="BL483" s="92">
        <f t="shared" si="53"/>
        <v>0</v>
      </c>
      <c r="BM483" s="95"/>
    </row>
    <row r="484" spans="1:65">
      <c r="A484" s="61">
        <f t="shared" si="54"/>
        <v>0</v>
      </c>
      <c r="B484" s="62"/>
      <c r="C484" s="62"/>
      <c r="D484" s="63"/>
      <c r="E484" s="64"/>
      <c r="F484" s="64"/>
      <c r="G484" s="65"/>
      <c r="H484" s="66" t="str">
        <f t="shared" si="31"/>
        <v/>
      </c>
      <c r="I484" s="67" t="str">
        <f t="shared" si="32"/>
        <v/>
      </c>
      <c r="J484" s="68" t="str">
        <f t="shared" si="33"/>
        <v/>
      </c>
      <c r="K484" s="69" t="str">
        <f t="shared" si="34"/>
        <v/>
      </c>
      <c r="L484" s="70" t="str">
        <f t="shared" si="35"/>
        <v/>
      </c>
      <c r="M484" s="71"/>
      <c r="N484" s="71"/>
      <c r="O484" s="71"/>
      <c r="P484" s="71"/>
      <c r="Q484" s="61"/>
      <c r="R484" s="63"/>
      <c r="S484" s="72"/>
      <c r="T484" s="61"/>
      <c r="U484" s="73"/>
      <c r="V484" s="62"/>
      <c r="W484" s="62"/>
      <c r="X484" s="62"/>
      <c r="Y484" s="93"/>
      <c r="Z484" s="94"/>
      <c r="AA484" s="74"/>
      <c r="AB484" s="75"/>
      <c r="AC484" s="75"/>
      <c r="AD484" s="76"/>
      <c r="AE484" s="77"/>
      <c r="AF484" s="75"/>
      <c r="AG484" s="78"/>
      <c r="AH484" s="79"/>
      <c r="AI484" s="74"/>
      <c r="AJ484" s="75"/>
      <c r="AK484" s="75"/>
      <c r="AL484" s="80">
        <f t="shared" si="36"/>
        <v>0</v>
      </c>
      <c r="AM484" s="74"/>
      <c r="AN484" s="74"/>
      <c r="AO484" s="81" t="str">
        <f t="shared" si="37"/>
        <v/>
      </c>
      <c r="AP484" s="82"/>
      <c r="AQ484" s="75"/>
      <c r="AR484" s="75"/>
      <c r="AS484" s="80">
        <f t="shared" si="38"/>
        <v>0</v>
      </c>
      <c r="AT484" s="74"/>
      <c r="AU484" s="75"/>
      <c r="AV484" s="75"/>
      <c r="AW484" s="75"/>
      <c r="AX484" s="80">
        <f t="shared" si="39"/>
        <v>0</v>
      </c>
      <c r="AY484" s="81" t="str">
        <f t="shared" si="40"/>
        <v/>
      </c>
      <c r="AZ484" s="83" t="str">
        <f t="shared" si="41"/>
        <v/>
      </c>
      <c r="BA484" s="80" t="str">
        <f t="shared" si="42"/>
        <v/>
      </c>
      <c r="BB484" s="84">
        <f t="shared" si="43"/>
        <v>0</v>
      </c>
      <c r="BC484" s="85" t="str">
        <f t="shared" si="44"/>
        <v/>
      </c>
      <c r="BD484" s="86" t="str">
        <f t="shared" si="45"/>
        <v/>
      </c>
      <c r="BE484" s="84">
        <f t="shared" si="46"/>
        <v>0</v>
      </c>
      <c r="BF484" s="87" t="str">
        <f t="shared" si="47"/>
        <v/>
      </c>
      <c r="BG484" s="88" t="str">
        <f t="shared" si="48"/>
        <v/>
      </c>
      <c r="BH484" s="89" t="str">
        <f t="shared" si="49"/>
        <v/>
      </c>
      <c r="BI484" s="90" t="str">
        <f t="shared" si="50"/>
        <v/>
      </c>
      <c r="BJ484" s="90" t="str">
        <f t="shared" si="51"/>
        <v/>
      </c>
      <c r="BK484" s="91">
        <f t="shared" si="52"/>
        <v>0</v>
      </c>
      <c r="BL484" s="92">
        <f t="shared" si="53"/>
        <v>0</v>
      </c>
      <c r="BM484" s="95"/>
    </row>
    <row r="485" spans="1:65">
      <c r="A485" s="61">
        <f t="shared" si="54"/>
        <v>0</v>
      </c>
      <c r="B485" s="62"/>
      <c r="C485" s="62"/>
      <c r="D485" s="63"/>
      <c r="E485" s="64"/>
      <c r="F485" s="64"/>
      <c r="G485" s="65"/>
      <c r="H485" s="66" t="str">
        <f t="shared" si="31"/>
        <v/>
      </c>
      <c r="I485" s="67" t="str">
        <f t="shared" si="32"/>
        <v/>
      </c>
      <c r="J485" s="68" t="str">
        <f t="shared" si="33"/>
        <v/>
      </c>
      <c r="K485" s="69" t="str">
        <f t="shared" si="34"/>
        <v/>
      </c>
      <c r="L485" s="70" t="str">
        <f t="shared" si="35"/>
        <v/>
      </c>
      <c r="M485" s="71"/>
      <c r="N485" s="71"/>
      <c r="O485" s="71"/>
      <c r="P485" s="71"/>
      <c r="Q485" s="61"/>
      <c r="R485" s="63"/>
      <c r="S485" s="72"/>
      <c r="T485" s="61"/>
      <c r="U485" s="73"/>
      <c r="V485" s="62"/>
      <c r="W485" s="62"/>
      <c r="X485" s="62"/>
      <c r="Y485" s="93"/>
      <c r="Z485" s="94"/>
      <c r="AA485" s="74"/>
      <c r="AB485" s="75"/>
      <c r="AC485" s="75"/>
      <c r="AD485" s="76"/>
      <c r="AE485" s="77"/>
      <c r="AF485" s="75"/>
      <c r="AG485" s="78"/>
      <c r="AH485" s="79"/>
      <c r="AI485" s="74"/>
      <c r="AJ485" s="75"/>
      <c r="AK485" s="75"/>
      <c r="AL485" s="80">
        <f t="shared" si="36"/>
        <v>0</v>
      </c>
      <c r="AM485" s="74"/>
      <c r="AN485" s="74"/>
      <c r="AO485" s="81" t="str">
        <f t="shared" si="37"/>
        <v/>
      </c>
      <c r="AP485" s="82"/>
      <c r="AQ485" s="75"/>
      <c r="AR485" s="75"/>
      <c r="AS485" s="80">
        <f t="shared" si="38"/>
        <v>0</v>
      </c>
      <c r="AT485" s="74"/>
      <c r="AU485" s="75"/>
      <c r="AV485" s="75"/>
      <c r="AW485" s="75"/>
      <c r="AX485" s="80">
        <f t="shared" si="39"/>
        <v>0</v>
      </c>
      <c r="AY485" s="81" t="str">
        <f t="shared" si="40"/>
        <v/>
      </c>
      <c r="AZ485" s="83" t="str">
        <f t="shared" si="41"/>
        <v/>
      </c>
      <c r="BA485" s="80" t="str">
        <f t="shared" si="42"/>
        <v/>
      </c>
      <c r="BB485" s="84">
        <f t="shared" si="43"/>
        <v>0</v>
      </c>
      <c r="BC485" s="85" t="str">
        <f t="shared" si="44"/>
        <v/>
      </c>
      <c r="BD485" s="86" t="str">
        <f t="shared" si="45"/>
        <v/>
      </c>
      <c r="BE485" s="84">
        <f t="shared" si="46"/>
        <v>0</v>
      </c>
      <c r="BF485" s="87" t="str">
        <f t="shared" si="47"/>
        <v/>
      </c>
      <c r="BG485" s="88" t="str">
        <f t="shared" si="48"/>
        <v/>
      </c>
      <c r="BH485" s="89" t="str">
        <f t="shared" si="49"/>
        <v/>
      </c>
      <c r="BI485" s="90" t="str">
        <f t="shared" si="50"/>
        <v/>
      </c>
      <c r="BJ485" s="90" t="str">
        <f t="shared" si="51"/>
        <v/>
      </c>
      <c r="BK485" s="91">
        <f t="shared" si="52"/>
        <v>0</v>
      </c>
      <c r="BL485" s="92">
        <f t="shared" si="53"/>
        <v>0</v>
      </c>
      <c r="BM485" s="95"/>
    </row>
    <row r="486" spans="1:65">
      <c r="A486" s="61">
        <f t="shared" si="54"/>
        <v>0</v>
      </c>
      <c r="B486" s="62"/>
      <c r="C486" s="62"/>
      <c r="D486" s="63"/>
      <c r="E486" s="64"/>
      <c r="F486" s="64"/>
      <c r="G486" s="65"/>
      <c r="H486" s="66" t="str">
        <f t="shared" si="31"/>
        <v/>
      </c>
      <c r="I486" s="67" t="str">
        <f t="shared" si="32"/>
        <v/>
      </c>
      <c r="J486" s="68" t="str">
        <f t="shared" si="33"/>
        <v/>
      </c>
      <c r="K486" s="69" t="str">
        <f t="shared" si="34"/>
        <v/>
      </c>
      <c r="L486" s="70" t="str">
        <f t="shared" si="35"/>
        <v/>
      </c>
      <c r="M486" s="71"/>
      <c r="N486" s="71"/>
      <c r="O486" s="71"/>
      <c r="P486" s="71"/>
      <c r="Q486" s="61"/>
      <c r="R486" s="63"/>
      <c r="S486" s="72"/>
      <c r="T486" s="61"/>
      <c r="U486" s="73"/>
      <c r="V486" s="62"/>
      <c r="W486" s="62"/>
      <c r="X486" s="62"/>
      <c r="Y486" s="93"/>
      <c r="Z486" s="94"/>
      <c r="AA486" s="74"/>
      <c r="AB486" s="75"/>
      <c r="AC486" s="75"/>
      <c r="AD486" s="76"/>
      <c r="AE486" s="77"/>
      <c r="AF486" s="75"/>
      <c r="AG486" s="78"/>
      <c r="AH486" s="79"/>
      <c r="AI486" s="74"/>
      <c r="AJ486" s="75"/>
      <c r="AK486" s="75"/>
      <c r="AL486" s="80">
        <f t="shared" si="36"/>
        <v>0</v>
      </c>
      <c r="AM486" s="74"/>
      <c r="AN486" s="74"/>
      <c r="AO486" s="81" t="str">
        <f t="shared" si="37"/>
        <v/>
      </c>
      <c r="AP486" s="82"/>
      <c r="AQ486" s="75"/>
      <c r="AR486" s="75"/>
      <c r="AS486" s="80">
        <f t="shared" si="38"/>
        <v>0</v>
      </c>
      <c r="AT486" s="74"/>
      <c r="AU486" s="75"/>
      <c r="AV486" s="75"/>
      <c r="AW486" s="75"/>
      <c r="AX486" s="80">
        <f t="shared" si="39"/>
        <v>0</v>
      </c>
      <c r="AY486" s="81" t="str">
        <f t="shared" si="40"/>
        <v/>
      </c>
      <c r="AZ486" s="83" t="str">
        <f t="shared" si="41"/>
        <v/>
      </c>
      <c r="BA486" s="80" t="str">
        <f t="shared" si="42"/>
        <v/>
      </c>
      <c r="BB486" s="84">
        <f t="shared" si="43"/>
        <v>0</v>
      </c>
      <c r="BC486" s="85" t="str">
        <f t="shared" si="44"/>
        <v/>
      </c>
      <c r="BD486" s="86" t="str">
        <f t="shared" si="45"/>
        <v/>
      </c>
      <c r="BE486" s="84">
        <f t="shared" si="46"/>
        <v>0</v>
      </c>
      <c r="BF486" s="87" t="str">
        <f t="shared" si="47"/>
        <v/>
      </c>
      <c r="BG486" s="88" t="str">
        <f t="shared" si="48"/>
        <v/>
      </c>
      <c r="BH486" s="89" t="str">
        <f t="shared" si="49"/>
        <v/>
      </c>
      <c r="BI486" s="90" t="str">
        <f t="shared" si="50"/>
        <v/>
      </c>
      <c r="BJ486" s="90" t="str">
        <f t="shared" si="51"/>
        <v/>
      </c>
      <c r="BK486" s="91">
        <f t="shared" si="52"/>
        <v>0</v>
      </c>
      <c r="BL486" s="92">
        <f t="shared" si="53"/>
        <v>0</v>
      </c>
      <c r="BM486" s="95"/>
    </row>
    <row r="487" spans="1:65">
      <c r="A487" s="61">
        <f t="shared" si="54"/>
        <v>0</v>
      </c>
      <c r="B487" s="62"/>
      <c r="C487" s="62"/>
      <c r="D487" s="63"/>
      <c r="E487" s="64"/>
      <c r="F487" s="64"/>
      <c r="G487" s="65"/>
      <c r="H487" s="66" t="str">
        <f t="shared" si="31"/>
        <v/>
      </c>
      <c r="I487" s="67" t="str">
        <f t="shared" si="32"/>
        <v/>
      </c>
      <c r="J487" s="68" t="str">
        <f t="shared" si="33"/>
        <v/>
      </c>
      <c r="K487" s="69" t="str">
        <f t="shared" si="34"/>
        <v/>
      </c>
      <c r="L487" s="70" t="str">
        <f t="shared" si="35"/>
        <v/>
      </c>
      <c r="M487" s="71"/>
      <c r="N487" s="71"/>
      <c r="O487" s="71"/>
      <c r="P487" s="71"/>
      <c r="Q487" s="61"/>
      <c r="R487" s="63"/>
      <c r="S487" s="72"/>
      <c r="T487" s="61"/>
      <c r="U487" s="73"/>
      <c r="V487" s="62"/>
      <c r="W487" s="62"/>
      <c r="X487" s="62"/>
      <c r="Y487" s="93"/>
      <c r="Z487" s="94"/>
      <c r="AA487" s="74"/>
      <c r="AB487" s="75"/>
      <c r="AC487" s="75"/>
      <c r="AD487" s="76"/>
      <c r="AE487" s="77"/>
      <c r="AF487" s="75"/>
      <c r="AG487" s="78"/>
      <c r="AH487" s="79"/>
      <c r="AI487" s="74"/>
      <c r="AJ487" s="75"/>
      <c r="AK487" s="75"/>
      <c r="AL487" s="80">
        <f t="shared" si="36"/>
        <v>0</v>
      </c>
      <c r="AM487" s="74"/>
      <c r="AN487" s="74"/>
      <c r="AO487" s="81" t="str">
        <f t="shared" si="37"/>
        <v/>
      </c>
      <c r="AP487" s="82"/>
      <c r="AQ487" s="75"/>
      <c r="AR487" s="75"/>
      <c r="AS487" s="80">
        <f t="shared" si="38"/>
        <v>0</v>
      </c>
      <c r="AT487" s="74"/>
      <c r="AU487" s="75"/>
      <c r="AV487" s="75"/>
      <c r="AW487" s="75"/>
      <c r="AX487" s="80">
        <f t="shared" si="39"/>
        <v>0</v>
      </c>
      <c r="AY487" s="81" t="str">
        <f t="shared" si="40"/>
        <v/>
      </c>
      <c r="AZ487" s="83" t="str">
        <f t="shared" si="41"/>
        <v/>
      </c>
      <c r="BA487" s="80" t="str">
        <f t="shared" si="42"/>
        <v/>
      </c>
      <c r="BB487" s="84">
        <f t="shared" si="43"/>
        <v>0</v>
      </c>
      <c r="BC487" s="85" t="str">
        <f t="shared" si="44"/>
        <v/>
      </c>
      <c r="BD487" s="86" t="str">
        <f t="shared" si="45"/>
        <v/>
      </c>
      <c r="BE487" s="84">
        <f t="shared" si="46"/>
        <v>0</v>
      </c>
      <c r="BF487" s="87" t="str">
        <f t="shared" si="47"/>
        <v/>
      </c>
      <c r="BG487" s="88" t="str">
        <f t="shared" si="48"/>
        <v/>
      </c>
      <c r="BH487" s="89" t="str">
        <f t="shared" si="49"/>
        <v/>
      </c>
      <c r="BI487" s="90" t="str">
        <f t="shared" si="50"/>
        <v/>
      </c>
      <c r="BJ487" s="90" t="str">
        <f t="shared" si="51"/>
        <v/>
      </c>
      <c r="BK487" s="91">
        <f t="shared" si="52"/>
        <v>0</v>
      </c>
      <c r="BL487" s="92">
        <f t="shared" si="53"/>
        <v>0</v>
      </c>
      <c r="BM487" s="95"/>
    </row>
    <row r="488" spans="1:65">
      <c r="A488" s="61">
        <f t="shared" si="54"/>
        <v>0</v>
      </c>
      <c r="B488" s="62"/>
      <c r="C488" s="62"/>
      <c r="D488" s="63"/>
      <c r="E488" s="64"/>
      <c r="F488" s="64"/>
      <c r="G488" s="65"/>
      <c r="H488" s="66" t="str">
        <f t="shared" si="31"/>
        <v/>
      </c>
      <c r="I488" s="67" t="str">
        <f t="shared" si="32"/>
        <v/>
      </c>
      <c r="J488" s="68" t="str">
        <f t="shared" si="33"/>
        <v/>
      </c>
      <c r="K488" s="69" t="str">
        <f t="shared" si="34"/>
        <v/>
      </c>
      <c r="L488" s="70" t="str">
        <f t="shared" si="35"/>
        <v/>
      </c>
      <c r="M488" s="71"/>
      <c r="N488" s="71"/>
      <c r="O488" s="71"/>
      <c r="P488" s="71"/>
      <c r="Q488" s="61"/>
      <c r="R488" s="63"/>
      <c r="S488" s="72"/>
      <c r="T488" s="61"/>
      <c r="U488" s="73"/>
      <c r="V488" s="62"/>
      <c r="W488" s="62"/>
      <c r="X488" s="62"/>
      <c r="Y488" s="93"/>
      <c r="Z488" s="94"/>
      <c r="AA488" s="74"/>
      <c r="AB488" s="75"/>
      <c r="AC488" s="75"/>
      <c r="AD488" s="76"/>
      <c r="AE488" s="77"/>
      <c r="AF488" s="75"/>
      <c r="AG488" s="78"/>
      <c r="AH488" s="79"/>
      <c r="AI488" s="74"/>
      <c r="AJ488" s="75"/>
      <c r="AK488" s="75"/>
      <c r="AL488" s="80">
        <f t="shared" si="36"/>
        <v>0</v>
      </c>
      <c r="AM488" s="74"/>
      <c r="AN488" s="74"/>
      <c r="AO488" s="81" t="str">
        <f t="shared" si="37"/>
        <v/>
      </c>
      <c r="AP488" s="82"/>
      <c r="AQ488" s="75"/>
      <c r="AR488" s="75"/>
      <c r="AS488" s="80">
        <f t="shared" si="38"/>
        <v>0</v>
      </c>
      <c r="AT488" s="74"/>
      <c r="AU488" s="75"/>
      <c r="AV488" s="75"/>
      <c r="AW488" s="75"/>
      <c r="AX488" s="80">
        <f t="shared" si="39"/>
        <v>0</v>
      </c>
      <c r="AY488" s="81" t="str">
        <f t="shared" si="40"/>
        <v/>
      </c>
      <c r="AZ488" s="83" t="str">
        <f t="shared" si="41"/>
        <v/>
      </c>
      <c r="BA488" s="80" t="str">
        <f t="shared" si="42"/>
        <v/>
      </c>
      <c r="BB488" s="84">
        <f t="shared" si="43"/>
        <v>0</v>
      </c>
      <c r="BC488" s="85" t="str">
        <f t="shared" si="44"/>
        <v/>
      </c>
      <c r="BD488" s="86" t="str">
        <f t="shared" si="45"/>
        <v/>
      </c>
      <c r="BE488" s="84">
        <f t="shared" si="46"/>
        <v>0</v>
      </c>
      <c r="BF488" s="87" t="str">
        <f t="shared" si="47"/>
        <v/>
      </c>
      <c r="BG488" s="88" t="str">
        <f t="shared" si="48"/>
        <v/>
      </c>
      <c r="BH488" s="89" t="str">
        <f t="shared" si="49"/>
        <v/>
      </c>
      <c r="BI488" s="90" t="str">
        <f t="shared" si="50"/>
        <v/>
      </c>
      <c r="BJ488" s="90" t="str">
        <f t="shared" si="51"/>
        <v/>
      </c>
      <c r="BK488" s="91">
        <f t="shared" si="52"/>
        <v>0</v>
      </c>
      <c r="BL488" s="92">
        <f t="shared" si="53"/>
        <v>0</v>
      </c>
      <c r="BM488" s="95"/>
    </row>
    <row r="489" spans="1:65">
      <c r="A489" s="61">
        <f t="shared" si="54"/>
        <v>0</v>
      </c>
      <c r="B489" s="62"/>
      <c r="C489" s="62"/>
      <c r="D489" s="63"/>
      <c r="E489" s="64"/>
      <c r="F489" s="64"/>
      <c r="G489" s="65"/>
      <c r="H489" s="66" t="str">
        <f t="shared" si="31"/>
        <v/>
      </c>
      <c r="I489" s="67" t="str">
        <f t="shared" si="32"/>
        <v/>
      </c>
      <c r="J489" s="68" t="str">
        <f t="shared" si="33"/>
        <v/>
      </c>
      <c r="K489" s="69" t="str">
        <f t="shared" si="34"/>
        <v/>
      </c>
      <c r="L489" s="70" t="str">
        <f t="shared" si="35"/>
        <v/>
      </c>
      <c r="M489" s="71"/>
      <c r="N489" s="71"/>
      <c r="O489" s="71"/>
      <c r="P489" s="71"/>
      <c r="Q489" s="61"/>
      <c r="R489" s="63"/>
      <c r="S489" s="72"/>
      <c r="T489" s="61"/>
      <c r="U489" s="73"/>
      <c r="V489" s="62"/>
      <c r="W489" s="62"/>
      <c r="X489" s="62"/>
      <c r="Y489" s="93"/>
      <c r="Z489" s="94"/>
      <c r="AA489" s="74"/>
      <c r="AB489" s="75"/>
      <c r="AC489" s="75"/>
      <c r="AD489" s="76"/>
      <c r="AE489" s="77"/>
      <c r="AF489" s="75"/>
      <c r="AG489" s="78"/>
      <c r="AH489" s="79"/>
      <c r="AI489" s="74"/>
      <c r="AJ489" s="75"/>
      <c r="AK489" s="75"/>
      <c r="AL489" s="80">
        <f t="shared" si="36"/>
        <v>0</v>
      </c>
      <c r="AM489" s="74"/>
      <c r="AN489" s="74"/>
      <c r="AO489" s="81" t="str">
        <f t="shared" si="37"/>
        <v/>
      </c>
      <c r="AP489" s="82"/>
      <c r="AQ489" s="75"/>
      <c r="AR489" s="75"/>
      <c r="AS489" s="80">
        <f t="shared" si="38"/>
        <v>0</v>
      </c>
      <c r="AT489" s="74"/>
      <c r="AU489" s="75"/>
      <c r="AV489" s="75"/>
      <c r="AW489" s="75"/>
      <c r="AX489" s="80">
        <f t="shared" si="39"/>
        <v>0</v>
      </c>
      <c r="AY489" s="81" t="str">
        <f t="shared" si="40"/>
        <v/>
      </c>
      <c r="AZ489" s="83" t="str">
        <f t="shared" si="41"/>
        <v/>
      </c>
      <c r="BA489" s="80" t="str">
        <f t="shared" si="42"/>
        <v/>
      </c>
      <c r="BB489" s="84">
        <f t="shared" si="43"/>
        <v>0</v>
      </c>
      <c r="BC489" s="85" t="str">
        <f t="shared" si="44"/>
        <v/>
      </c>
      <c r="BD489" s="86" t="str">
        <f t="shared" si="45"/>
        <v/>
      </c>
      <c r="BE489" s="84">
        <f t="shared" si="46"/>
        <v>0</v>
      </c>
      <c r="BF489" s="87" t="str">
        <f t="shared" si="47"/>
        <v/>
      </c>
      <c r="BG489" s="88" t="str">
        <f t="shared" si="48"/>
        <v/>
      </c>
      <c r="BH489" s="89" t="str">
        <f t="shared" si="49"/>
        <v/>
      </c>
      <c r="BI489" s="90" t="str">
        <f t="shared" si="50"/>
        <v/>
      </c>
      <c r="BJ489" s="90" t="str">
        <f t="shared" si="51"/>
        <v/>
      </c>
      <c r="BK489" s="91">
        <f t="shared" si="52"/>
        <v>0</v>
      </c>
      <c r="BL489" s="92">
        <f t="shared" si="53"/>
        <v>0</v>
      </c>
      <c r="BM489" s="95"/>
    </row>
    <row r="490" spans="1:65">
      <c r="A490" s="61">
        <f t="shared" si="54"/>
        <v>0</v>
      </c>
      <c r="B490" s="62"/>
      <c r="C490" s="62"/>
      <c r="D490" s="63"/>
      <c r="E490" s="64"/>
      <c r="F490" s="64"/>
      <c r="G490" s="65"/>
      <c r="H490" s="66" t="str">
        <f t="shared" si="31"/>
        <v/>
      </c>
      <c r="I490" s="67" t="str">
        <f t="shared" si="32"/>
        <v/>
      </c>
      <c r="J490" s="68" t="str">
        <f t="shared" si="33"/>
        <v/>
      </c>
      <c r="K490" s="69" t="str">
        <f t="shared" si="34"/>
        <v/>
      </c>
      <c r="L490" s="70" t="str">
        <f t="shared" si="35"/>
        <v/>
      </c>
      <c r="M490" s="71"/>
      <c r="N490" s="71"/>
      <c r="O490" s="71"/>
      <c r="P490" s="71"/>
      <c r="Q490" s="61"/>
      <c r="R490" s="63"/>
      <c r="S490" s="72"/>
      <c r="T490" s="61"/>
      <c r="U490" s="73"/>
      <c r="V490" s="62"/>
      <c r="W490" s="62"/>
      <c r="X490" s="62"/>
      <c r="Y490" s="93"/>
      <c r="Z490" s="94"/>
      <c r="AA490" s="74"/>
      <c r="AB490" s="75"/>
      <c r="AC490" s="75"/>
      <c r="AD490" s="76"/>
      <c r="AE490" s="77"/>
      <c r="AF490" s="75"/>
      <c r="AG490" s="78"/>
      <c r="AH490" s="79"/>
      <c r="AI490" s="74"/>
      <c r="AJ490" s="75"/>
      <c r="AK490" s="75"/>
      <c r="AL490" s="80">
        <f t="shared" si="36"/>
        <v>0</v>
      </c>
      <c r="AM490" s="74"/>
      <c r="AN490" s="74"/>
      <c r="AO490" s="81" t="str">
        <f t="shared" si="37"/>
        <v/>
      </c>
      <c r="AP490" s="82"/>
      <c r="AQ490" s="75"/>
      <c r="AR490" s="75"/>
      <c r="AS490" s="80">
        <f t="shared" si="38"/>
        <v>0</v>
      </c>
      <c r="AT490" s="74"/>
      <c r="AU490" s="75"/>
      <c r="AV490" s="75"/>
      <c r="AW490" s="75"/>
      <c r="AX490" s="80">
        <f t="shared" si="39"/>
        <v>0</v>
      </c>
      <c r="AY490" s="81" t="str">
        <f t="shared" si="40"/>
        <v/>
      </c>
      <c r="AZ490" s="83" t="str">
        <f t="shared" si="41"/>
        <v/>
      </c>
      <c r="BA490" s="80" t="str">
        <f t="shared" si="42"/>
        <v/>
      </c>
      <c r="BB490" s="84">
        <f t="shared" si="43"/>
        <v>0</v>
      </c>
      <c r="BC490" s="85" t="str">
        <f t="shared" si="44"/>
        <v/>
      </c>
      <c r="BD490" s="86" t="str">
        <f t="shared" si="45"/>
        <v/>
      </c>
      <c r="BE490" s="84">
        <f t="shared" si="46"/>
        <v>0</v>
      </c>
      <c r="BF490" s="87" t="str">
        <f t="shared" si="47"/>
        <v/>
      </c>
      <c r="BG490" s="88" t="str">
        <f t="shared" si="48"/>
        <v/>
      </c>
      <c r="BH490" s="89" t="str">
        <f t="shared" si="49"/>
        <v/>
      </c>
      <c r="BI490" s="90" t="str">
        <f t="shared" si="50"/>
        <v/>
      </c>
      <c r="BJ490" s="90" t="str">
        <f t="shared" si="51"/>
        <v/>
      </c>
      <c r="BK490" s="91">
        <f t="shared" si="52"/>
        <v>0</v>
      </c>
      <c r="BL490" s="92">
        <f t="shared" si="53"/>
        <v>0</v>
      </c>
      <c r="BM490" s="95"/>
    </row>
    <row r="491" spans="1:65">
      <c r="A491" s="61">
        <f t="shared" si="54"/>
        <v>0</v>
      </c>
      <c r="B491" s="62"/>
      <c r="C491" s="62"/>
      <c r="D491" s="63"/>
      <c r="E491" s="64"/>
      <c r="F491" s="64"/>
      <c r="G491" s="65"/>
      <c r="H491" s="66" t="str">
        <f t="shared" si="31"/>
        <v/>
      </c>
      <c r="I491" s="67" t="str">
        <f t="shared" si="32"/>
        <v/>
      </c>
      <c r="J491" s="68" t="str">
        <f t="shared" si="33"/>
        <v/>
      </c>
      <c r="K491" s="69" t="str">
        <f t="shared" si="34"/>
        <v/>
      </c>
      <c r="L491" s="70" t="str">
        <f t="shared" si="35"/>
        <v/>
      </c>
      <c r="M491" s="71"/>
      <c r="N491" s="71"/>
      <c r="O491" s="71"/>
      <c r="P491" s="71"/>
      <c r="Q491" s="61"/>
      <c r="R491" s="63"/>
      <c r="S491" s="72"/>
      <c r="T491" s="61"/>
      <c r="U491" s="73"/>
      <c r="V491" s="62"/>
      <c r="W491" s="62"/>
      <c r="X491" s="62"/>
      <c r="Y491" s="93"/>
      <c r="Z491" s="94"/>
      <c r="AA491" s="74"/>
      <c r="AB491" s="75"/>
      <c r="AC491" s="75"/>
      <c r="AD491" s="76"/>
      <c r="AE491" s="77"/>
      <c r="AF491" s="75"/>
      <c r="AG491" s="78"/>
      <c r="AH491" s="79"/>
      <c r="AI491" s="74"/>
      <c r="AJ491" s="75"/>
      <c r="AK491" s="75"/>
      <c r="AL491" s="80">
        <f t="shared" si="36"/>
        <v>0</v>
      </c>
      <c r="AM491" s="74"/>
      <c r="AN491" s="74"/>
      <c r="AO491" s="81" t="str">
        <f t="shared" si="37"/>
        <v/>
      </c>
      <c r="AP491" s="82"/>
      <c r="AQ491" s="75"/>
      <c r="AR491" s="75"/>
      <c r="AS491" s="80">
        <f t="shared" si="38"/>
        <v>0</v>
      </c>
      <c r="AT491" s="74"/>
      <c r="AU491" s="75"/>
      <c r="AV491" s="75"/>
      <c r="AW491" s="75"/>
      <c r="AX491" s="80">
        <f t="shared" si="39"/>
        <v>0</v>
      </c>
      <c r="AY491" s="81" t="str">
        <f t="shared" si="40"/>
        <v/>
      </c>
      <c r="AZ491" s="83" t="str">
        <f t="shared" si="41"/>
        <v/>
      </c>
      <c r="BA491" s="80" t="str">
        <f t="shared" si="42"/>
        <v/>
      </c>
      <c r="BB491" s="84">
        <f t="shared" si="43"/>
        <v>0</v>
      </c>
      <c r="BC491" s="85" t="str">
        <f t="shared" si="44"/>
        <v/>
      </c>
      <c r="BD491" s="86" t="str">
        <f t="shared" si="45"/>
        <v/>
      </c>
      <c r="BE491" s="84">
        <f t="shared" si="46"/>
        <v>0</v>
      </c>
      <c r="BF491" s="87" t="str">
        <f t="shared" si="47"/>
        <v/>
      </c>
      <c r="BG491" s="88" t="str">
        <f t="shared" si="48"/>
        <v/>
      </c>
      <c r="BH491" s="89" t="str">
        <f t="shared" si="49"/>
        <v/>
      </c>
      <c r="BI491" s="90" t="str">
        <f t="shared" si="50"/>
        <v/>
      </c>
      <c r="BJ491" s="90" t="str">
        <f t="shared" si="51"/>
        <v/>
      </c>
      <c r="BK491" s="91">
        <f t="shared" si="52"/>
        <v>0</v>
      </c>
      <c r="BL491" s="92">
        <f t="shared" si="53"/>
        <v>0</v>
      </c>
      <c r="BM491" s="95"/>
    </row>
    <row r="492" spans="1:65">
      <c r="A492" s="61">
        <f t="shared" si="54"/>
        <v>0</v>
      </c>
      <c r="B492" s="62"/>
      <c r="C492" s="62"/>
      <c r="D492" s="63"/>
      <c r="E492" s="64"/>
      <c r="F492" s="64"/>
      <c r="G492" s="65"/>
      <c r="H492" s="66" t="str">
        <f t="shared" si="31"/>
        <v/>
      </c>
      <c r="I492" s="67" t="str">
        <f t="shared" si="32"/>
        <v/>
      </c>
      <c r="J492" s="68" t="str">
        <f t="shared" si="33"/>
        <v/>
      </c>
      <c r="K492" s="69" t="str">
        <f t="shared" si="34"/>
        <v/>
      </c>
      <c r="L492" s="70" t="str">
        <f t="shared" si="35"/>
        <v/>
      </c>
      <c r="M492" s="71"/>
      <c r="N492" s="71"/>
      <c r="O492" s="71"/>
      <c r="P492" s="71"/>
      <c r="Q492" s="61"/>
      <c r="R492" s="63"/>
      <c r="S492" s="72"/>
      <c r="T492" s="61"/>
      <c r="U492" s="73"/>
      <c r="V492" s="62"/>
      <c r="W492" s="62"/>
      <c r="X492" s="62"/>
      <c r="Y492" s="93"/>
      <c r="Z492" s="94"/>
      <c r="AA492" s="74"/>
      <c r="AB492" s="75"/>
      <c r="AC492" s="75"/>
      <c r="AD492" s="76"/>
      <c r="AE492" s="77"/>
      <c r="AF492" s="75"/>
      <c r="AG492" s="78"/>
      <c r="AH492" s="79"/>
      <c r="AI492" s="74"/>
      <c r="AJ492" s="75"/>
      <c r="AK492" s="75"/>
      <c r="AL492" s="80">
        <f t="shared" si="36"/>
        <v>0</v>
      </c>
      <c r="AM492" s="74"/>
      <c r="AN492" s="74"/>
      <c r="AO492" s="81" t="str">
        <f t="shared" si="37"/>
        <v/>
      </c>
      <c r="AP492" s="82"/>
      <c r="AQ492" s="75"/>
      <c r="AR492" s="75"/>
      <c r="AS492" s="80">
        <f t="shared" si="38"/>
        <v>0</v>
      </c>
      <c r="AT492" s="74"/>
      <c r="AU492" s="75"/>
      <c r="AV492" s="75"/>
      <c r="AW492" s="75"/>
      <c r="AX492" s="80">
        <f t="shared" si="39"/>
        <v>0</v>
      </c>
      <c r="AY492" s="81" t="str">
        <f t="shared" si="40"/>
        <v/>
      </c>
      <c r="AZ492" s="83" t="str">
        <f t="shared" si="41"/>
        <v/>
      </c>
      <c r="BA492" s="80" t="str">
        <f t="shared" si="42"/>
        <v/>
      </c>
      <c r="BB492" s="84">
        <f t="shared" si="43"/>
        <v>0</v>
      </c>
      <c r="BC492" s="85" t="str">
        <f t="shared" si="44"/>
        <v/>
      </c>
      <c r="BD492" s="86" t="str">
        <f t="shared" si="45"/>
        <v/>
      </c>
      <c r="BE492" s="84">
        <f t="shared" si="46"/>
        <v>0</v>
      </c>
      <c r="BF492" s="87" t="str">
        <f t="shared" si="47"/>
        <v/>
      </c>
      <c r="BG492" s="88" t="str">
        <f t="shared" si="48"/>
        <v/>
      </c>
      <c r="BH492" s="89" t="str">
        <f t="shared" si="49"/>
        <v/>
      </c>
      <c r="BI492" s="90" t="str">
        <f t="shared" si="50"/>
        <v/>
      </c>
      <c r="BJ492" s="90" t="str">
        <f t="shared" si="51"/>
        <v/>
      </c>
      <c r="BK492" s="91">
        <f t="shared" si="52"/>
        <v>0</v>
      </c>
      <c r="BL492" s="92">
        <f t="shared" si="53"/>
        <v>0</v>
      </c>
      <c r="BM492" s="95"/>
    </row>
    <row r="493" spans="1:65">
      <c r="A493" s="61">
        <f t="shared" si="54"/>
        <v>0</v>
      </c>
      <c r="B493" s="62"/>
      <c r="C493" s="62"/>
      <c r="D493" s="63"/>
      <c r="E493" s="64"/>
      <c r="F493" s="64"/>
      <c r="G493" s="65"/>
      <c r="H493" s="66" t="str">
        <f t="shared" si="31"/>
        <v/>
      </c>
      <c r="I493" s="67" t="str">
        <f t="shared" si="32"/>
        <v/>
      </c>
      <c r="J493" s="68" t="str">
        <f t="shared" si="33"/>
        <v/>
      </c>
      <c r="K493" s="69" t="str">
        <f t="shared" si="34"/>
        <v/>
      </c>
      <c r="L493" s="70" t="str">
        <f t="shared" si="35"/>
        <v/>
      </c>
      <c r="M493" s="71"/>
      <c r="N493" s="71"/>
      <c r="O493" s="71"/>
      <c r="P493" s="71"/>
      <c r="Q493" s="61"/>
      <c r="R493" s="63"/>
      <c r="S493" s="72"/>
      <c r="T493" s="61"/>
      <c r="U493" s="73"/>
      <c r="V493" s="62"/>
      <c r="W493" s="62"/>
      <c r="X493" s="62"/>
      <c r="Y493" s="93"/>
      <c r="Z493" s="94"/>
      <c r="AA493" s="74"/>
      <c r="AB493" s="75"/>
      <c r="AC493" s="75"/>
      <c r="AD493" s="76"/>
      <c r="AE493" s="77"/>
      <c r="AF493" s="75"/>
      <c r="AG493" s="78"/>
      <c r="AH493" s="79"/>
      <c r="AI493" s="74"/>
      <c r="AJ493" s="75"/>
      <c r="AK493" s="75"/>
      <c r="AL493" s="80">
        <f t="shared" si="36"/>
        <v>0</v>
      </c>
      <c r="AM493" s="74"/>
      <c r="AN493" s="74"/>
      <c r="AO493" s="81" t="str">
        <f t="shared" si="37"/>
        <v/>
      </c>
      <c r="AP493" s="82"/>
      <c r="AQ493" s="75"/>
      <c r="AR493" s="75"/>
      <c r="AS493" s="80">
        <f t="shared" si="38"/>
        <v>0</v>
      </c>
      <c r="AT493" s="74"/>
      <c r="AU493" s="75"/>
      <c r="AV493" s="75"/>
      <c r="AW493" s="75"/>
      <c r="AX493" s="80">
        <f t="shared" si="39"/>
        <v>0</v>
      </c>
      <c r="AY493" s="81" t="str">
        <f t="shared" si="40"/>
        <v/>
      </c>
      <c r="AZ493" s="83" t="str">
        <f t="shared" si="41"/>
        <v/>
      </c>
      <c r="BA493" s="80" t="str">
        <f t="shared" si="42"/>
        <v/>
      </c>
      <c r="BB493" s="84">
        <f t="shared" si="43"/>
        <v>0</v>
      </c>
      <c r="BC493" s="85" t="str">
        <f t="shared" si="44"/>
        <v/>
      </c>
      <c r="BD493" s="86" t="str">
        <f t="shared" si="45"/>
        <v/>
      </c>
      <c r="BE493" s="84">
        <f t="shared" si="46"/>
        <v>0</v>
      </c>
      <c r="BF493" s="87" t="str">
        <f t="shared" si="47"/>
        <v/>
      </c>
      <c r="BG493" s="88" t="str">
        <f t="shared" si="48"/>
        <v/>
      </c>
      <c r="BH493" s="89" t="str">
        <f t="shared" si="49"/>
        <v/>
      </c>
      <c r="BI493" s="90" t="str">
        <f t="shared" si="50"/>
        <v/>
      </c>
      <c r="BJ493" s="90" t="str">
        <f t="shared" si="51"/>
        <v/>
      </c>
      <c r="BK493" s="91">
        <f t="shared" si="52"/>
        <v>0</v>
      </c>
      <c r="BL493" s="92">
        <f t="shared" si="53"/>
        <v>0</v>
      </c>
      <c r="BM493" s="95"/>
    </row>
    <row r="494" spans="1:65">
      <c r="A494" s="61">
        <f t="shared" si="54"/>
        <v>0</v>
      </c>
      <c r="B494" s="62"/>
      <c r="C494" s="62"/>
      <c r="D494" s="63"/>
      <c r="E494" s="64"/>
      <c r="F494" s="64"/>
      <c r="G494" s="65"/>
      <c r="H494" s="66" t="str">
        <f t="shared" si="31"/>
        <v/>
      </c>
      <c r="I494" s="67" t="str">
        <f t="shared" si="32"/>
        <v/>
      </c>
      <c r="J494" s="68" t="str">
        <f t="shared" si="33"/>
        <v/>
      </c>
      <c r="K494" s="69" t="str">
        <f t="shared" si="34"/>
        <v/>
      </c>
      <c r="L494" s="70" t="str">
        <f t="shared" si="35"/>
        <v/>
      </c>
      <c r="M494" s="71"/>
      <c r="N494" s="71"/>
      <c r="O494" s="71"/>
      <c r="P494" s="71"/>
      <c r="Q494" s="61"/>
      <c r="R494" s="63"/>
      <c r="S494" s="72"/>
      <c r="T494" s="61"/>
      <c r="U494" s="73"/>
      <c r="V494" s="62"/>
      <c r="W494" s="62"/>
      <c r="X494" s="62"/>
      <c r="Y494" s="93"/>
      <c r="Z494" s="94"/>
      <c r="AA494" s="74"/>
      <c r="AB494" s="75"/>
      <c r="AC494" s="75"/>
      <c r="AD494" s="76"/>
      <c r="AE494" s="77"/>
      <c r="AF494" s="75"/>
      <c r="AG494" s="78"/>
      <c r="AH494" s="79"/>
      <c r="AI494" s="74"/>
      <c r="AJ494" s="75"/>
      <c r="AK494" s="75"/>
      <c r="AL494" s="80">
        <f t="shared" si="36"/>
        <v>0</v>
      </c>
      <c r="AM494" s="74"/>
      <c r="AN494" s="74"/>
      <c r="AO494" s="81" t="str">
        <f t="shared" si="37"/>
        <v/>
      </c>
      <c r="AP494" s="82"/>
      <c r="AQ494" s="75"/>
      <c r="AR494" s="75"/>
      <c r="AS494" s="80">
        <f t="shared" si="38"/>
        <v>0</v>
      </c>
      <c r="AT494" s="74"/>
      <c r="AU494" s="75"/>
      <c r="AV494" s="75"/>
      <c r="AW494" s="75"/>
      <c r="AX494" s="80">
        <f t="shared" si="39"/>
        <v>0</v>
      </c>
      <c r="AY494" s="81" t="str">
        <f t="shared" si="40"/>
        <v/>
      </c>
      <c r="AZ494" s="83" t="str">
        <f t="shared" si="41"/>
        <v/>
      </c>
      <c r="BA494" s="80" t="str">
        <f t="shared" si="42"/>
        <v/>
      </c>
      <c r="BB494" s="84">
        <f t="shared" si="43"/>
        <v>0</v>
      </c>
      <c r="BC494" s="85" t="str">
        <f t="shared" si="44"/>
        <v/>
      </c>
      <c r="BD494" s="86" t="str">
        <f t="shared" si="45"/>
        <v/>
      </c>
      <c r="BE494" s="84">
        <f t="shared" si="46"/>
        <v>0</v>
      </c>
      <c r="BF494" s="87" t="str">
        <f t="shared" si="47"/>
        <v/>
      </c>
      <c r="BG494" s="88" t="str">
        <f t="shared" si="48"/>
        <v/>
      </c>
      <c r="BH494" s="89" t="str">
        <f t="shared" si="49"/>
        <v/>
      </c>
      <c r="BI494" s="90" t="str">
        <f t="shared" si="50"/>
        <v/>
      </c>
      <c r="BJ494" s="90" t="str">
        <f t="shared" si="51"/>
        <v/>
      </c>
      <c r="BK494" s="91">
        <f t="shared" si="52"/>
        <v>0</v>
      </c>
      <c r="BL494" s="92">
        <f t="shared" si="53"/>
        <v>0</v>
      </c>
      <c r="BM494" s="95"/>
    </row>
    <row r="495" spans="1:65">
      <c r="A495" s="61">
        <f t="shared" si="54"/>
        <v>0</v>
      </c>
      <c r="B495" s="62"/>
      <c r="C495" s="62"/>
      <c r="D495" s="63"/>
      <c r="E495" s="64"/>
      <c r="F495" s="64"/>
      <c r="G495" s="65"/>
      <c r="H495" s="66" t="str">
        <f t="shared" si="31"/>
        <v/>
      </c>
      <c r="I495" s="67" t="str">
        <f t="shared" si="32"/>
        <v/>
      </c>
      <c r="J495" s="68" t="str">
        <f t="shared" si="33"/>
        <v/>
      </c>
      <c r="K495" s="69" t="str">
        <f t="shared" si="34"/>
        <v/>
      </c>
      <c r="L495" s="70" t="str">
        <f t="shared" si="35"/>
        <v/>
      </c>
      <c r="M495" s="71"/>
      <c r="N495" s="71"/>
      <c r="O495" s="71"/>
      <c r="P495" s="71"/>
      <c r="Q495" s="61"/>
      <c r="R495" s="63"/>
      <c r="S495" s="72"/>
      <c r="T495" s="61"/>
      <c r="U495" s="73"/>
      <c r="V495" s="62"/>
      <c r="W495" s="62"/>
      <c r="X495" s="62"/>
      <c r="Y495" s="93"/>
      <c r="Z495" s="94"/>
      <c r="AA495" s="74"/>
      <c r="AB495" s="75"/>
      <c r="AC495" s="75"/>
      <c r="AD495" s="76"/>
      <c r="AE495" s="77"/>
      <c r="AF495" s="75"/>
      <c r="AG495" s="78"/>
      <c r="AH495" s="79"/>
      <c r="AI495" s="74"/>
      <c r="AJ495" s="75"/>
      <c r="AK495" s="75"/>
      <c r="AL495" s="80">
        <f t="shared" si="36"/>
        <v>0</v>
      </c>
      <c r="AM495" s="74"/>
      <c r="AN495" s="74"/>
      <c r="AO495" s="81" t="str">
        <f t="shared" si="37"/>
        <v/>
      </c>
      <c r="AP495" s="82"/>
      <c r="AQ495" s="75"/>
      <c r="AR495" s="75"/>
      <c r="AS495" s="80">
        <f t="shared" si="38"/>
        <v>0</v>
      </c>
      <c r="AT495" s="74"/>
      <c r="AU495" s="75"/>
      <c r="AV495" s="75"/>
      <c r="AW495" s="75"/>
      <c r="AX495" s="80">
        <f t="shared" si="39"/>
        <v>0</v>
      </c>
      <c r="AY495" s="81" t="str">
        <f t="shared" si="40"/>
        <v/>
      </c>
      <c r="AZ495" s="83" t="str">
        <f t="shared" si="41"/>
        <v/>
      </c>
      <c r="BA495" s="80" t="str">
        <f t="shared" si="42"/>
        <v/>
      </c>
      <c r="BB495" s="84">
        <f t="shared" si="43"/>
        <v>0</v>
      </c>
      <c r="BC495" s="85" t="str">
        <f t="shared" si="44"/>
        <v/>
      </c>
      <c r="BD495" s="86" t="str">
        <f t="shared" si="45"/>
        <v/>
      </c>
      <c r="BE495" s="84">
        <f t="shared" si="46"/>
        <v>0</v>
      </c>
      <c r="BF495" s="87" t="str">
        <f t="shared" si="47"/>
        <v/>
      </c>
      <c r="BG495" s="88" t="str">
        <f t="shared" si="48"/>
        <v/>
      </c>
      <c r="BH495" s="89" t="str">
        <f t="shared" si="49"/>
        <v/>
      </c>
      <c r="BI495" s="90" t="str">
        <f t="shared" si="50"/>
        <v/>
      </c>
      <c r="BJ495" s="90" t="str">
        <f t="shared" si="51"/>
        <v/>
      </c>
      <c r="BK495" s="91">
        <f t="shared" si="52"/>
        <v>0</v>
      </c>
      <c r="BL495" s="92">
        <f t="shared" si="53"/>
        <v>0</v>
      </c>
      <c r="BM495" s="95"/>
    </row>
    <row r="496" spans="1:65">
      <c r="A496" s="61">
        <f t="shared" si="54"/>
        <v>0</v>
      </c>
      <c r="B496" s="62"/>
      <c r="C496" s="62"/>
      <c r="D496" s="63"/>
      <c r="E496" s="64"/>
      <c r="F496" s="64"/>
      <c r="G496" s="65"/>
      <c r="H496" s="66" t="str">
        <f t="shared" si="31"/>
        <v/>
      </c>
      <c r="I496" s="67" t="str">
        <f t="shared" si="32"/>
        <v/>
      </c>
      <c r="J496" s="68" t="str">
        <f t="shared" si="33"/>
        <v/>
      </c>
      <c r="K496" s="69" t="str">
        <f t="shared" si="34"/>
        <v/>
      </c>
      <c r="L496" s="70" t="str">
        <f t="shared" si="35"/>
        <v/>
      </c>
      <c r="M496" s="71"/>
      <c r="N496" s="71"/>
      <c r="O496" s="71"/>
      <c r="P496" s="71"/>
      <c r="Q496" s="61"/>
      <c r="R496" s="63"/>
      <c r="S496" s="72"/>
      <c r="T496" s="61"/>
      <c r="U496" s="73"/>
      <c r="V496" s="62"/>
      <c r="W496" s="62"/>
      <c r="X496" s="62"/>
      <c r="Y496" s="93"/>
      <c r="Z496" s="94"/>
      <c r="AA496" s="74"/>
      <c r="AB496" s="75"/>
      <c r="AC496" s="75"/>
      <c r="AD496" s="76"/>
      <c r="AE496" s="77"/>
      <c r="AF496" s="75"/>
      <c r="AG496" s="78"/>
      <c r="AH496" s="79"/>
      <c r="AI496" s="74"/>
      <c r="AJ496" s="75"/>
      <c r="AK496" s="75"/>
      <c r="AL496" s="80">
        <f t="shared" si="36"/>
        <v>0</v>
      </c>
      <c r="AM496" s="74"/>
      <c r="AN496" s="74"/>
      <c r="AO496" s="81" t="str">
        <f t="shared" si="37"/>
        <v/>
      </c>
      <c r="AP496" s="82"/>
      <c r="AQ496" s="75"/>
      <c r="AR496" s="75"/>
      <c r="AS496" s="80">
        <f t="shared" si="38"/>
        <v>0</v>
      </c>
      <c r="AT496" s="74"/>
      <c r="AU496" s="75"/>
      <c r="AV496" s="75"/>
      <c r="AW496" s="75"/>
      <c r="AX496" s="80">
        <f t="shared" si="39"/>
        <v>0</v>
      </c>
      <c r="AY496" s="81" t="str">
        <f t="shared" si="40"/>
        <v/>
      </c>
      <c r="AZ496" s="83" t="str">
        <f t="shared" si="41"/>
        <v/>
      </c>
      <c r="BA496" s="80" t="str">
        <f t="shared" si="42"/>
        <v/>
      </c>
      <c r="BB496" s="84">
        <f t="shared" si="43"/>
        <v>0</v>
      </c>
      <c r="BC496" s="85" t="str">
        <f t="shared" si="44"/>
        <v/>
      </c>
      <c r="BD496" s="86" t="str">
        <f t="shared" si="45"/>
        <v/>
      </c>
      <c r="BE496" s="84">
        <f t="shared" si="46"/>
        <v>0</v>
      </c>
      <c r="BF496" s="87" t="str">
        <f t="shared" si="47"/>
        <v/>
      </c>
      <c r="BG496" s="88" t="str">
        <f t="shared" si="48"/>
        <v/>
      </c>
      <c r="BH496" s="89" t="str">
        <f t="shared" si="49"/>
        <v/>
      </c>
      <c r="BI496" s="90" t="str">
        <f t="shared" si="50"/>
        <v/>
      </c>
      <c r="BJ496" s="90" t="str">
        <f t="shared" si="51"/>
        <v/>
      </c>
      <c r="BK496" s="91">
        <f t="shared" si="52"/>
        <v>0</v>
      </c>
      <c r="BL496" s="92">
        <f t="shared" si="53"/>
        <v>0</v>
      </c>
      <c r="BM496" s="95"/>
    </row>
    <row r="497" spans="1:65">
      <c r="A497" s="61">
        <f t="shared" si="54"/>
        <v>0</v>
      </c>
      <c r="B497" s="62"/>
      <c r="C497" s="62"/>
      <c r="D497" s="63"/>
      <c r="E497" s="64"/>
      <c r="F497" s="64"/>
      <c r="G497" s="65"/>
      <c r="H497" s="66" t="str">
        <f t="shared" si="31"/>
        <v/>
      </c>
      <c r="I497" s="67" t="str">
        <f t="shared" si="32"/>
        <v/>
      </c>
      <c r="J497" s="68" t="str">
        <f t="shared" si="33"/>
        <v/>
      </c>
      <c r="K497" s="69" t="str">
        <f t="shared" si="34"/>
        <v/>
      </c>
      <c r="L497" s="70" t="str">
        <f t="shared" si="35"/>
        <v/>
      </c>
      <c r="M497" s="71"/>
      <c r="N497" s="71"/>
      <c r="O497" s="71"/>
      <c r="P497" s="71"/>
      <c r="Q497" s="61"/>
      <c r="R497" s="63"/>
      <c r="S497" s="72"/>
      <c r="T497" s="61"/>
      <c r="U497" s="73"/>
      <c r="V497" s="62"/>
      <c r="W497" s="62"/>
      <c r="X497" s="62"/>
      <c r="Y497" s="93"/>
      <c r="Z497" s="94"/>
      <c r="AA497" s="74"/>
      <c r="AB497" s="75"/>
      <c r="AC497" s="75"/>
      <c r="AD497" s="76"/>
      <c r="AE497" s="77"/>
      <c r="AF497" s="75"/>
      <c r="AG497" s="78"/>
      <c r="AH497" s="79"/>
      <c r="AI497" s="74"/>
      <c r="AJ497" s="75"/>
      <c r="AK497" s="75"/>
      <c r="AL497" s="80">
        <f t="shared" si="36"/>
        <v>0</v>
      </c>
      <c r="AM497" s="74"/>
      <c r="AN497" s="74"/>
      <c r="AO497" s="81" t="str">
        <f t="shared" si="37"/>
        <v/>
      </c>
      <c r="AP497" s="82"/>
      <c r="AQ497" s="75"/>
      <c r="AR497" s="75"/>
      <c r="AS497" s="80">
        <f t="shared" si="38"/>
        <v>0</v>
      </c>
      <c r="AT497" s="74"/>
      <c r="AU497" s="75"/>
      <c r="AV497" s="75"/>
      <c r="AW497" s="75"/>
      <c r="AX497" s="80">
        <f t="shared" si="39"/>
        <v>0</v>
      </c>
      <c r="AY497" s="81" t="str">
        <f t="shared" si="40"/>
        <v/>
      </c>
      <c r="AZ497" s="83" t="str">
        <f t="shared" si="41"/>
        <v/>
      </c>
      <c r="BA497" s="80" t="str">
        <f t="shared" si="42"/>
        <v/>
      </c>
      <c r="BB497" s="84">
        <f t="shared" si="43"/>
        <v>0</v>
      </c>
      <c r="BC497" s="85" t="str">
        <f t="shared" si="44"/>
        <v/>
      </c>
      <c r="BD497" s="86" t="str">
        <f t="shared" si="45"/>
        <v/>
      </c>
      <c r="BE497" s="84">
        <f t="shared" si="46"/>
        <v>0</v>
      </c>
      <c r="BF497" s="87" t="str">
        <f t="shared" si="47"/>
        <v/>
      </c>
      <c r="BG497" s="88" t="str">
        <f t="shared" si="48"/>
        <v/>
      </c>
      <c r="BH497" s="89" t="str">
        <f t="shared" si="49"/>
        <v/>
      </c>
      <c r="BI497" s="90" t="str">
        <f t="shared" si="50"/>
        <v/>
      </c>
      <c r="BJ497" s="90" t="str">
        <f t="shared" si="51"/>
        <v/>
      </c>
      <c r="BK497" s="91">
        <f t="shared" si="52"/>
        <v>0</v>
      </c>
      <c r="BL497" s="92">
        <f t="shared" si="53"/>
        <v>0</v>
      </c>
      <c r="BM497" s="95"/>
    </row>
    <row r="498" spans="1:65">
      <c r="A498" s="61">
        <f t="shared" si="54"/>
        <v>0</v>
      </c>
      <c r="B498" s="62"/>
      <c r="C498" s="62"/>
      <c r="D498" s="63"/>
      <c r="E498" s="64"/>
      <c r="F498" s="64"/>
      <c r="G498" s="65"/>
      <c r="H498" s="66" t="str">
        <f t="shared" si="31"/>
        <v/>
      </c>
      <c r="I498" s="67" t="str">
        <f t="shared" si="32"/>
        <v/>
      </c>
      <c r="J498" s="68" t="str">
        <f t="shared" si="33"/>
        <v/>
      </c>
      <c r="K498" s="69" t="str">
        <f t="shared" si="34"/>
        <v/>
      </c>
      <c r="L498" s="70" t="str">
        <f t="shared" si="35"/>
        <v/>
      </c>
      <c r="M498" s="71"/>
      <c r="N498" s="71"/>
      <c r="O498" s="71"/>
      <c r="P498" s="71"/>
      <c r="Q498" s="61"/>
      <c r="R498" s="63"/>
      <c r="S498" s="72"/>
      <c r="T498" s="61"/>
      <c r="U498" s="73"/>
      <c r="V498" s="62"/>
      <c r="W498" s="62"/>
      <c r="X498" s="62"/>
      <c r="Y498" s="93"/>
      <c r="Z498" s="94"/>
      <c r="AA498" s="74"/>
      <c r="AB498" s="75"/>
      <c r="AC498" s="75"/>
      <c r="AD498" s="76"/>
      <c r="AE498" s="77"/>
      <c r="AF498" s="75"/>
      <c r="AG498" s="78"/>
      <c r="AH498" s="79"/>
      <c r="AI498" s="74"/>
      <c r="AJ498" s="75"/>
      <c r="AK498" s="75"/>
      <c r="AL498" s="80">
        <f t="shared" si="36"/>
        <v>0</v>
      </c>
      <c r="AM498" s="74"/>
      <c r="AN498" s="74"/>
      <c r="AO498" s="81" t="str">
        <f t="shared" si="37"/>
        <v/>
      </c>
      <c r="AP498" s="82"/>
      <c r="AQ498" s="75"/>
      <c r="AR498" s="75"/>
      <c r="AS498" s="80">
        <f t="shared" si="38"/>
        <v>0</v>
      </c>
      <c r="AT498" s="74"/>
      <c r="AU498" s="75"/>
      <c r="AV498" s="75"/>
      <c r="AW498" s="75"/>
      <c r="AX498" s="80">
        <f t="shared" si="39"/>
        <v>0</v>
      </c>
      <c r="AY498" s="81" t="str">
        <f t="shared" si="40"/>
        <v/>
      </c>
      <c r="AZ498" s="83" t="str">
        <f t="shared" si="41"/>
        <v/>
      </c>
      <c r="BA498" s="80" t="str">
        <f t="shared" si="42"/>
        <v/>
      </c>
      <c r="BB498" s="84">
        <f t="shared" si="43"/>
        <v>0</v>
      </c>
      <c r="BC498" s="85" t="str">
        <f t="shared" si="44"/>
        <v/>
      </c>
      <c r="BD498" s="86" t="str">
        <f t="shared" si="45"/>
        <v/>
      </c>
      <c r="BE498" s="84">
        <f t="shared" si="46"/>
        <v>0</v>
      </c>
      <c r="BF498" s="87" t="str">
        <f t="shared" si="47"/>
        <v/>
      </c>
      <c r="BG498" s="88" t="str">
        <f t="shared" si="48"/>
        <v/>
      </c>
      <c r="BH498" s="89" t="str">
        <f t="shared" si="49"/>
        <v/>
      </c>
      <c r="BI498" s="90" t="str">
        <f t="shared" si="50"/>
        <v/>
      </c>
      <c r="BJ498" s="90" t="str">
        <f t="shared" si="51"/>
        <v/>
      </c>
      <c r="BK498" s="91">
        <f t="shared" si="52"/>
        <v>0</v>
      </c>
      <c r="BL498" s="92">
        <f t="shared" si="53"/>
        <v>0</v>
      </c>
      <c r="BM498" s="95"/>
    </row>
    <row r="499" spans="1:65">
      <c r="A499" s="61">
        <f t="shared" si="54"/>
        <v>0</v>
      </c>
      <c r="B499" s="62"/>
      <c r="C499" s="62"/>
      <c r="D499" s="63"/>
      <c r="E499" s="64"/>
      <c r="F499" s="64"/>
      <c r="G499" s="65"/>
      <c r="H499" s="66" t="str">
        <f t="shared" si="31"/>
        <v/>
      </c>
      <c r="I499" s="67" t="str">
        <f t="shared" si="32"/>
        <v/>
      </c>
      <c r="J499" s="68" t="str">
        <f t="shared" si="33"/>
        <v/>
      </c>
      <c r="K499" s="69" t="str">
        <f t="shared" si="34"/>
        <v/>
      </c>
      <c r="L499" s="70" t="str">
        <f t="shared" si="35"/>
        <v/>
      </c>
      <c r="M499" s="71"/>
      <c r="N499" s="71"/>
      <c r="O499" s="71"/>
      <c r="P499" s="71"/>
      <c r="Q499" s="61"/>
      <c r="R499" s="63"/>
      <c r="S499" s="72"/>
      <c r="T499" s="61"/>
      <c r="U499" s="73"/>
      <c r="V499" s="62"/>
      <c r="W499" s="62"/>
      <c r="X499" s="62"/>
      <c r="Y499" s="93"/>
      <c r="Z499" s="94"/>
      <c r="AA499" s="74"/>
      <c r="AB499" s="75"/>
      <c r="AC499" s="75"/>
      <c r="AD499" s="76"/>
      <c r="AE499" s="77"/>
      <c r="AF499" s="75"/>
      <c r="AG499" s="78"/>
      <c r="AH499" s="79"/>
      <c r="AI499" s="74"/>
      <c r="AJ499" s="75"/>
      <c r="AK499" s="75"/>
      <c r="AL499" s="80">
        <f t="shared" si="36"/>
        <v>0</v>
      </c>
      <c r="AM499" s="74"/>
      <c r="AN499" s="74"/>
      <c r="AO499" s="81" t="str">
        <f t="shared" si="37"/>
        <v/>
      </c>
      <c r="AP499" s="82"/>
      <c r="AQ499" s="75"/>
      <c r="AR499" s="75"/>
      <c r="AS499" s="80">
        <f t="shared" si="38"/>
        <v>0</v>
      </c>
      <c r="AT499" s="74"/>
      <c r="AU499" s="75"/>
      <c r="AV499" s="75"/>
      <c r="AW499" s="75"/>
      <c r="AX499" s="80">
        <f t="shared" si="39"/>
        <v>0</v>
      </c>
      <c r="AY499" s="81" t="str">
        <f t="shared" si="40"/>
        <v/>
      </c>
      <c r="AZ499" s="83" t="str">
        <f t="shared" si="41"/>
        <v/>
      </c>
      <c r="BA499" s="80" t="str">
        <f t="shared" si="42"/>
        <v/>
      </c>
      <c r="BB499" s="84">
        <f t="shared" si="43"/>
        <v>0</v>
      </c>
      <c r="BC499" s="85" t="str">
        <f t="shared" si="44"/>
        <v/>
      </c>
      <c r="BD499" s="86" t="str">
        <f t="shared" si="45"/>
        <v/>
      </c>
      <c r="BE499" s="84">
        <f t="shared" si="46"/>
        <v>0</v>
      </c>
      <c r="BF499" s="87" t="str">
        <f t="shared" si="47"/>
        <v/>
      </c>
      <c r="BG499" s="88" t="str">
        <f t="shared" si="48"/>
        <v/>
      </c>
      <c r="BH499" s="89" t="str">
        <f t="shared" si="49"/>
        <v/>
      </c>
      <c r="BI499" s="90" t="str">
        <f t="shared" si="50"/>
        <v/>
      </c>
      <c r="BJ499" s="90" t="str">
        <f t="shared" si="51"/>
        <v/>
      </c>
      <c r="BK499" s="91">
        <f t="shared" si="52"/>
        <v>0</v>
      </c>
      <c r="BL499" s="92">
        <f t="shared" si="53"/>
        <v>0</v>
      </c>
      <c r="BM499" s="95"/>
    </row>
    <row r="500" spans="1:65">
      <c r="A500" s="61">
        <f t="shared" si="54"/>
        <v>0</v>
      </c>
      <c r="B500" s="62"/>
      <c r="C500" s="62"/>
      <c r="D500" s="63"/>
      <c r="E500" s="64"/>
      <c r="F500" s="64"/>
      <c r="G500" s="65"/>
      <c r="H500" s="66" t="str">
        <f t="shared" si="31"/>
        <v/>
      </c>
      <c r="I500" s="67" t="str">
        <f t="shared" si="32"/>
        <v/>
      </c>
      <c r="J500" s="68" t="str">
        <f t="shared" si="33"/>
        <v/>
      </c>
      <c r="K500" s="69" t="str">
        <f t="shared" si="34"/>
        <v/>
      </c>
      <c r="L500" s="70" t="str">
        <f t="shared" si="35"/>
        <v/>
      </c>
      <c r="M500" s="71"/>
      <c r="N500" s="71"/>
      <c r="O500" s="71"/>
      <c r="P500" s="71"/>
      <c r="Q500" s="61"/>
      <c r="R500" s="63"/>
      <c r="S500" s="72"/>
      <c r="T500" s="61"/>
      <c r="U500" s="73"/>
      <c r="V500" s="62"/>
      <c r="W500" s="62"/>
      <c r="X500" s="62"/>
      <c r="Y500" s="93"/>
      <c r="Z500" s="94"/>
      <c r="AA500" s="74"/>
      <c r="AB500" s="75"/>
      <c r="AC500" s="75"/>
      <c r="AD500" s="76"/>
      <c r="AE500" s="77"/>
      <c r="AF500" s="75"/>
      <c r="AG500" s="78"/>
      <c r="AH500" s="79"/>
      <c r="AI500" s="74"/>
      <c r="AJ500" s="75"/>
      <c r="AK500" s="75"/>
      <c r="AL500" s="80">
        <f t="shared" si="36"/>
        <v>0</v>
      </c>
      <c r="AM500" s="74"/>
      <c r="AN500" s="74"/>
      <c r="AO500" s="81" t="str">
        <f t="shared" si="37"/>
        <v/>
      </c>
      <c r="AP500" s="82"/>
      <c r="AQ500" s="75"/>
      <c r="AR500" s="75"/>
      <c r="AS500" s="80">
        <f t="shared" si="38"/>
        <v>0</v>
      </c>
      <c r="AT500" s="74"/>
      <c r="AU500" s="75"/>
      <c r="AV500" s="75"/>
      <c r="AW500" s="75"/>
      <c r="AX500" s="80">
        <f t="shared" si="39"/>
        <v>0</v>
      </c>
      <c r="AY500" s="81" t="str">
        <f t="shared" si="40"/>
        <v/>
      </c>
      <c r="AZ500" s="83" t="str">
        <f t="shared" si="41"/>
        <v/>
      </c>
      <c r="BA500" s="80" t="str">
        <f t="shared" si="42"/>
        <v/>
      </c>
      <c r="BB500" s="84">
        <f t="shared" si="43"/>
        <v>0</v>
      </c>
      <c r="BC500" s="85" t="str">
        <f t="shared" si="44"/>
        <v/>
      </c>
      <c r="BD500" s="86" t="str">
        <f t="shared" si="45"/>
        <v/>
      </c>
      <c r="BE500" s="84">
        <f t="shared" si="46"/>
        <v>0</v>
      </c>
      <c r="BF500" s="87" t="str">
        <f t="shared" si="47"/>
        <v/>
      </c>
      <c r="BG500" s="88" t="str">
        <f t="shared" si="48"/>
        <v/>
      </c>
      <c r="BH500" s="89" t="str">
        <f t="shared" si="49"/>
        <v/>
      </c>
      <c r="BI500" s="90" t="str">
        <f t="shared" si="50"/>
        <v/>
      </c>
      <c r="BJ500" s="90" t="str">
        <f t="shared" si="51"/>
        <v/>
      </c>
      <c r="BK500" s="91">
        <f t="shared" si="52"/>
        <v>0</v>
      </c>
      <c r="BL500" s="92">
        <f t="shared" si="53"/>
        <v>0</v>
      </c>
      <c r="BM500" s="95"/>
    </row>
    <row r="501" spans="1:65">
      <c r="A501" s="61">
        <f t="shared" si="54"/>
        <v>0</v>
      </c>
      <c r="B501" s="62"/>
      <c r="C501" s="62"/>
      <c r="D501" s="63"/>
      <c r="E501" s="64"/>
      <c r="F501" s="64"/>
      <c r="G501" s="65"/>
      <c r="H501" s="66" t="str">
        <f t="shared" si="31"/>
        <v/>
      </c>
      <c r="I501" s="67" t="str">
        <f t="shared" si="32"/>
        <v/>
      </c>
      <c r="J501" s="68" t="str">
        <f t="shared" si="33"/>
        <v/>
      </c>
      <c r="K501" s="69" t="str">
        <f t="shared" si="34"/>
        <v/>
      </c>
      <c r="L501" s="70" t="str">
        <f t="shared" si="35"/>
        <v/>
      </c>
      <c r="M501" s="71"/>
      <c r="N501" s="71"/>
      <c r="O501" s="71"/>
      <c r="P501" s="71"/>
      <c r="Q501" s="61"/>
      <c r="R501" s="63"/>
      <c r="S501" s="72"/>
      <c r="T501" s="61"/>
      <c r="U501" s="73"/>
      <c r="V501" s="62"/>
      <c r="W501" s="62"/>
      <c r="X501" s="62"/>
      <c r="Y501" s="93"/>
      <c r="Z501" s="94"/>
      <c r="AA501" s="74"/>
      <c r="AB501" s="75"/>
      <c r="AC501" s="75"/>
      <c r="AD501" s="76"/>
      <c r="AE501" s="77"/>
      <c r="AF501" s="75"/>
      <c r="AG501" s="78"/>
      <c r="AH501" s="79"/>
      <c r="AI501" s="74"/>
      <c r="AJ501" s="75"/>
      <c r="AK501" s="75"/>
      <c r="AL501" s="80">
        <f t="shared" si="36"/>
        <v>0</v>
      </c>
      <c r="AM501" s="74"/>
      <c r="AN501" s="74"/>
      <c r="AO501" s="81" t="str">
        <f t="shared" si="37"/>
        <v/>
      </c>
      <c r="AP501" s="82"/>
      <c r="AQ501" s="75"/>
      <c r="AR501" s="75"/>
      <c r="AS501" s="80">
        <f t="shared" si="38"/>
        <v>0</v>
      </c>
      <c r="AT501" s="74"/>
      <c r="AU501" s="75"/>
      <c r="AV501" s="75"/>
      <c r="AW501" s="75"/>
      <c r="AX501" s="80">
        <f t="shared" si="39"/>
        <v>0</v>
      </c>
      <c r="AY501" s="81" t="str">
        <f t="shared" si="40"/>
        <v/>
      </c>
      <c r="AZ501" s="83" t="str">
        <f t="shared" si="41"/>
        <v/>
      </c>
      <c r="BA501" s="80" t="str">
        <f t="shared" si="42"/>
        <v/>
      </c>
      <c r="BB501" s="84">
        <f t="shared" si="43"/>
        <v>0</v>
      </c>
      <c r="BC501" s="85" t="str">
        <f t="shared" si="44"/>
        <v/>
      </c>
      <c r="BD501" s="86" t="str">
        <f t="shared" si="45"/>
        <v/>
      </c>
      <c r="BE501" s="84">
        <f t="shared" si="46"/>
        <v>0</v>
      </c>
      <c r="BF501" s="87" t="str">
        <f t="shared" si="47"/>
        <v/>
      </c>
      <c r="BG501" s="88" t="str">
        <f t="shared" si="48"/>
        <v/>
      </c>
      <c r="BH501" s="89" t="str">
        <f t="shared" si="49"/>
        <v/>
      </c>
      <c r="BI501" s="90" t="str">
        <f t="shared" si="50"/>
        <v/>
      </c>
      <c r="BJ501" s="90" t="str">
        <f t="shared" si="51"/>
        <v/>
      </c>
      <c r="BK501" s="91">
        <f t="shared" si="52"/>
        <v>0</v>
      </c>
      <c r="BL501" s="92">
        <f t="shared" si="53"/>
        <v>0</v>
      </c>
      <c r="BM501" s="95"/>
    </row>
    <row r="502" spans="1:65">
      <c r="A502" s="61">
        <f t="shared" si="54"/>
        <v>0</v>
      </c>
      <c r="B502" s="62"/>
      <c r="C502" s="62"/>
      <c r="D502" s="63"/>
      <c r="E502" s="64"/>
      <c r="F502" s="64"/>
      <c r="G502" s="65"/>
      <c r="H502" s="66" t="str">
        <f t="shared" si="31"/>
        <v/>
      </c>
      <c r="I502" s="67" t="str">
        <f t="shared" si="32"/>
        <v/>
      </c>
      <c r="J502" s="68" t="str">
        <f t="shared" si="33"/>
        <v/>
      </c>
      <c r="K502" s="69" t="str">
        <f t="shared" si="34"/>
        <v/>
      </c>
      <c r="L502" s="70" t="str">
        <f t="shared" si="35"/>
        <v/>
      </c>
      <c r="M502" s="71"/>
      <c r="N502" s="71"/>
      <c r="O502" s="71"/>
      <c r="P502" s="71"/>
      <c r="Q502" s="61"/>
      <c r="R502" s="63"/>
      <c r="S502" s="72"/>
      <c r="T502" s="61"/>
      <c r="U502" s="73"/>
      <c r="V502" s="62"/>
      <c r="W502" s="62"/>
      <c r="X502" s="62"/>
      <c r="Y502" s="93"/>
      <c r="Z502" s="94"/>
      <c r="AA502" s="74"/>
      <c r="AB502" s="75"/>
      <c r="AC502" s="75"/>
      <c r="AD502" s="76"/>
      <c r="AE502" s="77"/>
      <c r="AF502" s="75"/>
      <c r="AG502" s="78"/>
      <c r="AH502" s="79"/>
      <c r="AI502" s="74"/>
      <c r="AJ502" s="75"/>
      <c r="AK502" s="75"/>
      <c r="AL502" s="80">
        <f t="shared" si="36"/>
        <v>0</v>
      </c>
      <c r="AM502" s="74"/>
      <c r="AN502" s="74"/>
      <c r="AO502" s="81" t="str">
        <f t="shared" si="37"/>
        <v/>
      </c>
      <c r="AP502" s="82"/>
      <c r="AQ502" s="75"/>
      <c r="AR502" s="75"/>
      <c r="AS502" s="80">
        <f t="shared" si="38"/>
        <v>0</v>
      </c>
      <c r="AT502" s="74"/>
      <c r="AU502" s="75"/>
      <c r="AV502" s="75"/>
      <c r="AW502" s="75"/>
      <c r="AX502" s="80">
        <f t="shared" si="39"/>
        <v>0</v>
      </c>
      <c r="AY502" s="81" t="str">
        <f t="shared" si="40"/>
        <v/>
      </c>
      <c r="AZ502" s="83" t="str">
        <f t="shared" si="41"/>
        <v/>
      </c>
      <c r="BA502" s="80" t="str">
        <f t="shared" si="42"/>
        <v/>
      </c>
      <c r="BB502" s="84">
        <f t="shared" si="43"/>
        <v>0</v>
      </c>
      <c r="BC502" s="85" t="str">
        <f t="shared" si="44"/>
        <v/>
      </c>
      <c r="BD502" s="86" t="str">
        <f t="shared" si="45"/>
        <v/>
      </c>
      <c r="BE502" s="84">
        <f t="shared" si="46"/>
        <v>0</v>
      </c>
      <c r="BF502" s="87" t="str">
        <f t="shared" si="47"/>
        <v/>
      </c>
      <c r="BG502" s="88" t="str">
        <f t="shared" si="48"/>
        <v/>
      </c>
      <c r="BH502" s="89" t="str">
        <f t="shared" si="49"/>
        <v/>
      </c>
      <c r="BI502" s="90" t="str">
        <f t="shared" si="50"/>
        <v/>
      </c>
      <c r="BJ502" s="90" t="str">
        <f t="shared" si="51"/>
        <v/>
      </c>
      <c r="BK502" s="91">
        <f t="shared" si="52"/>
        <v>0</v>
      </c>
      <c r="BL502" s="92">
        <f t="shared" si="53"/>
        <v>0</v>
      </c>
      <c r="BM502" s="95"/>
    </row>
    <row r="503" spans="1:65">
      <c r="A503" s="61">
        <f t="shared" si="54"/>
        <v>0</v>
      </c>
      <c r="B503" s="62"/>
      <c r="C503" s="62"/>
      <c r="D503" s="63"/>
      <c r="E503" s="64"/>
      <c r="F503" s="64"/>
      <c r="G503" s="65"/>
      <c r="H503" s="66" t="str">
        <f t="shared" si="31"/>
        <v/>
      </c>
      <c r="I503" s="67" t="str">
        <f t="shared" si="32"/>
        <v/>
      </c>
      <c r="J503" s="68" t="str">
        <f t="shared" si="33"/>
        <v/>
      </c>
      <c r="K503" s="69" t="str">
        <f t="shared" si="34"/>
        <v/>
      </c>
      <c r="L503" s="70" t="str">
        <f t="shared" si="35"/>
        <v/>
      </c>
      <c r="M503" s="71"/>
      <c r="N503" s="71"/>
      <c r="O503" s="71"/>
      <c r="P503" s="71"/>
      <c r="Q503" s="61"/>
      <c r="R503" s="63"/>
      <c r="S503" s="72"/>
      <c r="T503" s="61"/>
      <c r="U503" s="73"/>
      <c r="V503" s="62"/>
      <c r="W503" s="62"/>
      <c r="X503" s="62"/>
      <c r="Y503" s="93"/>
      <c r="Z503" s="94"/>
      <c r="AA503" s="74"/>
      <c r="AB503" s="75"/>
      <c r="AC503" s="75"/>
      <c r="AD503" s="76"/>
      <c r="AE503" s="77"/>
      <c r="AF503" s="75"/>
      <c r="AG503" s="78"/>
      <c r="AH503" s="79"/>
      <c r="AI503" s="74"/>
      <c r="AJ503" s="75"/>
      <c r="AK503" s="75"/>
      <c r="AL503" s="80">
        <f t="shared" si="36"/>
        <v>0</v>
      </c>
      <c r="AM503" s="74"/>
      <c r="AN503" s="74"/>
      <c r="AO503" s="81" t="str">
        <f t="shared" si="37"/>
        <v/>
      </c>
      <c r="AP503" s="82"/>
      <c r="AQ503" s="75"/>
      <c r="AR503" s="75"/>
      <c r="AS503" s="80">
        <f t="shared" si="38"/>
        <v>0</v>
      </c>
      <c r="AT503" s="74"/>
      <c r="AU503" s="75"/>
      <c r="AV503" s="75"/>
      <c r="AW503" s="75"/>
      <c r="AX503" s="80">
        <f t="shared" si="39"/>
        <v>0</v>
      </c>
      <c r="AY503" s="81" t="str">
        <f t="shared" si="40"/>
        <v/>
      </c>
      <c r="AZ503" s="83" t="str">
        <f t="shared" si="41"/>
        <v/>
      </c>
      <c r="BA503" s="80" t="str">
        <f t="shared" si="42"/>
        <v/>
      </c>
      <c r="BB503" s="84">
        <f t="shared" si="43"/>
        <v>0</v>
      </c>
      <c r="BC503" s="85" t="str">
        <f t="shared" si="44"/>
        <v/>
      </c>
      <c r="BD503" s="86" t="str">
        <f t="shared" si="45"/>
        <v/>
      </c>
      <c r="BE503" s="84">
        <f t="shared" si="46"/>
        <v>0</v>
      </c>
      <c r="BF503" s="87" t="str">
        <f t="shared" si="47"/>
        <v/>
      </c>
      <c r="BG503" s="88" t="str">
        <f t="shared" si="48"/>
        <v/>
      </c>
      <c r="BH503" s="89" t="str">
        <f t="shared" si="49"/>
        <v/>
      </c>
      <c r="BI503" s="90" t="str">
        <f t="shared" si="50"/>
        <v/>
      </c>
      <c r="BJ503" s="90" t="str">
        <f t="shared" si="51"/>
        <v/>
      </c>
      <c r="BK503" s="91">
        <f t="shared" si="52"/>
        <v>0</v>
      </c>
      <c r="BL503" s="92">
        <f t="shared" si="53"/>
        <v>0</v>
      </c>
      <c r="BM503" s="95"/>
    </row>
    <row r="504" spans="1:65">
      <c r="A504" s="61">
        <f t="shared" si="54"/>
        <v>0</v>
      </c>
      <c r="B504" s="62"/>
      <c r="C504" s="62"/>
      <c r="D504" s="63"/>
      <c r="E504" s="64"/>
      <c r="F504" s="64"/>
      <c r="G504" s="65"/>
      <c r="H504" s="66" t="str">
        <f t="shared" si="31"/>
        <v/>
      </c>
      <c r="I504" s="67" t="str">
        <f t="shared" si="32"/>
        <v/>
      </c>
      <c r="J504" s="68" t="str">
        <f t="shared" si="33"/>
        <v/>
      </c>
      <c r="K504" s="69" t="str">
        <f t="shared" si="34"/>
        <v/>
      </c>
      <c r="L504" s="70" t="str">
        <f t="shared" si="35"/>
        <v/>
      </c>
      <c r="M504" s="71"/>
      <c r="N504" s="71"/>
      <c r="O504" s="71"/>
      <c r="P504" s="71"/>
      <c r="Q504" s="61"/>
      <c r="R504" s="63"/>
      <c r="S504" s="72"/>
      <c r="T504" s="61"/>
      <c r="U504" s="73"/>
      <c r="V504" s="62"/>
      <c r="W504" s="62"/>
      <c r="X504" s="62"/>
      <c r="Y504" s="93"/>
      <c r="Z504" s="94"/>
      <c r="AA504" s="74"/>
      <c r="AB504" s="75"/>
      <c r="AC504" s="75"/>
      <c r="AD504" s="76"/>
      <c r="AE504" s="77"/>
      <c r="AF504" s="75"/>
      <c r="AG504" s="78"/>
      <c r="AH504" s="79"/>
      <c r="AI504" s="74"/>
      <c r="AJ504" s="75"/>
      <c r="AK504" s="75"/>
      <c r="AL504" s="80">
        <f t="shared" si="36"/>
        <v>0</v>
      </c>
      <c r="AM504" s="74"/>
      <c r="AN504" s="74"/>
      <c r="AO504" s="81" t="str">
        <f t="shared" si="37"/>
        <v/>
      </c>
      <c r="AP504" s="82"/>
      <c r="AQ504" s="75"/>
      <c r="AR504" s="75"/>
      <c r="AS504" s="80">
        <f t="shared" si="38"/>
        <v>0</v>
      </c>
      <c r="AT504" s="74"/>
      <c r="AU504" s="75"/>
      <c r="AV504" s="75"/>
      <c r="AW504" s="75"/>
      <c r="AX504" s="80">
        <f t="shared" si="39"/>
        <v>0</v>
      </c>
      <c r="AY504" s="81" t="str">
        <f t="shared" si="40"/>
        <v/>
      </c>
      <c r="AZ504" s="83" t="str">
        <f t="shared" si="41"/>
        <v/>
      </c>
      <c r="BA504" s="80" t="str">
        <f t="shared" si="42"/>
        <v/>
      </c>
      <c r="BB504" s="84">
        <f t="shared" si="43"/>
        <v>0</v>
      </c>
      <c r="BC504" s="85" t="str">
        <f t="shared" si="44"/>
        <v/>
      </c>
      <c r="BD504" s="86" t="str">
        <f t="shared" si="45"/>
        <v/>
      </c>
      <c r="BE504" s="84">
        <f t="shared" si="46"/>
        <v>0</v>
      </c>
      <c r="BF504" s="87" t="str">
        <f t="shared" si="47"/>
        <v/>
      </c>
      <c r="BG504" s="88" t="str">
        <f t="shared" si="48"/>
        <v/>
      </c>
      <c r="BH504" s="89" t="str">
        <f t="shared" si="49"/>
        <v/>
      </c>
      <c r="BI504" s="90" t="str">
        <f t="shared" si="50"/>
        <v/>
      </c>
      <c r="BJ504" s="90" t="str">
        <f t="shared" si="51"/>
        <v/>
      </c>
      <c r="BK504" s="91">
        <f t="shared" si="52"/>
        <v>0</v>
      </c>
      <c r="BL504" s="92">
        <f t="shared" si="53"/>
        <v>0</v>
      </c>
      <c r="BM504" s="95"/>
    </row>
    <row r="505" spans="1:65">
      <c r="A505" s="61">
        <f t="shared" si="54"/>
        <v>0</v>
      </c>
      <c r="B505" s="62"/>
      <c r="C505" s="62"/>
      <c r="D505" s="63"/>
      <c r="E505" s="64"/>
      <c r="F505" s="64"/>
      <c r="G505" s="65"/>
      <c r="H505" s="66" t="str">
        <f t="shared" si="31"/>
        <v/>
      </c>
      <c r="I505" s="67" t="str">
        <f t="shared" si="32"/>
        <v/>
      </c>
      <c r="J505" s="68" t="str">
        <f t="shared" si="33"/>
        <v/>
      </c>
      <c r="K505" s="69" t="str">
        <f t="shared" si="34"/>
        <v/>
      </c>
      <c r="L505" s="70" t="str">
        <f t="shared" si="35"/>
        <v/>
      </c>
      <c r="M505" s="71"/>
      <c r="N505" s="71"/>
      <c r="O505" s="71"/>
      <c r="P505" s="71"/>
      <c r="Q505" s="61"/>
      <c r="R505" s="63"/>
      <c r="S505" s="72"/>
      <c r="T505" s="61"/>
      <c r="U505" s="73"/>
      <c r="V505" s="62"/>
      <c r="W505" s="62"/>
      <c r="X505" s="62"/>
      <c r="Y505" s="93"/>
      <c r="Z505" s="94"/>
      <c r="AA505" s="74"/>
      <c r="AB505" s="75"/>
      <c r="AC505" s="75"/>
      <c r="AD505" s="76"/>
      <c r="AE505" s="77"/>
      <c r="AF505" s="75"/>
      <c r="AG505" s="78"/>
      <c r="AH505" s="79"/>
      <c r="AI505" s="74"/>
      <c r="AJ505" s="75"/>
      <c r="AK505" s="75"/>
      <c r="AL505" s="80">
        <f t="shared" si="36"/>
        <v>0</v>
      </c>
      <c r="AM505" s="74"/>
      <c r="AN505" s="74"/>
      <c r="AO505" s="81" t="str">
        <f t="shared" si="37"/>
        <v/>
      </c>
      <c r="AP505" s="82"/>
      <c r="AQ505" s="75"/>
      <c r="AR505" s="75"/>
      <c r="AS505" s="80">
        <f t="shared" si="38"/>
        <v>0</v>
      </c>
      <c r="AT505" s="74"/>
      <c r="AU505" s="75"/>
      <c r="AV505" s="75"/>
      <c r="AW505" s="75"/>
      <c r="AX505" s="80">
        <f t="shared" si="39"/>
        <v>0</v>
      </c>
      <c r="AY505" s="81" t="str">
        <f t="shared" si="40"/>
        <v/>
      </c>
      <c r="AZ505" s="83" t="str">
        <f t="shared" si="41"/>
        <v/>
      </c>
      <c r="BA505" s="80" t="str">
        <f t="shared" si="42"/>
        <v/>
      </c>
      <c r="BB505" s="84">
        <f t="shared" si="43"/>
        <v>0</v>
      </c>
      <c r="BC505" s="85" t="str">
        <f t="shared" si="44"/>
        <v/>
      </c>
      <c r="BD505" s="86" t="str">
        <f t="shared" si="45"/>
        <v/>
      </c>
      <c r="BE505" s="84">
        <f t="shared" si="46"/>
        <v>0</v>
      </c>
      <c r="BF505" s="87" t="str">
        <f t="shared" si="47"/>
        <v/>
      </c>
      <c r="BG505" s="88" t="str">
        <f t="shared" si="48"/>
        <v/>
      </c>
      <c r="BH505" s="89" t="str">
        <f t="shared" si="49"/>
        <v/>
      </c>
      <c r="BI505" s="90" t="str">
        <f t="shared" si="50"/>
        <v/>
      </c>
      <c r="BJ505" s="90" t="str">
        <f t="shared" si="51"/>
        <v/>
      </c>
      <c r="BK505" s="91">
        <f t="shared" si="52"/>
        <v>0</v>
      </c>
      <c r="BL505" s="92">
        <f t="shared" si="53"/>
        <v>0</v>
      </c>
      <c r="BM505" s="95"/>
    </row>
    <row r="506" spans="1:65">
      <c r="A506" s="61">
        <f t="shared" si="54"/>
        <v>0</v>
      </c>
      <c r="B506" s="62"/>
      <c r="C506" s="62"/>
      <c r="D506" s="63"/>
      <c r="E506" s="64"/>
      <c r="F506" s="64"/>
      <c r="G506" s="65"/>
      <c r="H506" s="66" t="str">
        <f t="shared" si="31"/>
        <v/>
      </c>
      <c r="I506" s="67" t="str">
        <f t="shared" si="32"/>
        <v/>
      </c>
      <c r="J506" s="68" t="str">
        <f t="shared" si="33"/>
        <v/>
      </c>
      <c r="K506" s="69" t="str">
        <f t="shared" si="34"/>
        <v/>
      </c>
      <c r="L506" s="70" t="str">
        <f t="shared" si="35"/>
        <v/>
      </c>
      <c r="M506" s="71"/>
      <c r="N506" s="71"/>
      <c r="O506" s="71"/>
      <c r="P506" s="71"/>
      <c r="Q506" s="61"/>
      <c r="R506" s="63"/>
      <c r="S506" s="72"/>
      <c r="T506" s="61"/>
      <c r="U506" s="73"/>
      <c r="V506" s="62"/>
      <c r="W506" s="62"/>
      <c r="X506" s="62"/>
      <c r="Y506" s="93"/>
      <c r="Z506" s="94"/>
      <c r="AA506" s="74"/>
      <c r="AB506" s="75"/>
      <c r="AC506" s="75"/>
      <c r="AD506" s="76"/>
      <c r="AE506" s="77"/>
      <c r="AF506" s="75"/>
      <c r="AG506" s="78"/>
      <c r="AH506" s="79"/>
      <c r="AI506" s="74"/>
      <c r="AJ506" s="75"/>
      <c r="AK506" s="75"/>
      <c r="AL506" s="80">
        <f t="shared" si="36"/>
        <v>0</v>
      </c>
      <c r="AM506" s="74"/>
      <c r="AN506" s="74"/>
      <c r="AO506" s="81" t="str">
        <f t="shared" si="37"/>
        <v/>
      </c>
      <c r="AP506" s="82"/>
      <c r="AQ506" s="75"/>
      <c r="AR506" s="75"/>
      <c r="AS506" s="80">
        <f t="shared" si="38"/>
        <v>0</v>
      </c>
      <c r="AT506" s="74"/>
      <c r="AU506" s="75"/>
      <c r="AV506" s="75"/>
      <c r="AW506" s="75"/>
      <c r="AX506" s="80">
        <f t="shared" si="39"/>
        <v>0</v>
      </c>
      <c r="AY506" s="81" t="str">
        <f t="shared" si="40"/>
        <v/>
      </c>
      <c r="AZ506" s="83" t="str">
        <f t="shared" si="41"/>
        <v/>
      </c>
      <c r="BA506" s="80" t="str">
        <f t="shared" si="42"/>
        <v/>
      </c>
      <c r="BB506" s="84">
        <f t="shared" si="43"/>
        <v>0</v>
      </c>
      <c r="BC506" s="85" t="str">
        <f t="shared" si="44"/>
        <v/>
      </c>
      <c r="BD506" s="86" t="str">
        <f t="shared" si="45"/>
        <v/>
      </c>
      <c r="BE506" s="84">
        <f t="shared" si="46"/>
        <v>0</v>
      </c>
      <c r="BF506" s="87" t="str">
        <f t="shared" si="47"/>
        <v/>
      </c>
      <c r="BG506" s="88" t="str">
        <f t="shared" si="48"/>
        <v/>
      </c>
      <c r="BH506" s="89" t="str">
        <f t="shared" si="49"/>
        <v/>
      </c>
      <c r="BI506" s="90" t="str">
        <f t="shared" si="50"/>
        <v/>
      </c>
      <c r="BJ506" s="90" t="str">
        <f t="shared" si="51"/>
        <v/>
      </c>
      <c r="BK506" s="91">
        <f t="shared" si="52"/>
        <v>0</v>
      </c>
      <c r="BL506" s="92">
        <f t="shared" si="53"/>
        <v>0</v>
      </c>
      <c r="BM506" s="95"/>
    </row>
    <row r="507" spans="1:65">
      <c r="A507" s="61">
        <f t="shared" si="54"/>
        <v>0</v>
      </c>
      <c r="B507" s="62"/>
      <c r="C507" s="62"/>
      <c r="D507" s="63"/>
      <c r="E507" s="64"/>
      <c r="F507" s="64"/>
      <c r="G507" s="65"/>
      <c r="H507" s="66" t="str">
        <f t="shared" si="31"/>
        <v/>
      </c>
      <c r="I507" s="67" t="str">
        <f t="shared" si="32"/>
        <v/>
      </c>
      <c r="J507" s="68" t="str">
        <f t="shared" si="33"/>
        <v/>
      </c>
      <c r="K507" s="69" t="str">
        <f t="shared" si="34"/>
        <v/>
      </c>
      <c r="L507" s="70" t="str">
        <f t="shared" si="35"/>
        <v/>
      </c>
      <c r="M507" s="71"/>
      <c r="N507" s="71"/>
      <c r="O507" s="71"/>
      <c r="P507" s="71"/>
      <c r="Q507" s="61"/>
      <c r="R507" s="63"/>
      <c r="S507" s="72"/>
      <c r="T507" s="61"/>
      <c r="U507" s="73"/>
      <c r="V507" s="62"/>
      <c r="W507" s="62"/>
      <c r="X507" s="62"/>
      <c r="Y507" s="93"/>
      <c r="Z507" s="94"/>
      <c r="AA507" s="74"/>
      <c r="AB507" s="75"/>
      <c r="AC507" s="75"/>
      <c r="AD507" s="76"/>
      <c r="AE507" s="77"/>
      <c r="AF507" s="75"/>
      <c r="AG507" s="78"/>
      <c r="AH507" s="79"/>
      <c r="AI507" s="74"/>
      <c r="AJ507" s="75"/>
      <c r="AK507" s="75"/>
      <c r="AL507" s="80">
        <f t="shared" si="36"/>
        <v>0</v>
      </c>
      <c r="AM507" s="74"/>
      <c r="AN507" s="74"/>
      <c r="AO507" s="81" t="str">
        <f t="shared" si="37"/>
        <v/>
      </c>
      <c r="AP507" s="82"/>
      <c r="AQ507" s="75"/>
      <c r="AR507" s="75"/>
      <c r="AS507" s="80">
        <f t="shared" si="38"/>
        <v>0</v>
      </c>
      <c r="AT507" s="74"/>
      <c r="AU507" s="75"/>
      <c r="AV507" s="75"/>
      <c r="AW507" s="75"/>
      <c r="AX507" s="80">
        <f t="shared" si="39"/>
        <v>0</v>
      </c>
      <c r="AY507" s="81" t="str">
        <f t="shared" si="40"/>
        <v/>
      </c>
      <c r="AZ507" s="83" t="str">
        <f t="shared" si="41"/>
        <v/>
      </c>
      <c r="BA507" s="80" t="str">
        <f t="shared" si="42"/>
        <v/>
      </c>
      <c r="BB507" s="84">
        <f t="shared" si="43"/>
        <v>0</v>
      </c>
      <c r="BC507" s="85" t="str">
        <f t="shared" si="44"/>
        <v/>
      </c>
      <c r="BD507" s="86" t="str">
        <f t="shared" si="45"/>
        <v/>
      </c>
      <c r="BE507" s="84">
        <f t="shared" si="46"/>
        <v>0</v>
      </c>
      <c r="BF507" s="87" t="str">
        <f t="shared" si="47"/>
        <v/>
      </c>
      <c r="BG507" s="88" t="str">
        <f t="shared" si="48"/>
        <v/>
      </c>
      <c r="BH507" s="89" t="str">
        <f t="shared" si="49"/>
        <v/>
      </c>
      <c r="BI507" s="90" t="str">
        <f t="shared" si="50"/>
        <v/>
      </c>
      <c r="BJ507" s="90" t="str">
        <f t="shared" si="51"/>
        <v/>
      </c>
      <c r="BK507" s="91">
        <f t="shared" si="52"/>
        <v>0</v>
      </c>
      <c r="BL507" s="92">
        <f t="shared" si="53"/>
        <v>0</v>
      </c>
      <c r="BM507" s="95"/>
    </row>
    <row r="508" spans="1:65">
      <c r="A508" s="61">
        <f t="shared" si="54"/>
        <v>0</v>
      </c>
      <c r="B508" s="62"/>
      <c r="C508" s="62"/>
      <c r="D508" s="63"/>
      <c r="E508" s="64"/>
      <c r="F508" s="64"/>
      <c r="G508" s="65"/>
      <c r="H508" s="66" t="str">
        <f t="shared" si="31"/>
        <v/>
      </c>
      <c r="I508" s="67" t="str">
        <f t="shared" si="32"/>
        <v/>
      </c>
      <c r="J508" s="68" t="str">
        <f t="shared" si="33"/>
        <v/>
      </c>
      <c r="K508" s="69" t="str">
        <f t="shared" si="34"/>
        <v/>
      </c>
      <c r="L508" s="70" t="str">
        <f t="shared" si="35"/>
        <v/>
      </c>
      <c r="M508" s="71"/>
      <c r="N508" s="71"/>
      <c r="O508" s="71"/>
      <c r="P508" s="71"/>
      <c r="Q508" s="61"/>
      <c r="R508" s="63"/>
      <c r="S508" s="72"/>
      <c r="T508" s="61"/>
      <c r="U508" s="73"/>
      <c r="V508" s="62"/>
      <c r="W508" s="62"/>
      <c r="X508" s="62"/>
      <c r="Y508" s="93"/>
      <c r="Z508" s="94"/>
      <c r="AA508" s="74"/>
      <c r="AB508" s="75"/>
      <c r="AC508" s="75"/>
      <c r="AD508" s="76"/>
      <c r="AE508" s="77"/>
      <c r="AF508" s="75"/>
      <c r="AG508" s="78"/>
      <c r="AH508" s="79"/>
      <c r="AI508" s="74"/>
      <c r="AJ508" s="75"/>
      <c r="AK508" s="75"/>
      <c r="AL508" s="80">
        <f t="shared" si="36"/>
        <v>0</v>
      </c>
      <c r="AM508" s="74"/>
      <c r="AN508" s="74"/>
      <c r="AO508" s="81" t="str">
        <f t="shared" si="37"/>
        <v/>
      </c>
      <c r="AP508" s="82"/>
      <c r="AQ508" s="75"/>
      <c r="AR508" s="75"/>
      <c r="AS508" s="80">
        <f t="shared" si="38"/>
        <v>0</v>
      </c>
      <c r="AT508" s="74"/>
      <c r="AU508" s="75"/>
      <c r="AV508" s="75"/>
      <c r="AW508" s="75"/>
      <c r="AX508" s="80">
        <f t="shared" si="39"/>
        <v>0</v>
      </c>
      <c r="AY508" s="81" t="str">
        <f t="shared" si="40"/>
        <v/>
      </c>
      <c r="AZ508" s="83" t="str">
        <f t="shared" si="41"/>
        <v/>
      </c>
      <c r="BA508" s="80" t="str">
        <f t="shared" si="42"/>
        <v/>
      </c>
      <c r="BB508" s="84">
        <f t="shared" si="43"/>
        <v>0</v>
      </c>
      <c r="BC508" s="85" t="str">
        <f t="shared" si="44"/>
        <v/>
      </c>
      <c r="BD508" s="86" t="str">
        <f t="shared" si="45"/>
        <v/>
      </c>
      <c r="BE508" s="84">
        <f t="shared" si="46"/>
        <v>0</v>
      </c>
      <c r="BF508" s="87" t="str">
        <f t="shared" si="47"/>
        <v/>
      </c>
      <c r="BG508" s="88" t="str">
        <f t="shared" si="48"/>
        <v/>
      </c>
      <c r="BH508" s="89" t="str">
        <f t="shared" si="49"/>
        <v/>
      </c>
      <c r="BI508" s="90" t="str">
        <f t="shared" si="50"/>
        <v/>
      </c>
      <c r="BJ508" s="90" t="str">
        <f t="shared" si="51"/>
        <v/>
      </c>
      <c r="BK508" s="91">
        <f t="shared" si="52"/>
        <v>0</v>
      </c>
      <c r="BL508" s="92">
        <f t="shared" si="53"/>
        <v>0</v>
      </c>
      <c r="BM508" s="95"/>
    </row>
    <row r="509" spans="1:65">
      <c r="A509" s="61">
        <f t="shared" si="54"/>
        <v>0</v>
      </c>
      <c r="B509" s="62"/>
      <c r="C509" s="62"/>
      <c r="D509" s="63"/>
      <c r="E509" s="64"/>
      <c r="F509" s="64"/>
      <c r="G509" s="65"/>
      <c r="H509" s="66" t="str">
        <f t="shared" si="31"/>
        <v/>
      </c>
      <c r="I509" s="67" t="str">
        <f t="shared" si="32"/>
        <v/>
      </c>
      <c r="J509" s="68" t="str">
        <f t="shared" si="33"/>
        <v/>
      </c>
      <c r="K509" s="69" t="str">
        <f t="shared" si="34"/>
        <v/>
      </c>
      <c r="L509" s="70" t="str">
        <f t="shared" si="35"/>
        <v/>
      </c>
      <c r="M509" s="71"/>
      <c r="N509" s="71"/>
      <c r="O509" s="71"/>
      <c r="P509" s="71"/>
      <c r="Q509" s="61"/>
      <c r="R509" s="63"/>
      <c r="S509" s="72"/>
      <c r="T509" s="61"/>
      <c r="U509" s="73"/>
      <c r="V509" s="62"/>
      <c r="W509" s="62"/>
      <c r="X509" s="62"/>
      <c r="Y509" s="93"/>
      <c r="Z509" s="94"/>
      <c r="AA509" s="74"/>
      <c r="AB509" s="75"/>
      <c r="AC509" s="75"/>
      <c r="AD509" s="76"/>
      <c r="AE509" s="77"/>
      <c r="AF509" s="75"/>
      <c r="AG509" s="78"/>
      <c r="AH509" s="79"/>
      <c r="AI509" s="74"/>
      <c r="AJ509" s="75"/>
      <c r="AK509" s="75"/>
      <c r="AL509" s="80">
        <f t="shared" si="36"/>
        <v>0</v>
      </c>
      <c r="AM509" s="74"/>
      <c r="AN509" s="74"/>
      <c r="AO509" s="81" t="str">
        <f t="shared" si="37"/>
        <v/>
      </c>
      <c r="AP509" s="82"/>
      <c r="AQ509" s="75"/>
      <c r="AR509" s="75"/>
      <c r="AS509" s="80">
        <f t="shared" si="38"/>
        <v>0</v>
      </c>
      <c r="AT509" s="74"/>
      <c r="AU509" s="75"/>
      <c r="AV509" s="75"/>
      <c r="AW509" s="75"/>
      <c r="AX509" s="80">
        <f t="shared" si="39"/>
        <v>0</v>
      </c>
      <c r="AY509" s="81" t="str">
        <f t="shared" si="40"/>
        <v/>
      </c>
      <c r="AZ509" s="83" t="str">
        <f t="shared" si="41"/>
        <v/>
      </c>
      <c r="BA509" s="80" t="str">
        <f t="shared" si="42"/>
        <v/>
      </c>
      <c r="BB509" s="84">
        <f t="shared" si="43"/>
        <v>0</v>
      </c>
      <c r="BC509" s="85" t="str">
        <f t="shared" si="44"/>
        <v/>
      </c>
      <c r="BD509" s="86" t="str">
        <f t="shared" si="45"/>
        <v/>
      </c>
      <c r="BE509" s="84">
        <f t="shared" si="46"/>
        <v>0</v>
      </c>
      <c r="BF509" s="87" t="str">
        <f t="shared" si="47"/>
        <v/>
      </c>
      <c r="BG509" s="88" t="str">
        <f t="shared" si="48"/>
        <v/>
      </c>
      <c r="BH509" s="89" t="str">
        <f t="shared" si="49"/>
        <v/>
      </c>
      <c r="BI509" s="90" t="str">
        <f t="shared" si="50"/>
        <v/>
      </c>
      <c r="BJ509" s="90" t="str">
        <f t="shared" si="51"/>
        <v/>
      </c>
      <c r="BK509" s="91">
        <f t="shared" si="52"/>
        <v>0</v>
      </c>
      <c r="BL509" s="92">
        <f t="shared" si="53"/>
        <v>0</v>
      </c>
      <c r="BM509" s="95"/>
    </row>
    <row r="510" spans="1:65">
      <c r="A510" s="61">
        <f t="shared" si="54"/>
        <v>0</v>
      </c>
      <c r="B510" s="62"/>
      <c r="C510" s="62"/>
      <c r="D510" s="63"/>
      <c r="E510" s="64"/>
      <c r="F510" s="64"/>
      <c r="G510" s="65"/>
      <c r="H510" s="66" t="str">
        <f t="shared" si="31"/>
        <v/>
      </c>
      <c r="I510" s="67" t="str">
        <f t="shared" si="32"/>
        <v/>
      </c>
      <c r="J510" s="68" t="str">
        <f t="shared" si="33"/>
        <v/>
      </c>
      <c r="K510" s="69" t="str">
        <f t="shared" si="34"/>
        <v/>
      </c>
      <c r="L510" s="70" t="str">
        <f t="shared" si="35"/>
        <v/>
      </c>
      <c r="M510" s="71"/>
      <c r="N510" s="71"/>
      <c r="O510" s="71"/>
      <c r="P510" s="71"/>
      <c r="Q510" s="61"/>
      <c r="R510" s="63"/>
      <c r="S510" s="72"/>
      <c r="T510" s="61"/>
      <c r="U510" s="73"/>
      <c r="V510" s="62"/>
      <c r="W510" s="62"/>
      <c r="X510" s="62"/>
      <c r="Y510" s="93"/>
      <c r="Z510" s="94"/>
      <c r="AA510" s="74"/>
      <c r="AB510" s="75"/>
      <c r="AC510" s="75"/>
      <c r="AD510" s="76"/>
      <c r="AE510" s="77"/>
      <c r="AF510" s="75"/>
      <c r="AG510" s="78"/>
      <c r="AH510" s="79"/>
      <c r="AI510" s="74"/>
      <c r="AJ510" s="75"/>
      <c r="AK510" s="75"/>
      <c r="AL510" s="80">
        <f t="shared" si="36"/>
        <v>0</v>
      </c>
      <c r="AM510" s="74"/>
      <c r="AN510" s="74"/>
      <c r="AO510" s="81" t="str">
        <f t="shared" si="37"/>
        <v/>
      </c>
      <c r="AP510" s="82"/>
      <c r="AQ510" s="75"/>
      <c r="AR510" s="75"/>
      <c r="AS510" s="80">
        <f t="shared" si="38"/>
        <v>0</v>
      </c>
      <c r="AT510" s="74"/>
      <c r="AU510" s="75"/>
      <c r="AV510" s="75"/>
      <c r="AW510" s="75"/>
      <c r="AX510" s="80">
        <f t="shared" si="39"/>
        <v>0</v>
      </c>
      <c r="AY510" s="81" t="str">
        <f t="shared" si="40"/>
        <v/>
      </c>
      <c r="AZ510" s="83" t="str">
        <f t="shared" si="41"/>
        <v/>
      </c>
      <c r="BA510" s="80" t="str">
        <f t="shared" si="42"/>
        <v/>
      </c>
      <c r="BB510" s="84">
        <f t="shared" si="43"/>
        <v>0</v>
      </c>
      <c r="BC510" s="85" t="str">
        <f t="shared" si="44"/>
        <v/>
      </c>
      <c r="BD510" s="86" t="str">
        <f t="shared" si="45"/>
        <v/>
      </c>
      <c r="BE510" s="84">
        <f t="shared" si="46"/>
        <v>0</v>
      </c>
      <c r="BF510" s="87" t="str">
        <f t="shared" si="47"/>
        <v/>
      </c>
      <c r="BG510" s="88" t="str">
        <f t="shared" si="48"/>
        <v/>
      </c>
      <c r="BH510" s="89" t="str">
        <f t="shared" si="49"/>
        <v/>
      </c>
      <c r="BI510" s="90" t="str">
        <f t="shared" si="50"/>
        <v/>
      </c>
      <c r="BJ510" s="90" t="str">
        <f t="shared" si="51"/>
        <v/>
      </c>
      <c r="BK510" s="91">
        <f t="shared" si="52"/>
        <v>0</v>
      </c>
      <c r="BL510" s="92">
        <f t="shared" si="53"/>
        <v>0</v>
      </c>
      <c r="BM510" s="95"/>
    </row>
    <row r="511" spans="1:65">
      <c r="A511" s="61">
        <f t="shared" si="54"/>
        <v>0</v>
      </c>
      <c r="B511" s="62"/>
      <c r="C511" s="62"/>
      <c r="D511" s="63"/>
      <c r="E511" s="64"/>
      <c r="F511" s="64"/>
      <c r="G511" s="65"/>
      <c r="H511" s="66" t="str">
        <f t="shared" si="31"/>
        <v/>
      </c>
      <c r="I511" s="67" t="str">
        <f t="shared" si="32"/>
        <v/>
      </c>
      <c r="J511" s="68" t="str">
        <f t="shared" si="33"/>
        <v/>
      </c>
      <c r="K511" s="69" t="str">
        <f t="shared" si="34"/>
        <v/>
      </c>
      <c r="L511" s="70" t="str">
        <f t="shared" si="35"/>
        <v/>
      </c>
      <c r="M511" s="71"/>
      <c r="N511" s="71"/>
      <c r="O511" s="71"/>
      <c r="P511" s="71"/>
      <c r="Q511" s="61"/>
      <c r="R511" s="63"/>
      <c r="S511" s="72"/>
      <c r="T511" s="61"/>
      <c r="U511" s="73"/>
      <c r="V511" s="62"/>
      <c r="W511" s="62"/>
      <c r="X511" s="62"/>
      <c r="Y511" s="93"/>
      <c r="Z511" s="94"/>
      <c r="AA511" s="74"/>
      <c r="AB511" s="75"/>
      <c r="AC511" s="75"/>
      <c r="AD511" s="76"/>
      <c r="AE511" s="77"/>
      <c r="AF511" s="75"/>
      <c r="AG511" s="78"/>
      <c r="AH511" s="79"/>
      <c r="AI511" s="74"/>
      <c r="AJ511" s="75"/>
      <c r="AK511" s="75"/>
      <c r="AL511" s="80">
        <f t="shared" si="36"/>
        <v>0</v>
      </c>
      <c r="AM511" s="74"/>
      <c r="AN511" s="74"/>
      <c r="AO511" s="81" t="str">
        <f t="shared" si="37"/>
        <v/>
      </c>
      <c r="AP511" s="82"/>
      <c r="AQ511" s="75"/>
      <c r="AR511" s="75"/>
      <c r="AS511" s="80">
        <f t="shared" si="38"/>
        <v>0</v>
      </c>
      <c r="AT511" s="74"/>
      <c r="AU511" s="75"/>
      <c r="AV511" s="75"/>
      <c r="AW511" s="75"/>
      <c r="AX511" s="80">
        <f t="shared" si="39"/>
        <v>0</v>
      </c>
      <c r="AY511" s="81" t="str">
        <f t="shared" si="40"/>
        <v/>
      </c>
      <c r="AZ511" s="83" t="str">
        <f t="shared" si="41"/>
        <v/>
      </c>
      <c r="BA511" s="80" t="str">
        <f t="shared" si="42"/>
        <v/>
      </c>
      <c r="BB511" s="84">
        <f t="shared" si="43"/>
        <v>0</v>
      </c>
      <c r="BC511" s="85" t="str">
        <f t="shared" si="44"/>
        <v/>
      </c>
      <c r="BD511" s="86" t="str">
        <f t="shared" si="45"/>
        <v/>
      </c>
      <c r="BE511" s="84">
        <f t="shared" si="46"/>
        <v>0</v>
      </c>
      <c r="BF511" s="87" t="str">
        <f t="shared" si="47"/>
        <v/>
      </c>
      <c r="BG511" s="88" t="str">
        <f t="shared" si="48"/>
        <v/>
      </c>
      <c r="BH511" s="89" t="str">
        <f t="shared" si="49"/>
        <v/>
      </c>
      <c r="BI511" s="90" t="str">
        <f t="shared" si="50"/>
        <v/>
      </c>
      <c r="BJ511" s="90" t="str">
        <f t="shared" si="51"/>
        <v/>
      </c>
      <c r="BK511" s="91">
        <f t="shared" si="52"/>
        <v>0</v>
      </c>
      <c r="BL511" s="92">
        <f t="shared" si="53"/>
        <v>0</v>
      </c>
      <c r="BM511" s="95"/>
    </row>
    <row r="512" spans="1:65">
      <c r="A512" s="61">
        <f t="shared" si="54"/>
        <v>0</v>
      </c>
      <c r="B512" s="62"/>
      <c r="C512" s="62"/>
      <c r="D512" s="63"/>
      <c r="E512" s="64"/>
      <c r="F512" s="64"/>
      <c r="G512" s="65"/>
      <c r="H512" s="66" t="str">
        <f t="shared" si="31"/>
        <v/>
      </c>
      <c r="I512" s="67" t="str">
        <f t="shared" si="32"/>
        <v/>
      </c>
      <c r="J512" s="68" t="str">
        <f t="shared" si="33"/>
        <v/>
      </c>
      <c r="K512" s="69" t="str">
        <f t="shared" si="34"/>
        <v/>
      </c>
      <c r="L512" s="70" t="str">
        <f t="shared" si="35"/>
        <v/>
      </c>
      <c r="M512" s="71"/>
      <c r="N512" s="71"/>
      <c r="O512" s="71"/>
      <c r="P512" s="71"/>
      <c r="Q512" s="61"/>
      <c r="R512" s="63"/>
      <c r="S512" s="72"/>
      <c r="T512" s="61"/>
      <c r="U512" s="73"/>
      <c r="V512" s="62"/>
      <c r="W512" s="62"/>
      <c r="X512" s="62"/>
      <c r="Y512" s="93"/>
      <c r="Z512" s="94"/>
      <c r="AA512" s="74"/>
      <c r="AB512" s="75"/>
      <c r="AC512" s="75"/>
      <c r="AD512" s="76"/>
      <c r="AE512" s="77"/>
      <c r="AF512" s="75"/>
      <c r="AG512" s="78"/>
      <c r="AH512" s="79"/>
      <c r="AI512" s="74"/>
      <c r="AJ512" s="75"/>
      <c r="AK512" s="75"/>
      <c r="AL512" s="80">
        <f t="shared" si="36"/>
        <v>0</v>
      </c>
      <c r="AM512" s="74"/>
      <c r="AN512" s="74"/>
      <c r="AO512" s="81" t="str">
        <f t="shared" si="37"/>
        <v/>
      </c>
      <c r="AP512" s="82"/>
      <c r="AQ512" s="75"/>
      <c r="AR512" s="75"/>
      <c r="AS512" s="80">
        <f t="shared" si="38"/>
        <v>0</v>
      </c>
      <c r="AT512" s="74"/>
      <c r="AU512" s="75"/>
      <c r="AV512" s="75"/>
      <c r="AW512" s="75"/>
      <c r="AX512" s="80">
        <f t="shared" si="39"/>
        <v>0</v>
      </c>
      <c r="AY512" s="81" t="str">
        <f t="shared" si="40"/>
        <v/>
      </c>
      <c r="AZ512" s="83" t="str">
        <f t="shared" si="41"/>
        <v/>
      </c>
      <c r="BA512" s="80" t="str">
        <f t="shared" si="42"/>
        <v/>
      </c>
      <c r="BB512" s="84">
        <f t="shared" si="43"/>
        <v>0</v>
      </c>
      <c r="BC512" s="85" t="str">
        <f t="shared" si="44"/>
        <v/>
      </c>
      <c r="BD512" s="86" t="str">
        <f t="shared" si="45"/>
        <v/>
      </c>
      <c r="BE512" s="84">
        <f t="shared" si="46"/>
        <v>0</v>
      </c>
      <c r="BF512" s="87" t="str">
        <f t="shared" si="47"/>
        <v/>
      </c>
      <c r="BG512" s="88" t="str">
        <f t="shared" si="48"/>
        <v/>
      </c>
      <c r="BH512" s="89" t="str">
        <f t="shared" si="49"/>
        <v/>
      </c>
      <c r="BI512" s="90" t="str">
        <f t="shared" si="50"/>
        <v/>
      </c>
      <c r="BJ512" s="90" t="str">
        <f t="shared" si="51"/>
        <v/>
      </c>
      <c r="BK512" s="91">
        <f t="shared" si="52"/>
        <v>0</v>
      </c>
      <c r="BL512" s="92">
        <f t="shared" si="53"/>
        <v>0</v>
      </c>
      <c r="BM512" s="95"/>
    </row>
    <row r="513" spans="1:65">
      <c r="A513" s="61">
        <f t="shared" si="54"/>
        <v>0</v>
      </c>
      <c r="B513" s="62"/>
      <c r="C513" s="62"/>
      <c r="D513" s="63"/>
      <c r="E513" s="64"/>
      <c r="F513" s="64"/>
      <c r="G513" s="65"/>
      <c r="H513" s="66" t="str">
        <f t="shared" si="31"/>
        <v/>
      </c>
      <c r="I513" s="67" t="str">
        <f t="shared" si="32"/>
        <v/>
      </c>
      <c r="J513" s="68" t="str">
        <f t="shared" si="33"/>
        <v/>
      </c>
      <c r="K513" s="69" t="str">
        <f t="shared" si="34"/>
        <v/>
      </c>
      <c r="L513" s="70" t="str">
        <f t="shared" si="35"/>
        <v/>
      </c>
      <c r="M513" s="71"/>
      <c r="N513" s="71"/>
      <c r="O513" s="71"/>
      <c r="P513" s="71"/>
      <c r="Q513" s="61"/>
      <c r="R513" s="63"/>
      <c r="S513" s="72"/>
      <c r="T513" s="61"/>
      <c r="U513" s="73"/>
      <c r="V513" s="62"/>
      <c r="W513" s="62"/>
      <c r="X513" s="62"/>
      <c r="Y513" s="93"/>
      <c r="Z513" s="94"/>
      <c r="AA513" s="74"/>
      <c r="AB513" s="75"/>
      <c r="AC513" s="75"/>
      <c r="AD513" s="76"/>
      <c r="AE513" s="77"/>
      <c r="AF513" s="75"/>
      <c r="AG513" s="78"/>
      <c r="AH513" s="79"/>
      <c r="AI513" s="74"/>
      <c r="AJ513" s="75"/>
      <c r="AK513" s="75"/>
      <c r="AL513" s="80">
        <f t="shared" si="36"/>
        <v>0</v>
      </c>
      <c r="AM513" s="74"/>
      <c r="AN513" s="74"/>
      <c r="AO513" s="81" t="str">
        <f t="shared" si="37"/>
        <v/>
      </c>
      <c r="AP513" s="82"/>
      <c r="AQ513" s="75"/>
      <c r="AR513" s="75"/>
      <c r="AS513" s="80">
        <f t="shared" si="38"/>
        <v>0</v>
      </c>
      <c r="AT513" s="74"/>
      <c r="AU513" s="75"/>
      <c r="AV513" s="75"/>
      <c r="AW513" s="75"/>
      <c r="AX513" s="80">
        <f t="shared" si="39"/>
        <v>0</v>
      </c>
      <c r="AY513" s="81" t="str">
        <f t="shared" si="40"/>
        <v/>
      </c>
      <c r="AZ513" s="83" t="str">
        <f t="shared" si="41"/>
        <v/>
      </c>
      <c r="BA513" s="80" t="str">
        <f t="shared" si="42"/>
        <v/>
      </c>
      <c r="BB513" s="84">
        <f t="shared" si="43"/>
        <v>0</v>
      </c>
      <c r="BC513" s="85" t="str">
        <f t="shared" si="44"/>
        <v/>
      </c>
      <c r="BD513" s="86" t="str">
        <f t="shared" si="45"/>
        <v/>
      </c>
      <c r="BE513" s="84">
        <f t="shared" si="46"/>
        <v>0</v>
      </c>
      <c r="BF513" s="87" t="str">
        <f t="shared" si="47"/>
        <v/>
      </c>
      <c r="BG513" s="88" t="str">
        <f t="shared" si="48"/>
        <v/>
      </c>
      <c r="BH513" s="89" t="str">
        <f t="shared" si="49"/>
        <v/>
      </c>
      <c r="BI513" s="90" t="str">
        <f t="shared" si="50"/>
        <v/>
      </c>
      <c r="BJ513" s="90" t="str">
        <f t="shared" si="51"/>
        <v/>
      </c>
      <c r="BK513" s="91">
        <f t="shared" si="52"/>
        <v>0</v>
      </c>
      <c r="BL513" s="92">
        <f t="shared" si="53"/>
        <v>0</v>
      </c>
      <c r="BM513" s="95"/>
    </row>
    <row r="514" spans="1:65">
      <c r="A514" s="61">
        <f t="shared" si="54"/>
        <v>0</v>
      </c>
      <c r="B514" s="62"/>
      <c r="C514" s="62"/>
      <c r="D514" s="63"/>
      <c r="E514" s="64"/>
      <c r="F514" s="64"/>
      <c r="G514" s="65"/>
      <c r="H514" s="66" t="str">
        <f t="shared" si="31"/>
        <v/>
      </c>
      <c r="I514" s="67" t="str">
        <f t="shared" si="32"/>
        <v/>
      </c>
      <c r="J514" s="68" t="str">
        <f t="shared" si="33"/>
        <v/>
      </c>
      <c r="K514" s="69" t="str">
        <f t="shared" si="34"/>
        <v/>
      </c>
      <c r="L514" s="70" t="str">
        <f t="shared" si="35"/>
        <v/>
      </c>
      <c r="M514" s="71"/>
      <c r="N514" s="71"/>
      <c r="O514" s="71"/>
      <c r="P514" s="71"/>
      <c r="Q514" s="61"/>
      <c r="R514" s="63"/>
      <c r="S514" s="72"/>
      <c r="T514" s="61"/>
      <c r="U514" s="73"/>
      <c r="V514" s="62"/>
      <c r="W514" s="62"/>
      <c r="X514" s="62"/>
      <c r="Y514" s="93"/>
      <c r="Z514" s="94"/>
      <c r="AA514" s="74"/>
      <c r="AB514" s="75"/>
      <c r="AC514" s="75"/>
      <c r="AD514" s="76"/>
      <c r="AE514" s="77"/>
      <c r="AF514" s="75"/>
      <c r="AG514" s="78"/>
      <c r="AH514" s="79"/>
      <c r="AI514" s="74"/>
      <c r="AJ514" s="75"/>
      <c r="AK514" s="75"/>
      <c r="AL514" s="80">
        <f t="shared" si="36"/>
        <v>0</v>
      </c>
      <c r="AM514" s="74"/>
      <c r="AN514" s="74"/>
      <c r="AO514" s="81" t="str">
        <f t="shared" si="37"/>
        <v/>
      </c>
      <c r="AP514" s="82"/>
      <c r="AQ514" s="75"/>
      <c r="AR514" s="75"/>
      <c r="AS514" s="80">
        <f t="shared" si="38"/>
        <v>0</v>
      </c>
      <c r="AT514" s="74"/>
      <c r="AU514" s="75"/>
      <c r="AV514" s="75"/>
      <c r="AW514" s="75"/>
      <c r="AX514" s="80">
        <f t="shared" si="39"/>
        <v>0</v>
      </c>
      <c r="AY514" s="81" t="str">
        <f t="shared" si="40"/>
        <v/>
      </c>
      <c r="AZ514" s="83" t="str">
        <f t="shared" si="41"/>
        <v/>
      </c>
      <c r="BA514" s="80" t="str">
        <f t="shared" si="42"/>
        <v/>
      </c>
      <c r="BB514" s="84">
        <f t="shared" si="43"/>
        <v>0</v>
      </c>
      <c r="BC514" s="85" t="str">
        <f t="shared" si="44"/>
        <v/>
      </c>
      <c r="BD514" s="86" t="str">
        <f t="shared" si="45"/>
        <v/>
      </c>
      <c r="BE514" s="84">
        <f t="shared" si="46"/>
        <v>0</v>
      </c>
      <c r="BF514" s="87" t="str">
        <f t="shared" si="47"/>
        <v/>
      </c>
      <c r="BG514" s="88" t="str">
        <f t="shared" si="48"/>
        <v/>
      </c>
      <c r="BH514" s="89" t="str">
        <f t="shared" si="49"/>
        <v/>
      </c>
      <c r="BI514" s="90" t="str">
        <f t="shared" si="50"/>
        <v/>
      </c>
      <c r="BJ514" s="90" t="str">
        <f t="shared" si="51"/>
        <v/>
      </c>
      <c r="BK514" s="91">
        <f t="shared" si="52"/>
        <v>0</v>
      </c>
      <c r="BL514" s="92">
        <f t="shared" si="53"/>
        <v>0</v>
      </c>
      <c r="BM514" s="95"/>
    </row>
    <row r="515" spans="1:65">
      <c r="A515" s="61">
        <f t="shared" si="54"/>
        <v>0</v>
      </c>
      <c r="B515" s="62"/>
      <c r="C515" s="62"/>
      <c r="D515" s="63"/>
      <c r="E515" s="64"/>
      <c r="F515" s="64"/>
      <c r="G515" s="65"/>
      <c r="H515" s="66" t="str">
        <f t="shared" si="31"/>
        <v/>
      </c>
      <c r="I515" s="67" t="str">
        <f t="shared" si="32"/>
        <v/>
      </c>
      <c r="J515" s="68" t="str">
        <f t="shared" si="33"/>
        <v/>
      </c>
      <c r="K515" s="69" t="str">
        <f t="shared" si="34"/>
        <v/>
      </c>
      <c r="L515" s="70" t="str">
        <f t="shared" si="35"/>
        <v/>
      </c>
      <c r="M515" s="71"/>
      <c r="N515" s="71"/>
      <c r="O515" s="71"/>
      <c r="P515" s="71"/>
      <c r="Q515" s="61"/>
      <c r="R515" s="63"/>
      <c r="S515" s="72"/>
      <c r="T515" s="61"/>
      <c r="U515" s="73"/>
      <c r="V515" s="62"/>
      <c r="W515" s="62"/>
      <c r="X515" s="62"/>
      <c r="Y515" s="93"/>
      <c r="Z515" s="94"/>
      <c r="AA515" s="74"/>
      <c r="AB515" s="75"/>
      <c r="AC515" s="75"/>
      <c r="AD515" s="76"/>
      <c r="AE515" s="77"/>
      <c r="AF515" s="75"/>
      <c r="AG515" s="78"/>
      <c r="AH515" s="79"/>
      <c r="AI515" s="74"/>
      <c r="AJ515" s="75"/>
      <c r="AK515" s="75"/>
      <c r="AL515" s="80">
        <f t="shared" si="36"/>
        <v>0</v>
      </c>
      <c r="AM515" s="74"/>
      <c r="AN515" s="74"/>
      <c r="AO515" s="81" t="str">
        <f t="shared" si="37"/>
        <v/>
      </c>
      <c r="AP515" s="82"/>
      <c r="AQ515" s="75"/>
      <c r="AR515" s="75"/>
      <c r="AS515" s="80">
        <f t="shared" si="38"/>
        <v>0</v>
      </c>
      <c r="AT515" s="74"/>
      <c r="AU515" s="75"/>
      <c r="AV515" s="75"/>
      <c r="AW515" s="75"/>
      <c r="AX515" s="80">
        <f t="shared" si="39"/>
        <v>0</v>
      </c>
      <c r="AY515" s="81" t="str">
        <f t="shared" si="40"/>
        <v/>
      </c>
      <c r="AZ515" s="83" t="str">
        <f t="shared" si="41"/>
        <v/>
      </c>
      <c r="BA515" s="80" t="str">
        <f t="shared" si="42"/>
        <v/>
      </c>
      <c r="BB515" s="84">
        <f t="shared" si="43"/>
        <v>0</v>
      </c>
      <c r="BC515" s="85" t="str">
        <f t="shared" si="44"/>
        <v/>
      </c>
      <c r="BD515" s="86" t="str">
        <f t="shared" si="45"/>
        <v/>
      </c>
      <c r="BE515" s="84">
        <f t="shared" si="46"/>
        <v>0</v>
      </c>
      <c r="BF515" s="87" t="str">
        <f t="shared" si="47"/>
        <v/>
      </c>
      <c r="BG515" s="88" t="str">
        <f t="shared" si="48"/>
        <v/>
      </c>
      <c r="BH515" s="89" t="str">
        <f t="shared" si="49"/>
        <v/>
      </c>
      <c r="BI515" s="90" t="str">
        <f t="shared" si="50"/>
        <v/>
      </c>
      <c r="BJ515" s="90" t="str">
        <f t="shared" si="51"/>
        <v/>
      </c>
      <c r="BK515" s="91">
        <f t="shared" si="52"/>
        <v>0</v>
      </c>
      <c r="BL515" s="92">
        <f t="shared" si="53"/>
        <v>0</v>
      </c>
      <c r="BM515" s="95"/>
    </row>
    <row r="516" spans="1:65">
      <c r="A516" s="61">
        <f t="shared" si="54"/>
        <v>0</v>
      </c>
      <c r="B516" s="62"/>
      <c r="C516" s="62"/>
      <c r="D516" s="63"/>
      <c r="E516" s="64"/>
      <c r="F516" s="64"/>
      <c r="G516" s="65"/>
      <c r="H516" s="66" t="str">
        <f t="shared" si="31"/>
        <v/>
      </c>
      <c r="I516" s="67" t="str">
        <f t="shared" si="32"/>
        <v/>
      </c>
      <c r="J516" s="68" t="str">
        <f t="shared" si="33"/>
        <v/>
      </c>
      <c r="K516" s="69" t="str">
        <f t="shared" si="34"/>
        <v/>
      </c>
      <c r="L516" s="70" t="str">
        <f t="shared" si="35"/>
        <v/>
      </c>
      <c r="M516" s="71"/>
      <c r="N516" s="71"/>
      <c r="O516" s="71"/>
      <c r="P516" s="71"/>
      <c r="Q516" s="61"/>
      <c r="R516" s="63"/>
      <c r="S516" s="72"/>
      <c r="T516" s="61"/>
      <c r="U516" s="73"/>
      <c r="V516" s="62"/>
      <c r="W516" s="62"/>
      <c r="X516" s="62"/>
      <c r="Y516" s="93"/>
      <c r="Z516" s="94"/>
      <c r="AA516" s="74"/>
      <c r="AB516" s="75"/>
      <c r="AC516" s="75"/>
      <c r="AD516" s="76"/>
      <c r="AE516" s="77"/>
      <c r="AF516" s="75"/>
      <c r="AG516" s="78"/>
      <c r="AH516" s="79"/>
      <c r="AI516" s="74"/>
      <c r="AJ516" s="75"/>
      <c r="AK516" s="75"/>
      <c r="AL516" s="80">
        <f t="shared" si="36"/>
        <v>0</v>
      </c>
      <c r="AM516" s="74"/>
      <c r="AN516" s="74"/>
      <c r="AO516" s="81" t="str">
        <f t="shared" si="37"/>
        <v/>
      </c>
      <c r="AP516" s="82"/>
      <c r="AQ516" s="75"/>
      <c r="AR516" s="75"/>
      <c r="AS516" s="80">
        <f t="shared" si="38"/>
        <v>0</v>
      </c>
      <c r="AT516" s="74"/>
      <c r="AU516" s="75"/>
      <c r="AV516" s="75"/>
      <c r="AW516" s="75"/>
      <c r="AX516" s="80">
        <f t="shared" si="39"/>
        <v>0</v>
      </c>
      <c r="AY516" s="81" t="str">
        <f t="shared" si="40"/>
        <v/>
      </c>
      <c r="AZ516" s="83" t="str">
        <f t="shared" si="41"/>
        <v/>
      </c>
      <c r="BA516" s="80" t="str">
        <f t="shared" si="42"/>
        <v/>
      </c>
      <c r="BB516" s="84">
        <f t="shared" si="43"/>
        <v>0</v>
      </c>
      <c r="BC516" s="85" t="str">
        <f t="shared" si="44"/>
        <v/>
      </c>
      <c r="BD516" s="86" t="str">
        <f t="shared" si="45"/>
        <v/>
      </c>
      <c r="BE516" s="84">
        <f t="shared" si="46"/>
        <v>0</v>
      </c>
      <c r="BF516" s="87" t="str">
        <f t="shared" si="47"/>
        <v/>
      </c>
      <c r="BG516" s="88" t="str">
        <f t="shared" si="48"/>
        <v/>
      </c>
      <c r="BH516" s="89" t="str">
        <f t="shared" si="49"/>
        <v/>
      </c>
      <c r="BI516" s="90" t="str">
        <f t="shared" si="50"/>
        <v/>
      </c>
      <c r="BJ516" s="90" t="str">
        <f t="shared" si="51"/>
        <v/>
      </c>
      <c r="BK516" s="91">
        <f t="shared" si="52"/>
        <v>0</v>
      </c>
      <c r="BL516" s="92">
        <f t="shared" si="53"/>
        <v>0</v>
      </c>
      <c r="BM516" s="95"/>
    </row>
    <row r="517" spans="1:65">
      <c r="A517" s="61">
        <f t="shared" si="54"/>
        <v>0</v>
      </c>
      <c r="B517" s="62"/>
      <c r="C517" s="62"/>
      <c r="D517" s="63"/>
      <c r="E517" s="64"/>
      <c r="F517" s="64"/>
      <c r="G517" s="65"/>
      <c r="H517" s="66" t="str">
        <f t="shared" si="31"/>
        <v/>
      </c>
      <c r="I517" s="67" t="str">
        <f t="shared" si="32"/>
        <v/>
      </c>
      <c r="J517" s="68" t="str">
        <f t="shared" si="33"/>
        <v/>
      </c>
      <c r="K517" s="69" t="str">
        <f t="shared" si="34"/>
        <v/>
      </c>
      <c r="L517" s="70" t="str">
        <f t="shared" si="35"/>
        <v/>
      </c>
      <c r="M517" s="71"/>
      <c r="N517" s="71"/>
      <c r="O517" s="71"/>
      <c r="P517" s="71"/>
      <c r="Q517" s="61"/>
      <c r="R517" s="63"/>
      <c r="S517" s="72"/>
      <c r="T517" s="61"/>
      <c r="U517" s="73"/>
      <c r="V517" s="62"/>
      <c r="W517" s="62"/>
      <c r="X517" s="62"/>
      <c r="Y517" s="93"/>
      <c r="Z517" s="94"/>
      <c r="AA517" s="74"/>
      <c r="AB517" s="75"/>
      <c r="AC517" s="75"/>
      <c r="AD517" s="76"/>
      <c r="AE517" s="77"/>
      <c r="AF517" s="75"/>
      <c r="AG517" s="78"/>
      <c r="AH517" s="79"/>
      <c r="AI517" s="74"/>
      <c r="AJ517" s="75"/>
      <c r="AK517" s="75"/>
      <c r="AL517" s="80">
        <f t="shared" si="36"/>
        <v>0</v>
      </c>
      <c r="AM517" s="74"/>
      <c r="AN517" s="74"/>
      <c r="AO517" s="81" t="str">
        <f t="shared" si="37"/>
        <v/>
      </c>
      <c r="AP517" s="82"/>
      <c r="AQ517" s="75"/>
      <c r="AR517" s="75"/>
      <c r="AS517" s="80">
        <f t="shared" si="38"/>
        <v>0</v>
      </c>
      <c r="AT517" s="74"/>
      <c r="AU517" s="75"/>
      <c r="AV517" s="75"/>
      <c r="AW517" s="75"/>
      <c r="AX517" s="80">
        <f t="shared" si="39"/>
        <v>0</v>
      </c>
      <c r="AY517" s="81" t="str">
        <f t="shared" si="40"/>
        <v/>
      </c>
      <c r="AZ517" s="83" t="str">
        <f t="shared" si="41"/>
        <v/>
      </c>
      <c r="BA517" s="80" t="str">
        <f t="shared" si="42"/>
        <v/>
      </c>
      <c r="BB517" s="84">
        <f t="shared" si="43"/>
        <v>0</v>
      </c>
      <c r="BC517" s="85" t="str">
        <f t="shared" si="44"/>
        <v/>
      </c>
      <c r="BD517" s="86" t="str">
        <f t="shared" si="45"/>
        <v/>
      </c>
      <c r="BE517" s="84">
        <f t="shared" si="46"/>
        <v>0</v>
      </c>
      <c r="BF517" s="87" t="str">
        <f t="shared" si="47"/>
        <v/>
      </c>
      <c r="BG517" s="88" t="str">
        <f t="shared" si="48"/>
        <v/>
      </c>
      <c r="BH517" s="89" t="str">
        <f t="shared" si="49"/>
        <v/>
      </c>
      <c r="BI517" s="90" t="str">
        <f t="shared" si="50"/>
        <v/>
      </c>
      <c r="BJ517" s="90" t="str">
        <f t="shared" si="51"/>
        <v/>
      </c>
      <c r="BK517" s="91">
        <f t="shared" si="52"/>
        <v>0</v>
      </c>
      <c r="BL517" s="92">
        <f t="shared" si="53"/>
        <v>0</v>
      </c>
      <c r="BM517" s="95"/>
    </row>
    <row r="518" spans="1:65">
      <c r="A518" s="61">
        <f t="shared" si="54"/>
        <v>0</v>
      </c>
      <c r="B518" s="62"/>
      <c r="C518" s="62"/>
      <c r="D518" s="63"/>
      <c r="E518" s="64"/>
      <c r="F518" s="64"/>
      <c r="G518" s="65"/>
      <c r="H518" s="66" t="str">
        <f t="shared" si="31"/>
        <v/>
      </c>
      <c r="I518" s="67" t="str">
        <f t="shared" si="32"/>
        <v/>
      </c>
      <c r="J518" s="68" t="str">
        <f t="shared" si="33"/>
        <v/>
      </c>
      <c r="K518" s="69" t="str">
        <f t="shared" si="34"/>
        <v/>
      </c>
      <c r="L518" s="70" t="str">
        <f t="shared" si="35"/>
        <v/>
      </c>
      <c r="M518" s="71"/>
      <c r="N518" s="71"/>
      <c r="O518" s="71"/>
      <c r="P518" s="71"/>
      <c r="Q518" s="61"/>
      <c r="R518" s="63"/>
      <c r="S518" s="72"/>
      <c r="T518" s="61"/>
      <c r="U518" s="73"/>
      <c r="V518" s="62"/>
      <c r="W518" s="62"/>
      <c r="X518" s="62"/>
      <c r="Y518" s="93"/>
      <c r="Z518" s="94"/>
      <c r="AA518" s="74"/>
      <c r="AB518" s="75"/>
      <c r="AC518" s="75"/>
      <c r="AD518" s="76"/>
      <c r="AE518" s="77"/>
      <c r="AF518" s="75"/>
      <c r="AG518" s="78"/>
      <c r="AH518" s="79"/>
      <c r="AI518" s="74"/>
      <c r="AJ518" s="75"/>
      <c r="AK518" s="75"/>
      <c r="AL518" s="80">
        <f t="shared" si="36"/>
        <v>0</v>
      </c>
      <c r="AM518" s="74"/>
      <c r="AN518" s="74"/>
      <c r="AO518" s="81" t="str">
        <f t="shared" si="37"/>
        <v/>
      </c>
      <c r="AP518" s="82"/>
      <c r="AQ518" s="75"/>
      <c r="AR518" s="75"/>
      <c r="AS518" s="80">
        <f t="shared" si="38"/>
        <v>0</v>
      </c>
      <c r="AT518" s="74"/>
      <c r="AU518" s="75"/>
      <c r="AV518" s="75"/>
      <c r="AW518" s="75"/>
      <c r="AX518" s="80">
        <f t="shared" si="39"/>
        <v>0</v>
      </c>
      <c r="AY518" s="81" t="str">
        <f t="shared" si="40"/>
        <v/>
      </c>
      <c r="AZ518" s="83" t="str">
        <f t="shared" si="41"/>
        <v/>
      </c>
      <c r="BA518" s="80" t="str">
        <f t="shared" si="42"/>
        <v/>
      </c>
      <c r="BB518" s="84">
        <f t="shared" si="43"/>
        <v>0</v>
      </c>
      <c r="BC518" s="85" t="str">
        <f t="shared" si="44"/>
        <v/>
      </c>
      <c r="BD518" s="86" t="str">
        <f t="shared" si="45"/>
        <v/>
      </c>
      <c r="BE518" s="84">
        <f t="shared" si="46"/>
        <v>0</v>
      </c>
      <c r="BF518" s="87" t="str">
        <f t="shared" si="47"/>
        <v/>
      </c>
      <c r="BG518" s="88" t="str">
        <f t="shared" si="48"/>
        <v/>
      </c>
      <c r="BH518" s="89" t="str">
        <f t="shared" si="49"/>
        <v/>
      </c>
      <c r="BI518" s="90" t="str">
        <f t="shared" si="50"/>
        <v/>
      </c>
      <c r="BJ518" s="90" t="str">
        <f t="shared" si="51"/>
        <v/>
      </c>
      <c r="BK518" s="91">
        <f t="shared" si="52"/>
        <v>0</v>
      </c>
      <c r="BL518" s="92">
        <f t="shared" si="53"/>
        <v>0</v>
      </c>
      <c r="BM518" s="95"/>
    </row>
    <row r="519" spans="1:65">
      <c r="A519" s="61">
        <f t="shared" si="54"/>
        <v>0</v>
      </c>
      <c r="B519" s="62"/>
      <c r="C519" s="62"/>
      <c r="D519" s="63"/>
      <c r="E519" s="64"/>
      <c r="F519" s="64"/>
      <c r="G519" s="65"/>
      <c r="H519" s="66" t="str">
        <f t="shared" si="31"/>
        <v/>
      </c>
      <c r="I519" s="67" t="str">
        <f t="shared" si="32"/>
        <v/>
      </c>
      <c r="J519" s="68" t="str">
        <f t="shared" si="33"/>
        <v/>
      </c>
      <c r="K519" s="69" t="str">
        <f t="shared" si="34"/>
        <v/>
      </c>
      <c r="L519" s="70" t="str">
        <f t="shared" si="35"/>
        <v/>
      </c>
      <c r="M519" s="71"/>
      <c r="N519" s="71"/>
      <c r="O519" s="71"/>
      <c r="P519" s="71"/>
      <c r="Q519" s="61"/>
      <c r="R519" s="63"/>
      <c r="S519" s="72"/>
      <c r="T519" s="61"/>
      <c r="U519" s="73"/>
      <c r="V519" s="62"/>
      <c r="W519" s="62"/>
      <c r="X519" s="62"/>
      <c r="Y519" s="93"/>
      <c r="Z519" s="94"/>
      <c r="AA519" s="74"/>
      <c r="AB519" s="75"/>
      <c r="AC519" s="75"/>
      <c r="AD519" s="76"/>
      <c r="AE519" s="77"/>
      <c r="AF519" s="75"/>
      <c r="AG519" s="78"/>
      <c r="AH519" s="79"/>
      <c r="AI519" s="74"/>
      <c r="AJ519" s="75"/>
      <c r="AK519" s="75"/>
      <c r="AL519" s="80">
        <f t="shared" si="36"/>
        <v>0</v>
      </c>
      <c r="AM519" s="74"/>
      <c r="AN519" s="74"/>
      <c r="AO519" s="81" t="str">
        <f t="shared" si="37"/>
        <v/>
      </c>
      <c r="AP519" s="82"/>
      <c r="AQ519" s="75"/>
      <c r="AR519" s="75"/>
      <c r="AS519" s="80">
        <f t="shared" si="38"/>
        <v>0</v>
      </c>
      <c r="AT519" s="74"/>
      <c r="AU519" s="75"/>
      <c r="AV519" s="75"/>
      <c r="AW519" s="75"/>
      <c r="AX519" s="80">
        <f t="shared" si="39"/>
        <v>0</v>
      </c>
      <c r="AY519" s="81" t="str">
        <f t="shared" si="40"/>
        <v/>
      </c>
      <c r="AZ519" s="83" t="str">
        <f t="shared" si="41"/>
        <v/>
      </c>
      <c r="BA519" s="80" t="str">
        <f t="shared" si="42"/>
        <v/>
      </c>
      <c r="BB519" s="84">
        <f t="shared" si="43"/>
        <v>0</v>
      </c>
      <c r="BC519" s="85" t="str">
        <f t="shared" si="44"/>
        <v/>
      </c>
      <c r="BD519" s="86" t="str">
        <f t="shared" si="45"/>
        <v/>
      </c>
      <c r="BE519" s="84">
        <f t="shared" si="46"/>
        <v>0</v>
      </c>
      <c r="BF519" s="87" t="str">
        <f t="shared" si="47"/>
        <v/>
      </c>
      <c r="BG519" s="88" t="str">
        <f t="shared" si="48"/>
        <v/>
      </c>
      <c r="BH519" s="89" t="str">
        <f t="shared" si="49"/>
        <v/>
      </c>
      <c r="BI519" s="90" t="str">
        <f t="shared" si="50"/>
        <v/>
      </c>
      <c r="BJ519" s="90" t="str">
        <f t="shared" si="51"/>
        <v/>
      </c>
      <c r="BK519" s="91">
        <f t="shared" si="52"/>
        <v>0</v>
      </c>
      <c r="BL519" s="92">
        <f t="shared" si="53"/>
        <v>0</v>
      </c>
      <c r="BM519" s="95"/>
    </row>
    <row r="520" spans="1:65">
      <c r="A520" s="61">
        <f t="shared" si="54"/>
        <v>0</v>
      </c>
      <c r="B520" s="62"/>
      <c r="C520" s="62"/>
      <c r="D520" s="63"/>
      <c r="E520" s="64"/>
      <c r="F520" s="64"/>
      <c r="G520" s="65"/>
      <c r="H520" s="66" t="str">
        <f t="shared" ref="H520:H583" si="55">IF(F520="","",IF(F520="","",IF((F520-E520+1)&gt;360,"Most Recently 12 Months","Year To Date")))</f>
        <v/>
      </c>
      <c r="I520" s="67" t="str">
        <f t="shared" ref="I520:I583" si="56">IF(F520="","",ROUND((F520-E520+1)/(((365*3+366)/4)/12),0))</f>
        <v/>
      </c>
      <c r="J520" s="68" t="str">
        <f t="shared" ref="J520:J583" si="57">IF(F520="","",YEAR(F520))</f>
        <v/>
      </c>
      <c r="K520" s="69" t="str">
        <f t="shared" ref="K520:K583" si="58">IF(F520="","",CEILING(L520/3,1))</f>
        <v/>
      </c>
      <c r="L520" s="70" t="str">
        <f t="shared" ref="L520:L583" si="59">IF(F520="","",MONTH(F520))</f>
        <v/>
      </c>
      <c r="M520" s="71"/>
      <c r="N520" s="71"/>
      <c r="O520" s="71"/>
      <c r="P520" s="71"/>
      <c r="Q520" s="61"/>
      <c r="R520" s="63"/>
      <c r="S520" s="72"/>
      <c r="T520" s="61"/>
      <c r="U520" s="73"/>
      <c r="V520" s="62"/>
      <c r="W520" s="62"/>
      <c r="X520" s="62"/>
      <c r="Y520" s="93"/>
      <c r="Z520" s="94"/>
      <c r="AA520" s="74"/>
      <c r="AB520" s="75"/>
      <c r="AC520" s="75"/>
      <c r="AD520" s="76"/>
      <c r="AE520" s="77"/>
      <c r="AF520" s="75"/>
      <c r="AG520" s="78"/>
      <c r="AH520" s="79"/>
      <c r="AI520" s="74"/>
      <c r="AJ520" s="75"/>
      <c r="AK520" s="75"/>
      <c r="AL520" s="80">
        <f t="shared" ref="AL520:AL583" si="60">SUM(AI520:AK520)</f>
        <v>0</v>
      </c>
      <c r="AM520" s="74"/>
      <c r="AN520" s="74"/>
      <c r="AO520" s="81" t="str">
        <f t="shared" ref="AO520:AO583" si="61">IFERROR(AN520/AM520,"")</f>
        <v/>
      </c>
      <c r="AP520" s="82"/>
      <c r="AQ520" s="75"/>
      <c r="AR520" s="75"/>
      <c r="AS520" s="80">
        <f t="shared" ref="AS520:AS583" si="62">SUM(AQ520:AR520)</f>
        <v>0</v>
      </c>
      <c r="AT520" s="74"/>
      <c r="AU520" s="75"/>
      <c r="AV520" s="75"/>
      <c r="AW520" s="75"/>
      <c r="AX520" s="80">
        <f t="shared" ref="AX520:AX583" si="63">SUM(AT520:AW520)</f>
        <v>0</v>
      </c>
      <c r="AY520" s="81" t="str">
        <f t="shared" ref="AY520:AY583" si="64">IFERROR(AP520/AF520,"")</f>
        <v/>
      </c>
      <c r="AZ520" s="83" t="str">
        <f t="shared" ref="AZ520:AZ583" si="65">IFERROR(AS520/AP520,"")</f>
        <v/>
      </c>
      <c r="BA520" s="80" t="str">
        <f t="shared" ref="BA520:BA583" si="66">IFERROR(AY520*AZ520,"")</f>
        <v/>
      </c>
      <c r="BB520" s="84">
        <f t="shared" ref="BB520:BB583" si="67">AG520-SUM(AL520,AS520:AU520,AW520)</f>
        <v>0</v>
      </c>
      <c r="BC520" s="85" t="str">
        <f t="shared" ref="BC520:BC583" si="68">IFERROR(BB520/AV520,"")</f>
        <v/>
      </c>
      <c r="BD520" s="86" t="str">
        <f t="shared" ref="BD520:BD583" si="69">IFERROR(BB520/AG520,"")</f>
        <v/>
      </c>
      <c r="BE520" s="84">
        <f t="shared" ref="BE520:BE583" si="70">AG520-SUM(AL520,AS520:AU520)</f>
        <v>0</v>
      </c>
      <c r="BF520" s="87" t="str">
        <f t="shared" ref="BF520:BF583" si="71">IFERROR(BE520/SUM(AV520:AW520),"")</f>
        <v/>
      </c>
      <c r="BG520" s="88" t="str">
        <f t="shared" ref="BG520:BG583" si="72">IFERROR(BE520/AG520,"")</f>
        <v/>
      </c>
      <c r="BH520" s="89" t="str">
        <f t="shared" ref="BH520:BH583" si="73">IFERROR(AS520/AG520,"")</f>
        <v/>
      </c>
      <c r="BI520" s="90" t="str">
        <f t="shared" ref="BI520:BI583" si="74">IFERROR(AL520/AG520,"")</f>
        <v/>
      </c>
      <c r="BJ520" s="90" t="str">
        <f t="shared" ref="BJ520:BJ583" si="75">IFERROR(AX520/AG520,"")</f>
        <v/>
      </c>
      <c r="BK520" s="91">
        <f t="shared" ref="BK520:BK583" si="76">SUM(BH520:BJ520)</f>
        <v>0</v>
      </c>
      <c r="BL520" s="92">
        <f t="shared" ref="BL520:BL583" si="77">AG520-SUM(AL520,AS520,AX520)</f>
        <v>0</v>
      </c>
      <c r="BM520" s="95"/>
    </row>
    <row r="521" spans="1:65">
      <c r="A521" s="61">
        <f t="shared" si="54"/>
        <v>0</v>
      </c>
      <c r="B521" s="62"/>
      <c r="C521" s="62"/>
      <c r="D521" s="63"/>
      <c r="E521" s="64"/>
      <c r="F521" s="64"/>
      <c r="G521" s="65"/>
      <c r="H521" s="66" t="str">
        <f t="shared" si="55"/>
        <v/>
      </c>
      <c r="I521" s="67" t="str">
        <f t="shared" si="56"/>
        <v/>
      </c>
      <c r="J521" s="68" t="str">
        <f t="shared" si="57"/>
        <v/>
      </c>
      <c r="K521" s="69" t="str">
        <f t="shared" si="58"/>
        <v/>
      </c>
      <c r="L521" s="70" t="str">
        <f t="shared" si="59"/>
        <v/>
      </c>
      <c r="M521" s="71"/>
      <c r="N521" s="71"/>
      <c r="O521" s="71"/>
      <c r="P521" s="71"/>
      <c r="Q521" s="61"/>
      <c r="R521" s="63"/>
      <c r="S521" s="72"/>
      <c r="T521" s="61"/>
      <c r="U521" s="73"/>
      <c r="V521" s="62"/>
      <c r="W521" s="62"/>
      <c r="X521" s="62"/>
      <c r="Y521" s="93"/>
      <c r="Z521" s="94"/>
      <c r="AA521" s="74"/>
      <c r="AB521" s="75"/>
      <c r="AC521" s="75"/>
      <c r="AD521" s="76"/>
      <c r="AE521" s="77"/>
      <c r="AF521" s="75"/>
      <c r="AG521" s="78"/>
      <c r="AH521" s="79"/>
      <c r="AI521" s="74"/>
      <c r="AJ521" s="75"/>
      <c r="AK521" s="75"/>
      <c r="AL521" s="80">
        <f t="shared" si="60"/>
        <v>0</v>
      </c>
      <c r="AM521" s="74"/>
      <c r="AN521" s="74"/>
      <c r="AO521" s="81" t="str">
        <f t="shared" si="61"/>
        <v/>
      </c>
      <c r="AP521" s="82"/>
      <c r="AQ521" s="75"/>
      <c r="AR521" s="75"/>
      <c r="AS521" s="80">
        <f t="shared" si="62"/>
        <v>0</v>
      </c>
      <c r="AT521" s="74"/>
      <c r="AU521" s="75"/>
      <c r="AV521" s="75"/>
      <c r="AW521" s="75"/>
      <c r="AX521" s="80">
        <f t="shared" si="63"/>
        <v>0</v>
      </c>
      <c r="AY521" s="81" t="str">
        <f t="shared" si="64"/>
        <v/>
      </c>
      <c r="AZ521" s="83" t="str">
        <f t="shared" si="65"/>
        <v/>
      </c>
      <c r="BA521" s="80" t="str">
        <f t="shared" si="66"/>
        <v/>
      </c>
      <c r="BB521" s="84">
        <f t="shared" si="67"/>
        <v>0</v>
      </c>
      <c r="BC521" s="85" t="str">
        <f t="shared" si="68"/>
        <v/>
      </c>
      <c r="BD521" s="86" t="str">
        <f t="shared" si="69"/>
        <v/>
      </c>
      <c r="BE521" s="84">
        <f t="shared" si="70"/>
        <v>0</v>
      </c>
      <c r="BF521" s="87" t="str">
        <f t="shared" si="71"/>
        <v/>
      </c>
      <c r="BG521" s="88" t="str">
        <f t="shared" si="72"/>
        <v/>
      </c>
      <c r="BH521" s="89" t="str">
        <f t="shared" si="73"/>
        <v/>
      </c>
      <c r="BI521" s="90" t="str">
        <f t="shared" si="74"/>
        <v/>
      </c>
      <c r="BJ521" s="90" t="str">
        <f t="shared" si="75"/>
        <v/>
      </c>
      <c r="BK521" s="91">
        <f t="shared" si="76"/>
        <v>0</v>
      </c>
      <c r="BL521" s="92">
        <f t="shared" si="77"/>
        <v>0</v>
      </c>
      <c r="BM521" s="95"/>
    </row>
    <row r="522" spans="1:65">
      <c r="A522" s="61">
        <f t="shared" si="54"/>
        <v>0</v>
      </c>
      <c r="B522" s="62"/>
      <c r="C522" s="62"/>
      <c r="D522" s="63"/>
      <c r="E522" s="64"/>
      <c r="F522" s="64"/>
      <c r="G522" s="65"/>
      <c r="H522" s="66" t="str">
        <f t="shared" si="55"/>
        <v/>
      </c>
      <c r="I522" s="67" t="str">
        <f t="shared" si="56"/>
        <v/>
      </c>
      <c r="J522" s="68" t="str">
        <f t="shared" si="57"/>
        <v/>
      </c>
      <c r="K522" s="69" t="str">
        <f t="shared" si="58"/>
        <v/>
      </c>
      <c r="L522" s="70" t="str">
        <f t="shared" si="59"/>
        <v/>
      </c>
      <c r="M522" s="71"/>
      <c r="N522" s="71"/>
      <c r="O522" s="71"/>
      <c r="P522" s="71"/>
      <c r="Q522" s="61"/>
      <c r="R522" s="63"/>
      <c r="S522" s="72"/>
      <c r="T522" s="61"/>
      <c r="U522" s="73"/>
      <c r="V522" s="62"/>
      <c r="W522" s="62"/>
      <c r="X522" s="62"/>
      <c r="Y522" s="93"/>
      <c r="Z522" s="94"/>
      <c r="AA522" s="74"/>
      <c r="AB522" s="75"/>
      <c r="AC522" s="75"/>
      <c r="AD522" s="76"/>
      <c r="AE522" s="77"/>
      <c r="AF522" s="75"/>
      <c r="AG522" s="78"/>
      <c r="AH522" s="79"/>
      <c r="AI522" s="74"/>
      <c r="AJ522" s="75"/>
      <c r="AK522" s="75"/>
      <c r="AL522" s="80">
        <f t="shared" si="60"/>
        <v>0</v>
      </c>
      <c r="AM522" s="74"/>
      <c r="AN522" s="74"/>
      <c r="AO522" s="81" t="str">
        <f t="shared" si="61"/>
        <v/>
      </c>
      <c r="AP522" s="82"/>
      <c r="AQ522" s="75"/>
      <c r="AR522" s="75"/>
      <c r="AS522" s="80">
        <f t="shared" si="62"/>
        <v>0</v>
      </c>
      <c r="AT522" s="74"/>
      <c r="AU522" s="75"/>
      <c r="AV522" s="75"/>
      <c r="AW522" s="75"/>
      <c r="AX522" s="80">
        <f t="shared" si="63"/>
        <v>0</v>
      </c>
      <c r="AY522" s="81" t="str">
        <f t="shared" si="64"/>
        <v/>
      </c>
      <c r="AZ522" s="83" t="str">
        <f t="shared" si="65"/>
        <v/>
      </c>
      <c r="BA522" s="80" t="str">
        <f t="shared" si="66"/>
        <v/>
      </c>
      <c r="BB522" s="84">
        <f t="shared" si="67"/>
        <v>0</v>
      </c>
      <c r="BC522" s="85" t="str">
        <f t="shared" si="68"/>
        <v/>
      </c>
      <c r="BD522" s="86" t="str">
        <f t="shared" si="69"/>
        <v/>
      </c>
      <c r="BE522" s="84">
        <f t="shared" si="70"/>
        <v>0</v>
      </c>
      <c r="BF522" s="87" t="str">
        <f t="shared" si="71"/>
        <v/>
      </c>
      <c r="BG522" s="88" t="str">
        <f t="shared" si="72"/>
        <v/>
      </c>
      <c r="BH522" s="89" t="str">
        <f t="shared" si="73"/>
        <v/>
      </c>
      <c r="BI522" s="90" t="str">
        <f t="shared" si="74"/>
        <v/>
      </c>
      <c r="BJ522" s="90" t="str">
        <f t="shared" si="75"/>
        <v/>
      </c>
      <c r="BK522" s="91">
        <f t="shared" si="76"/>
        <v>0</v>
      </c>
      <c r="BL522" s="92">
        <f t="shared" si="77"/>
        <v>0</v>
      </c>
      <c r="BM522" s="95"/>
    </row>
    <row r="523" spans="1:65">
      <c r="A523" s="61">
        <f t="shared" si="54"/>
        <v>0</v>
      </c>
      <c r="B523" s="62"/>
      <c r="C523" s="62"/>
      <c r="D523" s="63"/>
      <c r="E523" s="64"/>
      <c r="F523" s="64"/>
      <c r="G523" s="65"/>
      <c r="H523" s="66" t="str">
        <f t="shared" si="55"/>
        <v/>
      </c>
      <c r="I523" s="67" t="str">
        <f t="shared" si="56"/>
        <v/>
      </c>
      <c r="J523" s="68" t="str">
        <f t="shared" si="57"/>
        <v/>
      </c>
      <c r="K523" s="69" t="str">
        <f t="shared" si="58"/>
        <v/>
      </c>
      <c r="L523" s="70" t="str">
        <f t="shared" si="59"/>
        <v/>
      </c>
      <c r="M523" s="71"/>
      <c r="N523" s="71"/>
      <c r="O523" s="71"/>
      <c r="P523" s="71"/>
      <c r="Q523" s="61"/>
      <c r="R523" s="63"/>
      <c r="S523" s="72"/>
      <c r="T523" s="61"/>
      <c r="U523" s="73"/>
      <c r="V523" s="62"/>
      <c r="W523" s="62"/>
      <c r="X523" s="62"/>
      <c r="Y523" s="93"/>
      <c r="Z523" s="94"/>
      <c r="AA523" s="74"/>
      <c r="AB523" s="75"/>
      <c r="AC523" s="75"/>
      <c r="AD523" s="76"/>
      <c r="AE523" s="77"/>
      <c r="AF523" s="75"/>
      <c r="AG523" s="78"/>
      <c r="AH523" s="79"/>
      <c r="AI523" s="74"/>
      <c r="AJ523" s="75"/>
      <c r="AK523" s="75"/>
      <c r="AL523" s="80">
        <f t="shared" si="60"/>
        <v>0</v>
      </c>
      <c r="AM523" s="74"/>
      <c r="AN523" s="74"/>
      <c r="AO523" s="81" t="str">
        <f t="shared" si="61"/>
        <v/>
      </c>
      <c r="AP523" s="82"/>
      <c r="AQ523" s="75"/>
      <c r="AR523" s="75"/>
      <c r="AS523" s="80">
        <f t="shared" si="62"/>
        <v>0</v>
      </c>
      <c r="AT523" s="74"/>
      <c r="AU523" s="75"/>
      <c r="AV523" s="75"/>
      <c r="AW523" s="75"/>
      <c r="AX523" s="80">
        <f t="shared" si="63"/>
        <v>0</v>
      </c>
      <c r="AY523" s="81" t="str">
        <f t="shared" si="64"/>
        <v/>
      </c>
      <c r="AZ523" s="83" t="str">
        <f t="shared" si="65"/>
        <v/>
      </c>
      <c r="BA523" s="80" t="str">
        <f t="shared" si="66"/>
        <v/>
      </c>
      <c r="BB523" s="84">
        <f t="shared" si="67"/>
        <v>0</v>
      </c>
      <c r="BC523" s="85" t="str">
        <f t="shared" si="68"/>
        <v/>
      </c>
      <c r="BD523" s="86" t="str">
        <f t="shared" si="69"/>
        <v/>
      </c>
      <c r="BE523" s="84">
        <f t="shared" si="70"/>
        <v>0</v>
      </c>
      <c r="BF523" s="87" t="str">
        <f t="shared" si="71"/>
        <v/>
      </c>
      <c r="BG523" s="88" t="str">
        <f t="shared" si="72"/>
        <v/>
      </c>
      <c r="BH523" s="89" t="str">
        <f t="shared" si="73"/>
        <v/>
      </c>
      <c r="BI523" s="90" t="str">
        <f t="shared" si="74"/>
        <v/>
      </c>
      <c r="BJ523" s="90" t="str">
        <f t="shared" si="75"/>
        <v/>
      </c>
      <c r="BK523" s="91">
        <f t="shared" si="76"/>
        <v>0</v>
      </c>
      <c r="BL523" s="92">
        <f t="shared" si="77"/>
        <v>0</v>
      </c>
      <c r="BM523" s="95"/>
    </row>
    <row r="524" spans="1:65">
      <c r="A524" s="61">
        <f t="shared" si="54"/>
        <v>0</v>
      </c>
      <c r="B524" s="62"/>
      <c r="C524" s="62"/>
      <c r="D524" s="63"/>
      <c r="E524" s="64"/>
      <c r="F524" s="64"/>
      <c r="G524" s="65"/>
      <c r="H524" s="66" t="str">
        <f t="shared" si="55"/>
        <v/>
      </c>
      <c r="I524" s="67" t="str">
        <f t="shared" si="56"/>
        <v/>
      </c>
      <c r="J524" s="68" t="str">
        <f t="shared" si="57"/>
        <v/>
      </c>
      <c r="K524" s="69" t="str">
        <f t="shared" si="58"/>
        <v/>
      </c>
      <c r="L524" s="70" t="str">
        <f t="shared" si="59"/>
        <v/>
      </c>
      <c r="M524" s="71"/>
      <c r="N524" s="71"/>
      <c r="O524" s="71"/>
      <c r="P524" s="71"/>
      <c r="Q524" s="61"/>
      <c r="R524" s="63"/>
      <c r="S524" s="72"/>
      <c r="T524" s="61"/>
      <c r="U524" s="73"/>
      <c r="V524" s="62"/>
      <c r="W524" s="62"/>
      <c r="X524" s="62"/>
      <c r="Y524" s="93"/>
      <c r="Z524" s="94"/>
      <c r="AA524" s="74"/>
      <c r="AB524" s="75"/>
      <c r="AC524" s="75"/>
      <c r="AD524" s="76"/>
      <c r="AE524" s="77"/>
      <c r="AF524" s="75"/>
      <c r="AG524" s="78"/>
      <c r="AH524" s="79"/>
      <c r="AI524" s="74"/>
      <c r="AJ524" s="75"/>
      <c r="AK524" s="75"/>
      <c r="AL524" s="80">
        <f t="shared" si="60"/>
        <v>0</v>
      </c>
      <c r="AM524" s="74"/>
      <c r="AN524" s="74"/>
      <c r="AO524" s="81" t="str">
        <f t="shared" si="61"/>
        <v/>
      </c>
      <c r="AP524" s="82"/>
      <c r="AQ524" s="75"/>
      <c r="AR524" s="75"/>
      <c r="AS524" s="80">
        <f t="shared" si="62"/>
        <v>0</v>
      </c>
      <c r="AT524" s="74"/>
      <c r="AU524" s="75"/>
      <c r="AV524" s="75"/>
      <c r="AW524" s="75"/>
      <c r="AX524" s="80">
        <f t="shared" si="63"/>
        <v>0</v>
      </c>
      <c r="AY524" s="81" t="str">
        <f t="shared" si="64"/>
        <v/>
      </c>
      <c r="AZ524" s="83" t="str">
        <f t="shared" si="65"/>
        <v/>
      </c>
      <c r="BA524" s="80" t="str">
        <f t="shared" si="66"/>
        <v/>
      </c>
      <c r="BB524" s="84">
        <f t="shared" si="67"/>
        <v>0</v>
      </c>
      <c r="BC524" s="85" t="str">
        <f t="shared" si="68"/>
        <v/>
      </c>
      <c r="BD524" s="86" t="str">
        <f t="shared" si="69"/>
        <v/>
      </c>
      <c r="BE524" s="84">
        <f t="shared" si="70"/>
        <v>0</v>
      </c>
      <c r="BF524" s="87" t="str">
        <f t="shared" si="71"/>
        <v/>
      </c>
      <c r="BG524" s="88" t="str">
        <f t="shared" si="72"/>
        <v/>
      </c>
      <c r="BH524" s="89" t="str">
        <f t="shared" si="73"/>
        <v/>
      </c>
      <c r="BI524" s="90" t="str">
        <f t="shared" si="74"/>
        <v/>
      </c>
      <c r="BJ524" s="90" t="str">
        <f t="shared" si="75"/>
        <v/>
      </c>
      <c r="BK524" s="91">
        <f t="shared" si="76"/>
        <v>0</v>
      </c>
      <c r="BL524" s="92">
        <f t="shared" si="77"/>
        <v>0</v>
      </c>
      <c r="BM524" s="95"/>
    </row>
    <row r="525" spans="1:65">
      <c r="A525" s="61">
        <f t="shared" si="54"/>
        <v>0</v>
      </c>
      <c r="B525" s="62"/>
      <c r="C525" s="62"/>
      <c r="D525" s="63"/>
      <c r="E525" s="64"/>
      <c r="F525" s="64"/>
      <c r="G525" s="65"/>
      <c r="H525" s="66" t="str">
        <f t="shared" si="55"/>
        <v/>
      </c>
      <c r="I525" s="67" t="str">
        <f t="shared" si="56"/>
        <v/>
      </c>
      <c r="J525" s="68" t="str">
        <f t="shared" si="57"/>
        <v/>
      </c>
      <c r="K525" s="69" t="str">
        <f t="shared" si="58"/>
        <v/>
      </c>
      <c r="L525" s="70" t="str">
        <f t="shared" si="59"/>
        <v/>
      </c>
      <c r="M525" s="71"/>
      <c r="N525" s="71"/>
      <c r="O525" s="71"/>
      <c r="P525" s="71"/>
      <c r="Q525" s="61"/>
      <c r="R525" s="63"/>
      <c r="S525" s="72"/>
      <c r="T525" s="61"/>
      <c r="U525" s="73"/>
      <c r="V525" s="62"/>
      <c r="W525" s="62"/>
      <c r="X525" s="62"/>
      <c r="Y525" s="93"/>
      <c r="Z525" s="94"/>
      <c r="AA525" s="74"/>
      <c r="AB525" s="75"/>
      <c r="AC525" s="75"/>
      <c r="AD525" s="76"/>
      <c r="AE525" s="77"/>
      <c r="AF525" s="75"/>
      <c r="AG525" s="78"/>
      <c r="AH525" s="79"/>
      <c r="AI525" s="74"/>
      <c r="AJ525" s="75"/>
      <c r="AK525" s="75"/>
      <c r="AL525" s="80">
        <f t="shared" si="60"/>
        <v>0</v>
      </c>
      <c r="AM525" s="74"/>
      <c r="AN525" s="74"/>
      <c r="AO525" s="81" t="str">
        <f t="shared" si="61"/>
        <v/>
      </c>
      <c r="AP525" s="82"/>
      <c r="AQ525" s="75"/>
      <c r="AR525" s="75"/>
      <c r="AS525" s="80">
        <f t="shared" si="62"/>
        <v>0</v>
      </c>
      <c r="AT525" s="74"/>
      <c r="AU525" s="75"/>
      <c r="AV525" s="75"/>
      <c r="AW525" s="75"/>
      <c r="AX525" s="80">
        <f t="shared" si="63"/>
        <v>0</v>
      </c>
      <c r="AY525" s="81" t="str">
        <f t="shared" si="64"/>
        <v/>
      </c>
      <c r="AZ525" s="83" t="str">
        <f t="shared" si="65"/>
        <v/>
      </c>
      <c r="BA525" s="80" t="str">
        <f t="shared" si="66"/>
        <v/>
      </c>
      <c r="BB525" s="84">
        <f t="shared" si="67"/>
        <v>0</v>
      </c>
      <c r="BC525" s="85" t="str">
        <f t="shared" si="68"/>
        <v/>
      </c>
      <c r="BD525" s="86" t="str">
        <f t="shared" si="69"/>
        <v/>
      </c>
      <c r="BE525" s="84">
        <f t="shared" si="70"/>
        <v>0</v>
      </c>
      <c r="BF525" s="87" t="str">
        <f t="shared" si="71"/>
        <v/>
      </c>
      <c r="BG525" s="88" t="str">
        <f t="shared" si="72"/>
        <v/>
      </c>
      <c r="BH525" s="89" t="str">
        <f t="shared" si="73"/>
        <v/>
      </c>
      <c r="BI525" s="90" t="str">
        <f t="shared" si="74"/>
        <v/>
      </c>
      <c r="BJ525" s="90" t="str">
        <f t="shared" si="75"/>
        <v/>
      </c>
      <c r="BK525" s="91">
        <f t="shared" si="76"/>
        <v>0</v>
      </c>
      <c r="BL525" s="92">
        <f t="shared" si="77"/>
        <v>0</v>
      </c>
      <c r="BM525" s="95"/>
    </row>
    <row r="526" spans="1:65">
      <c r="A526" s="61">
        <f t="shared" si="54"/>
        <v>0</v>
      </c>
      <c r="B526" s="62"/>
      <c r="C526" s="62"/>
      <c r="D526" s="63"/>
      <c r="E526" s="64"/>
      <c r="F526" s="64"/>
      <c r="G526" s="65"/>
      <c r="H526" s="66" t="str">
        <f t="shared" si="55"/>
        <v/>
      </c>
      <c r="I526" s="67" t="str">
        <f t="shared" si="56"/>
        <v/>
      </c>
      <c r="J526" s="68" t="str">
        <f t="shared" si="57"/>
        <v/>
      </c>
      <c r="K526" s="69" t="str">
        <f t="shared" si="58"/>
        <v/>
      </c>
      <c r="L526" s="70" t="str">
        <f t="shared" si="59"/>
        <v/>
      </c>
      <c r="M526" s="71"/>
      <c r="N526" s="71"/>
      <c r="O526" s="71"/>
      <c r="P526" s="71"/>
      <c r="Q526" s="61"/>
      <c r="R526" s="63"/>
      <c r="S526" s="72"/>
      <c r="T526" s="61"/>
      <c r="U526" s="73"/>
      <c r="V526" s="62"/>
      <c r="W526" s="62"/>
      <c r="X526" s="62"/>
      <c r="Y526" s="93"/>
      <c r="Z526" s="94"/>
      <c r="AA526" s="74"/>
      <c r="AB526" s="75"/>
      <c r="AC526" s="75"/>
      <c r="AD526" s="76"/>
      <c r="AE526" s="77"/>
      <c r="AF526" s="75"/>
      <c r="AG526" s="78"/>
      <c r="AH526" s="79"/>
      <c r="AI526" s="74"/>
      <c r="AJ526" s="75"/>
      <c r="AK526" s="75"/>
      <c r="AL526" s="80">
        <f t="shared" si="60"/>
        <v>0</v>
      </c>
      <c r="AM526" s="74"/>
      <c r="AN526" s="74"/>
      <c r="AO526" s="81" t="str">
        <f t="shared" si="61"/>
        <v/>
      </c>
      <c r="AP526" s="82"/>
      <c r="AQ526" s="75"/>
      <c r="AR526" s="75"/>
      <c r="AS526" s="80">
        <f t="shared" si="62"/>
        <v>0</v>
      </c>
      <c r="AT526" s="74"/>
      <c r="AU526" s="75"/>
      <c r="AV526" s="75"/>
      <c r="AW526" s="75"/>
      <c r="AX526" s="80">
        <f t="shared" si="63"/>
        <v>0</v>
      </c>
      <c r="AY526" s="81" t="str">
        <f t="shared" si="64"/>
        <v/>
      </c>
      <c r="AZ526" s="83" t="str">
        <f t="shared" si="65"/>
        <v/>
      </c>
      <c r="BA526" s="80" t="str">
        <f t="shared" si="66"/>
        <v/>
      </c>
      <c r="BB526" s="84">
        <f t="shared" si="67"/>
        <v>0</v>
      </c>
      <c r="BC526" s="85" t="str">
        <f t="shared" si="68"/>
        <v/>
      </c>
      <c r="BD526" s="86" t="str">
        <f t="shared" si="69"/>
        <v/>
      </c>
      <c r="BE526" s="84">
        <f t="shared" si="70"/>
        <v>0</v>
      </c>
      <c r="BF526" s="87" t="str">
        <f t="shared" si="71"/>
        <v/>
      </c>
      <c r="BG526" s="88" t="str">
        <f t="shared" si="72"/>
        <v/>
      </c>
      <c r="BH526" s="89" t="str">
        <f t="shared" si="73"/>
        <v/>
      </c>
      <c r="BI526" s="90" t="str">
        <f t="shared" si="74"/>
        <v/>
      </c>
      <c r="BJ526" s="90" t="str">
        <f t="shared" si="75"/>
        <v/>
      </c>
      <c r="BK526" s="91">
        <f t="shared" si="76"/>
        <v>0</v>
      </c>
      <c r="BL526" s="92">
        <f t="shared" si="77"/>
        <v>0</v>
      </c>
      <c r="BM526" s="95"/>
    </row>
    <row r="527" spans="1:65">
      <c r="A527" s="61">
        <f t="shared" si="54"/>
        <v>0</v>
      </c>
      <c r="B527" s="62"/>
      <c r="C527" s="62"/>
      <c r="D527" s="63"/>
      <c r="E527" s="64"/>
      <c r="F527" s="64"/>
      <c r="G527" s="65"/>
      <c r="H527" s="66" t="str">
        <f t="shared" si="55"/>
        <v/>
      </c>
      <c r="I527" s="67" t="str">
        <f t="shared" si="56"/>
        <v/>
      </c>
      <c r="J527" s="68" t="str">
        <f t="shared" si="57"/>
        <v/>
      </c>
      <c r="K527" s="69" t="str">
        <f t="shared" si="58"/>
        <v/>
      </c>
      <c r="L527" s="70" t="str">
        <f t="shared" si="59"/>
        <v/>
      </c>
      <c r="M527" s="71"/>
      <c r="N527" s="71"/>
      <c r="O527" s="71"/>
      <c r="P527" s="71"/>
      <c r="Q527" s="61"/>
      <c r="R527" s="63"/>
      <c r="S527" s="72"/>
      <c r="T527" s="61"/>
      <c r="U527" s="73"/>
      <c r="V527" s="62"/>
      <c r="W527" s="62"/>
      <c r="X527" s="62"/>
      <c r="Y527" s="93"/>
      <c r="Z527" s="94"/>
      <c r="AA527" s="74"/>
      <c r="AB527" s="75"/>
      <c r="AC527" s="75"/>
      <c r="AD527" s="76"/>
      <c r="AE527" s="77"/>
      <c r="AF527" s="75"/>
      <c r="AG527" s="78"/>
      <c r="AH527" s="79"/>
      <c r="AI527" s="74"/>
      <c r="AJ527" s="75"/>
      <c r="AK527" s="75"/>
      <c r="AL527" s="80">
        <f t="shared" si="60"/>
        <v>0</v>
      </c>
      <c r="AM527" s="74"/>
      <c r="AN527" s="74"/>
      <c r="AO527" s="81" t="str">
        <f t="shared" si="61"/>
        <v/>
      </c>
      <c r="AP527" s="82"/>
      <c r="AQ527" s="75"/>
      <c r="AR527" s="75"/>
      <c r="AS527" s="80">
        <f t="shared" si="62"/>
        <v>0</v>
      </c>
      <c r="AT527" s="74"/>
      <c r="AU527" s="75"/>
      <c r="AV527" s="75"/>
      <c r="AW527" s="75"/>
      <c r="AX527" s="80">
        <f t="shared" si="63"/>
        <v>0</v>
      </c>
      <c r="AY527" s="81" t="str">
        <f t="shared" si="64"/>
        <v/>
      </c>
      <c r="AZ527" s="83" t="str">
        <f t="shared" si="65"/>
        <v/>
      </c>
      <c r="BA527" s="80" t="str">
        <f t="shared" si="66"/>
        <v/>
      </c>
      <c r="BB527" s="84">
        <f t="shared" si="67"/>
        <v>0</v>
      </c>
      <c r="BC527" s="85" t="str">
        <f t="shared" si="68"/>
        <v/>
      </c>
      <c r="BD527" s="86" t="str">
        <f t="shared" si="69"/>
        <v/>
      </c>
      <c r="BE527" s="84">
        <f t="shared" si="70"/>
        <v>0</v>
      </c>
      <c r="BF527" s="87" t="str">
        <f t="shared" si="71"/>
        <v/>
      </c>
      <c r="BG527" s="88" t="str">
        <f t="shared" si="72"/>
        <v/>
      </c>
      <c r="BH527" s="89" t="str">
        <f t="shared" si="73"/>
        <v/>
      </c>
      <c r="BI527" s="90" t="str">
        <f t="shared" si="74"/>
        <v/>
      </c>
      <c r="BJ527" s="90" t="str">
        <f t="shared" si="75"/>
        <v/>
      </c>
      <c r="BK527" s="91">
        <f t="shared" si="76"/>
        <v>0</v>
      </c>
      <c r="BL527" s="92">
        <f t="shared" si="77"/>
        <v>0</v>
      </c>
      <c r="BM527" s="95"/>
    </row>
    <row r="528" spans="1:65">
      <c r="A528" s="61">
        <f t="shared" si="54"/>
        <v>0</v>
      </c>
      <c r="B528" s="62"/>
      <c r="C528" s="62"/>
      <c r="D528" s="63"/>
      <c r="E528" s="64"/>
      <c r="F528" s="64"/>
      <c r="G528" s="65"/>
      <c r="H528" s="66" t="str">
        <f t="shared" si="55"/>
        <v/>
      </c>
      <c r="I528" s="67" t="str">
        <f t="shared" si="56"/>
        <v/>
      </c>
      <c r="J528" s="68" t="str">
        <f t="shared" si="57"/>
        <v/>
      </c>
      <c r="K528" s="69" t="str">
        <f t="shared" si="58"/>
        <v/>
      </c>
      <c r="L528" s="70" t="str">
        <f t="shared" si="59"/>
        <v/>
      </c>
      <c r="M528" s="71"/>
      <c r="N528" s="71"/>
      <c r="O528" s="71"/>
      <c r="P528" s="71"/>
      <c r="Q528" s="61"/>
      <c r="R528" s="63"/>
      <c r="S528" s="72"/>
      <c r="T528" s="61"/>
      <c r="U528" s="73"/>
      <c r="V528" s="62"/>
      <c r="W528" s="62"/>
      <c r="X528" s="62"/>
      <c r="Y528" s="93"/>
      <c r="Z528" s="94"/>
      <c r="AA528" s="74"/>
      <c r="AB528" s="75"/>
      <c r="AC528" s="75"/>
      <c r="AD528" s="76"/>
      <c r="AE528" s="77"/>
      <c r="AF528" s="75"/>
      <c r="AG528" s="78"/>
      <c r="AH528" s="79"/>
      <c r="AI528" s="74"/>
      <c r="AJ528" s="75"/>
      <c r="AK528" s="75"/>
      <c r="AL528" s="80">
        <f t="shared" si="60"/>
        <v>0</v>
      </c>
      <c r="AM528" s="74"/>
      <c r="AN528" s="74"/>
      <c r="AO528" s="81" t="str">
        <f t="shared" si="61"/>
        <v/>
      </c>
      <c r="AP528" s="82"/>
      <c r="AQ528" s="75"/>
      <c r="AR528" s="75"/>
      <c r="AS528" s="80">
        <f t="shared" si="62"/>
        <v>0</v>
      </c>
      <c r="AT528" s="74"/>
      <c r="AU528" s="75"/>
      <c r="AV528" s="75"/>
      <c r="AW528" s="75"/>
      <c r="AX528" s="80">
        <f t="shared" si="63"/>
        <v>0</v>
      </c>
      <c r="AY528" s="81" t="str">
        <f t="shared" si="64"/>
        <v/>
      </c>
      <c r="AZ528" s="83" t="str">
        <f t="shared" si="65"/>
        <v/>
      </c>
      <c r="BA528" s="80" t="str">
        <f t="shared" si="66"/>
        <v/>
      </c>
      <c r="BB528" s="84">
        <f t="shared" si="67"/>
        <v>0</v>
      </c>
      <c r="BC528" s="85" t="str">
        <f t="shared" si="68"/>
        <v/>
      </c>
      <c r="BD528" s="86" t="str">
        <f t="shared" si="69"/>
        <v/>
      </c>
      <c r="BE528" s="84">
        <f t="shared" si="70"/>
        <v>0</v>
      </c>
      <c r="BF528" s="87" t="str">
        <f t="shared" si="71"/>
        <v/>
      </c>
      <c r="BG528" s="88" t="str">
        <f t="shared" si="72"/>
        <v/>
      </c>
      <c r="BH528" s="89" t="str">
        <f t="shared" si="73"/>
        <v/>
      </c>
      <c r="BI528" s="90" t="str">
        <f t="shared" si="74"/>
        <v/>
      </c>
      <c r="BJ528" s="90" t="str">
        <f t="shared" si="75"/>
        <v/>
      </c>
      <c r="BK528" s="91">
        <f t="shared" si="76"/>
        <v>0</v>
      </c>
      <c r="BL528" s="92">
        <f t="shared" si="77"/>
        <v>0</v>
      </c>
      <c r="BM528" s="95"/>
    </row>
    <row r="529" spans="1:65">
      <c r="A529" s="61">
        <f t="shared" si="54"/>
        <v>0</v>
      </c>
      <c r="B529" s="62"/>
      <c r="C529" s="62"/>
      <c r="D529" s="63"/>
      <c r="E529" s="64"/>
      <c r="F529" s="64"/>
      <c r="G529" s="65"/>
      <c r="H529" s="66" t="str">
        <f t="shared" si="55"/>
        <v/>
      </c>
      <c r="I529" s="67" t="str">
        <f t="shared" si="56"/>
        <v/>
      </c>
      <c r="J529" s="68" t="str">
        <f t="shared" si="57"/>
        <v/>
      </c>
      <c r="K529" s="69" t="str">
        <f t="shared" si="58"/>
        <v/>
      </c>
      <c r="L529" s="70" t="str">
        <f t="shared" si="59"/>
        <v/>
      </c>
      <c r="M529" s="71"/>
      <c r="N529" s="71"/>
      <c r="O529" s="71"/>
      <c r="P529" s="71"/>
      <c r="Q529" s="61"/>
      <c r="R529" s="63"/>
      <c r="S529" s="72"/>
      <c r="T529" s="61"/>
      <c r="U529" s="73"/>
      <c r="V529" s="62"/>
      <c r="W529" s="62"/>
      <c r="X529" s="62"/>
      <c r="Y529" s="93"/>
      <c r="Z529" s="94"/>
      <c r="AA529" s="74"/>
      <c r="AB529" s="75"/>
      <c r="AC529" s="75"/>
      <c r="AD529" s="76"/>
      <c r="AE529" s="77"/>
      <c r="AF529" s="75"/>
      <c r="AG529" s="78"/>
      <c r="AH529" s="79"/>
      <c r="AI529" s="74"/>
      <c r="AJ529" s="75"/>
      <c r="AK529" s="75"/>
      <c r="AL529" s="80">
        <f t="shared" si="60"/>
        <v>0</v>
      </c>
      <c r="AM529" s="74"/>
      <c r="AN529" s="74"/>
      <c r="AO529" s="81" t="str">
        <f t="shared" si="61"/>
        <v/>
      </c>
      <c r="AP529" s="82"/>
      <c r="AQ529" s="75"/>
      <c r="AR529" s="75"/>
      <c r="AS529" s="80">
        <f t="shared" si="62"/>
        <v>0</v>
      </c>
      <c r="AT529" s="74"/>
      <c r="AU529" s="75"/>
      <c r="AV529" s="75"/>
      <c r="AW529" s="75"/>
      <c r="AX529" s="80">
        <f t="shared" si="63"/>
        <v>0</v>
      </c>
      <c r="AY529" s="81" t="str">
        <f t="shared" si="64"/>
        <v/>
      </c>
      <c r="AZ529" s="83" t="str">
        <f t="shared" si="65"/>
        <v/>
      </c>
      <c r="BA529" s="80" t="str">
        <f t="shared" si="66"/>
        <v/>
      </c>
      <c r="BB529" s="84">
        <f t="shared" si="67"/>
        <v>0</v>
      </c>
      <c r="BC529" s="85" t="str">
        <f t="shared" si="68"/>
        <v/>
      </c>
      <c r="BD529" s="86" t="str">
        <f t="shared" si="69"/>
        <v/>
      </c>
      <c r="BE529" s="84">
        <f t="shared" si="70"/>
        <v>0</v>
      </c>
      <c r="BF529" s="87" t="str">
        <f t="shared" si="71"/>
        <v/>
      </c>
      <c r="BG529" s="88" t="str">
        <f t="shared" si="72"/>
        <v/>
      </c>
      <c r="BH529" s="89" t="str">
        <f t="shared" si="73"/>
        <v/>
      </c>
      <c r="BI529" s="90" t="str">
        <f t="shared" si="74"/>
        <v/>
      </c>
      <c r="BJ529" s="90" t="str">
        <f t="shared" si="75"/>
        <v/>
      </c>
      <c r="BK529" s="91">
        <f t="shared" si="76"/>
        <v>0</v>
      </c>
      <c r="BL529" s="92">
        <f t="shared" si="77"/>
        <v>0</v>
      </c>
      <c r="BM529" s="95"/>
    </row>
    <row r="530" spans="1:65">
      <c r="A530" s="61">
        <f t="shared" si="54"/>
        <v>0</v>
      </c>
      <c r="B530" s="62"/>
      <c r="C530" s="62"/>
      <c r="D530" s="63"/>
      <c r="E530" s="64"/>
      <c r="F530" s="64"/>
      <c r="G530" s="65"/>
      <c r="H530" s="66" t="str">
        <f t="shared" si="55"/>
        <v/>
      </c>
      <c r="I530" s="67" t="str">
        <f t="shared" si="56"/>
        <v/>
      </c>
      <c r="J530" s="68" t="str">
        <f t="shared" si="57"/>
        <v/>
      </c>
      <c r="K530" s="69" t="str">
        <f t="shared" si="58"/>
        <v/>
      </c>
      <c r="L530" s="70" t="str">
        <f t="shared" si="59"/>
        <v/>
      </c>
      <c r="M530" s="71"/>
      <c r="N530" s="71"/>
      <c r="O530" s="71"/>
      <c r="P530" s="71"/>
      <c r="Q530" s="61"/>
      <c r="R530" s="63"/>
      <c r="S530" s="72"/>
      <c r="T530" s="61"/>
      <c r="U530" s="73"/>
      <c r="V530" s="62"/>
      <c r="W530" s="62"/>
      <c r="X530" s="62"/>
      <c r="Y530" s="93"/>
      <c r="Z530" s="94"/>
      <c r="AA530" s="74"/>
      <c r="AB530" s="75"/>
      <c r="AC530" s="75"/>
      <c r="AD530" s="76"/>
      <c r="AE530" s="77"/>
      <c r="AF530" s="75"/>
      <c r="AG530" s="78"/>
      <c r="AH530" s="79"/>
      <c r="AI530" s="74"/>
      <c r="AJ530" s="75"/>
      <c r="AK530" s="75"/>
      <c r="AL530" s="80">
        <f t="shared" si="60"/>
        <v>0</v>
      </c>
      <c r="AM530" s="74"/>
      <c r="AN530" s="74"/>
      <c r="AO530" s="81" t="str">
        <f t="shared" si="61"/>
        <v/>
      </c>
      <c r="AP530" s="82"/>
      <c r="AQ530" s="75"/>
      <c r="AR530" s="75"/>
      <c r="AS530" s="80">
        <f t="shared" si="62"/>
        <v>0</v>
      </c>
      <c r="AT530" s="74"/>
      <c r="AU530" s="75"/>
      <c r="AV530" s="75"/>
      <c r="AW530" s="75"/>
      <c r="AX530" s="80">
        <f t="shared" si="63"/>
        <v>0</v>
      </c>
      <c r="AY530" s="81" t="str">
        <f t="shared" si="64"/>
        <v/>
      </c>
      <c r="AZ530" s="83" t="str">
        <f t="shared" si="65"/>
        <v/>
      </c>
      <c r="BA530" s="80" t="str">
        <f t="shared" si="66"/>
        <v/>
      </c>
      <c r="BB530" s="84">
        <f t="shared" si="67"/>
        <v>0</v>
      </c>
      <c r="BC530" s="85" t="str">
        <f t="shared" si="68"/>
        <v/>
      </c>
      <c r="BD530" s="86" t="str">
        <f t="shared" si="69"/>
        <v/>
      </c>
      <c r="BE530" s="84">
        <f t="shared" si="70"/>
        <v>0</v>
      </c>
      <c r="BF530" s="87" t="str">
        <f t="shared" si="71"/>
        <v/>
      </c>
      <c r="BG530" s="88" t="str">
        <f t="shared" si="72"/>
        <v/>
      </c>
      <c r="BH530" s="89" t="str">
        <f t="shared" si="73"/>
        <v/>
      </c>
      <c r="BI530" s="90" t="str">
        <f t="shared" si="74"/>
        <v/>
      </c>
      <c r="BJ530" s="90" t="str">
        <f t="shared" si="75"/>
        <v/>
      </c>
      <c r="BK530" s="91">
        <f t="shared" si="76"/>
        <v>0</v>
      </c>
      <c r="BL530" s="92">
        <f t="shared" si="77"/>
        <v>0</v>
      </c>
      <c r="BM530" s="95"/>
    </row>
    <row r="531" spans="1:65">
      <c r="A531" s="61">
        <f t="shared" si="54"/>
        <v>0</v>
      </c>
      <c r="B531" s="62"/>
      <c r="C531" s="62"/>
      <c r="D531" s="63"/>
      <c r="E531" s="64"/>
      <c r="F531" s="64"/>
      <c r="G531" s="65"/>
      <c r="H531" s="66" t="str">
        <f t="shared" si="55"/>
        <v/>
      </c>
      <c r="I531" s="67" t="str">
        <f t="shared" si="56"/>
        <v/>
      </c>
      <c r="J531" s="68" t="str">
        <f t="shared" si="57"/>
        <v/>
      </c>
      <c r="K531" s="69" t="str">
        <f t="shared" si="58"/>
        <v/>
      </c>
      <c r="L531" s="70" t="str">
        <f t="shared" si="59"/>
        <v/>
      </c>
      <c r="M531" s="71"/>
      <c r="N531" s="71"/>
      <c r="O531" s="71"/>
      <c r="P531" s="71"/>
      <c r="Q531" s="61"/>
      <c r="R531" s="63"/>
      <c r="S531" s="72"/>
      <c r="T531" s="61"/>
      <c r="U531" s="73"/>
      <c r="V531" s="62"/>
      <c r="W531" s="62"/>
      <c r="X531" s="62"/>
      <c r="Y531" s="93"/>
      <c r="Z531" s="94"/>
      <c r="AA531" s="74"/>
      <c r="AB531" s="75"/>
      <c r="AC531" s="75"/>
      <c r="AD531" s="76"/>
      <c r="AE531" s="77"/>
      <c r="AF531" s="75"/>
      <c r="AG531" s="78"/>
      <c r="AH531" s="79"/>
      <c r="AI531" s="74"/>
      <c r="AJ531" s="75"/>
      <c r="AK531" s="75"/>
      <c r="AL531" s="80">
        <f t="shared" si="60"/>
        <v>0</v>
      </c>
      <c r="AM531" s="74"/>
      <c r="AN531" s="74"/>
      <c r="AO531" s="81" t="str">
        <f t="shared" si="61"/>
        <v/>
      </c>
      <c r="AP531" s="82"/>
      <c r="AQ531" s="75"/>
      <c r="AR531" s="75"/>
      <c r="AS531" s="80">
        <f t="shared" si="62"/>
        <v>0</v>
      </c>
      <c r="AT531" s="74"/>
      <c r="AU531" s="75"/>
      <c r="AV531" s="75"/>
      <c r="AW531" s="75"/>
      <c r="AX531" s="80">
        <f t="shared" si="63"/>
        <v>0</v>
      </c>
      <c r="AY531" s="81" t="str">
        <f t="shared" si="64"/>
        <v/>
      </c>
      <c r="AZ531" s="83" t="str">
        <f t="shared" si="65"/>
        <v/>
      </c>
      <c r="BA531" s="80" t="str">
        <f t="shared" si="66"/>
        <v/>
      </c>
      <c r="BB531" s="84">
        <f t="shared" si="67"/>
        <v>0</v>
      </c>
      <c r="BC531" s="85" t="str">
        <f t="shared" si="68"/>
        <v/>
      </c>
      <c r="BD531" s="86" t="str">
        <f t="shared" si="69"/>
        <v/>
      </c>
      <c r="BE531" s="84">
        <f t="shared" si="70"/>
        <v>0</v>
      </c>
      <c r="BF531" s="87" t="str">
        <f t="shared" si="71"/>
        <v/>
      </c>
      <c r="BG531" s="88" t="str">
        <f t="shared" si="72"/>
        <v/>
      </c>
      <c r="BH531" s="89" t="str">
        <f t="shared" si="73"/>
        <v/>
      </c>
      <c r="BI531" s="90" t="str">
        <f t="shared" si="74"/>
        <v/>
      </c>
      <c r="BJ531" s="90" t="str">
        <f t="shared" si="75"/>
        <v/>
      </c>
      <c r="BK531" s="91">
        <f t="shared" si="76"/>
        <v>0</v>
      </c>
      <c r="BL531" s="92">
        <f t="shared" si="77"/>
        <v>0</v>
      </c>
      <c r="BM531" s="95"/>
    </row>
    <row r="532" spans="1:65">
      <c r="A532" s="61">
        <f t="shared" si="54"/>
        <v>0</v>
      </c>
      <c r="B532" s="62"/>
      <c r="C532" s="62"/>
      <c r="D532" s="63"/>
      <c r="E532" s="64"/>
      <c r="F532" s="64"/>
      <c r="G532" s="65"/>
      <c r="H532" s="66" t="str">
        <f t="shared" si="55"/>
        <v/>
      </c>
      <c r="I532" s="67" t="str">
        <f t="shared" si="56"/>
        <v/>
      </c>
      <c r="J532" s="68" t="str">
        <f t="shared" si="57"/>
        <v/>
      </c>
      <c r="K532" s="69" t="str">
        <f t="shared" si="58"/>
        <v/>
      </c>
      <c r="L532" s="70" t="str">
        <f t="shared" si="59"/>
        <v/>
      </c>
      <c r="M532" s="71"/>
      <c r="N532" s="71"/>
      <c r="O532" s="71"/>
      <c r="P532" s="71"/>
      <c r="Q532" s="61"/>
      <c r="R532" s="63"/>
      <c r="S532" s="72"/>
      <c r="T532" s="61"/>
      <c r="U532" s="73"/>
      <c r="V532" s="62"/>
      <c r="W532" s="62"/>
      <c r="X532" s="62"/>
      <c r="Y532" s="93"/>
      <c r="Z532" s="94"/>
      <c r="AA532" s="74"/>
      <c r="AB532" s="75"/>
      <c r="AC532" s="75"/>
      <c r="AD532" s="76"/>
      <c r="AE532" s="77"/>
      <c r="AF532" s="75"/>
      <c r="AG532" s="78"/>
      <c r="AH532" s="79"/>
      <c r="AI532" s="74"/>
      <c r="AJ532" s="75"/>
      <c r="AK532" s="75"/>
      <c r="AL532" s="80">
        <f t="shared" si="60"/>
        <v>0</v>
      </c>
      <c r="AM532" s="74"/>
      <c r="AN532" s="74"/>
      <c r="AO532" s="81" t="str">
        <f t="shared" si="61"/>
        <v/>
      </c>
      <c r="AP532" s="82"/>
      <c r="AQ532" s="75"/>
      <c r="AR532" s="75"/>
      <c r="AS532" s="80">
        <f t="shared" si="62"/>
        <v>0</v>
      </c>
      <c r="AT532" s="74"/>
      <c r="AU532" s="75"/>
      <c r="AV532" s="75"/>
      <c r="AW532" s="75"/>
      <c r="AX532" s="80">
        <f t="shared" si="63"/>
        <v>0</v>
      </c>
      <c r="AY532" s="81" t="str">
        <f t="shared" si="64"/>
        <v/>
      </c>
      <c r="AZ532" s="83" t="str">
        <f t="shared" si="65"/>
        <v/>
      </c>
      <c r="BA532" s="80" t="str">
        <f t="shared" si="66"/>
        <v/>
      </c>
      <c r="BB532" s="84">
        <f t="shared" si="67"/>
        <v>0</v>
      </c>
      <c r="BC532" s="85" t="str">
        <f t="shared" si="68"/>
        <v/>
      </c>
      <c r="BD532" s="86" t="str">
        <f t="shared" si="69"/>
        <v/>
      </c>
      <c r="BE532" s="84">
        <f t="shared" si="70"/>
        <v>0</v>
      </c>
      <c r="BF532" s="87" t="str">
        <f t="shared" si="71"/>
        <v/>
      </c>
      <c r="BG532" s="88" t="str">
        <f t="shared" si="72"/>
        <v/>
      </c>
      <c r="BH532" s="89" t="str">
        <f t="shared" si="73"/>
        <v/>
      </c>
      <c r="BI532" s="90" t="str">
        <f t="shared" si="74"/>
        <v/>
      </c>
      <c r="BJ532" s="90" t="str">
        <f t="shared" si="75"/>
        <v/>
      </c>
      <c r="BK532" s="91">
        <f t="shared" si="76"/>
        <v>0</v>
      </c>
      <c r="BL532" s="92">
        <f t="shared" si="77"/>
        <v>0</v>
      </c>
      <c r="BM532" s="95"/>
    </row>
    <row r="533" spans="1:65">
      <c r="A533" s="61">
        <f t="shared" si="54"/>
        <v>0</v>
      </c>
      <c r="B533" s="62"/>
      <c r="C533" s="62"/>
      <c r="D533" s="63"/>
      <c r="E533" s="64"/>
      <c r="F533" s="64"/>
      <c r="G533" s="65"/>
      <c r="H533" s="66" t="str">
        <f t="shared" si="55"/>
        <v/>
      </c>
      <c r="I533" s="67" t="str">
        <f t="shared" si="56"/>
        <v/>
      </c>
      <c r="J533" s="68" t="str">
        <f t="shared" si="57"/>
        <v/>
      </c>
      <c r="K533" s="69" t="str">
        <f t="shared" si="58"/>
        <v/>
      </c>
      <c r="L533" s="70" t="str">
        <f t="shared" si="59"/>
        <v/>
      </c>
      <c r="M533" s="71"/>
      <c r="N533" s="71"/>
      <c r="O533" s="71"/>
      <c r="P533" s="71"/>
      <c r="Q533" s="61"/>
      <c r="R533" s="63"/>
      <c r="S533" s="72"/>
      <c r="T533" s="61"/>
      <c r="U533" s="73"/>
      <c r="V533" s="62"/>
      <c r="W533" s="62"/>
      <c r="X533" s="62"/>
      <c r="Y533" s="93"/>
      <c r="Z533" s="94"/>
      <c r="AA533" s="74"/>
      <c r="AB533" s="75"/>
      <c r="AC533" s="75"/>
      <c r="AD533" s="76"/>
      <c r="AE533" s="77"/>
      <c r="AF533" s="75"/>
      <c r="AG533" s="78"/>
      <c r="AH533" s="79"/>
      <c r="AI533" s="74"/>
      <c r="AJ533" s="75"/>
      <c r="AK533" s="75"/>
      <c r="AL533" s="80">
        <f t="shared" si="60"/>
        <v>0</v>
      </c>
      <c r="AM533" s="74"/>
      <c r="AN533" s="74"/>
      <c r="AO533" s="81" t="str">
        <f t="shared" si="61"/>
        <v/>
      </c>
      <c r="AP533" s="82"/>
      <c r="AQ533" s="75"/>
      <c r="AR533" s="75"/>
      <c r="AS533" s="80">
        <f t="shared" si="62"/>
        <v>0</v>
      </c>
      <c r="AT533" s="74"/>
      <c r="AU533" s="75"/>
      <c r="AV533" s="75"/>
      <c r="AW533" s="75"/>
      <c r="AX533" s="80">
        <f t="shared" si="63"/>
        <v>0</v>
      </c>
      <c r="AY533" s="81" t="str">
        <f t="shared" si="64"/>
        <v/>
      </c>
      <c r="AZ533" s="83" t="str">
        <f t="shared" si="65"/>
        <v/>
      </c>
      <c r="BA533" s="80" t="str">
        <f t="shared" si="66"/>
        <v/>
      </c>
      <c r="BB533" s="84">
        <f t="shared" si="67"/>
        <v>0</v>
      </c>
      <c r="BC533" s="85" t="str">
        <f t="shared" si="68"/>
        <v/>
      </c>
      <c r="BD533" s="86" t="str">
        <f t="shared" si="69"/>
        <v/>
      </c>
      <c r="BE533" s="84">
        <f t="shared" si="70"/>
        <v>0</v>
      </c>
      <c r="BF533" s="87" t="str">
        <f t="shared" si="71"/>
        <v/>
      </c>
      <c r="BG533" s="88" t="str">
        <f t="shared" si="72"/>
        <v/>
      </c>
      <c r="BH533" s="89" t="str">
        <f t="shared" si="73"/>
        <v/>
      </c>
      <c r="BI533" s="90" t="str">
        <f t="shared" si="74"/>
        <v/>
      </c>
      <c r="BJ533" s="90" t="str">
        <f t="shared" si="75"/>
        <v/>
      </c>
      <c r="BK533" s="91">
        <f t="shared" si="76"/>
        <v>0</v>
      </c>
      <c r="BL533" s="92">
        <f t="shared" si="77"/>
        <v>0</v>
      </c>
      <c r="BM533" s="95"/>
    </row>
    <row r="534" spans="1:65">
      <c r="A534" s="61">
        <f t="shared" si="54"/>
        <v>0</v>
      </c>
      <c r="B534" s="62"/>
      <c r="C534" s="62"/>
      <c r="D534" s="63"/>
      <c r="E534" s="64"/>
      <c r="F534" s="64"/>
      <c r="G534" s="65"/>
      <c r="H534" s="66" t="str">
        <f t="shared" si="55"/>
        <v/>
      </c>
      <c r="I534" s="67" t="str">
        <f t="shared" si="56"/>
        <v/>
      </c>
      <c r="J534" s="68" t="str">
        <f t="shared" si="57"/>
        <v/>
      </c>
      <c r="K534" s="69" t="str">
        <f t="shared" si="58"/>
        <v/>
      </c>
      <c r="L534" s="70" t="str">
        <f t="shared" si="59"/>
        <v/>
      </c>
      <c r="M534" s="71"/>
      <c r="N534" s="71"/>
      <c r="O534" s="71"/>
      <c r="P534" s="71"/>
      <c r="Q534" s="61"/>
      <c r="R534" s="63"/>
      <c r="S534" s="72"/>
      <c r="T534" s="61"/>
      <c r="U534" s="73"/>
      <c r="V534" s="62"/>
      <c r="W534" s="62"/>
      <c r="X534" s="62"/>
      <c r="Y534" s="93"/>
      <c r="Z534" s="94"/>
      <c r="AA534" s="74"/>
      <c r="AB534" s="75"/>
      <c r="AC534" s="75"/>
      <c r="AD534" s="76"/>
      <c r="AE534" s="77"/>
      <c r="AF534" s="75"/>
      <c r="AG534" s="78"/>
      <c r="AH534" s="79"/>
      <c r="AI534" s="74"/>
      <c r="AJ534" s="75"/>
      <c r="AK534" s="75"/>
      <c r="AL534" s="80">
        <f t="shared" si="60"/>
        <v>0</v>
      </c>
      <c r="AM534" s="74"/>
      <c r="AN534" s="74"/>
      <c r="AO534" s="81" t="str">
        <f t="shared" si="61"/>
        <v/>
      </c>
      <c r="AP534" s="82"/>
      <c r="AQ534" s="75"/>
      <c r="AR534" s="75"/>
      <c r="AS534" s="80">
        <f t="shared" si="62"/>
        <v>0</v>
      </c>
      <c r="AT534" s="74"/>
      <c r="AU534" s="75"/>
      <c r="AV534" s="75"/>
      <c r="AW534" s="75"/>
      <c r="AX534" s="80">
        <f t="shared" si="63"/>
        <v>0</v>
      </c>
      <c r="AY534" s="81" t="str">
        <f t="shared" si="64"/>
        <v/>
      </c>
      <c r="AZ534" s="83" t="str">
        <f t="shared" si="65"/>
        <v/>
      </c>
      <c r="BA534" s="80" t="str">
        <f t="shared" si="66"/>
        <v/>
      </c>
      <c r="BB534" s="84">
        <f t="shared" si="67"/>
        <v>0</v>
      </c>
      <c r="BC534" s="85" t="str">
        <f t="shared" si="68"/>
        <v/>
      </c>
      <c r="BD534" s="86" t="str">
        <f t="shared" si="69"/>
        <v/>
      </c>
      <c r="BE534" s="84">
        <f t="shared" si="70"/>
        <v>0</v>
      </c>
      <c r="BF534" s="87" t="str">
        <f t="shared" si="71"/>
        <v/>
      </c>
      <c r="BG534" s="88" t="str">
        <f t="shared" si="72"/>
        <v/>
      </c>
      <c r="BH534" s="89" t="str">
        <f t="shared" si="73"/>
        <v/>
      </c>
      <c r="BI534" s="90" t="str">
        <f t="shared" si="74"/>
        <v/>
      </c>
      <c r="BJ534" s="90" t="str">
        <f t="shared" si="75"/>
        <v/>
      </c>
      <c r="BK534" s="91">
        <f t="shared" si="76"/>
        <v>0</v>
      </c>
      <c r="BL534" s="92">
        <f t="shared" si="77"/>
        <v>0</v>
      </c>
      <c r="BM534" s="95"/>
    </row>
    <row r="535" spans="1:65">
      <c r="A535" s="61">
        <f t="shared" si="54"/>
        <v>0</v>
      </c>
      <c r="B535" s="62"/>
      <c r="C535" s="62"/>
      <c r="D535" s="63"/>
      <c r="E535" s="64"/>
      <c r="F535" s="64"/>
      <c r="G535" s="65"/>
      <c r="H535" s="66" t="str">
        <f t="shared" si="55"/>
        <v/>
      </c>
      <c r="I535" s="67" t="str">
        <f t="shared" si="56"/>
        <v/>
      </c>
      <c r="J535" s="68" t="str">
        <f t="shared" si="57"/>
        <v/>
      </c>
      <c r="K535" s="69" t="str">
        <f t="shared" si="58"/>
        <v/>
      </c>
      <c r="L535" s="70" t="str">
        <f t="shared" si="59"/>
        <v/>
      </c>
      <c r="M535" s="71"/>
      <c r="N535" s="71"/>
      <c r="O535" s="71"/>
      <c r="P535" s="71"/>
      <c r="Q535" s="61"/>
      <c r="R535" s="63"/>
      <c r="S535" s="72"/>
      <c r="T535" s="61"/>
      <c r="U535" s="73"/>
      <c r="V535" s="62"/>
      <c r="W535" s="62"/>
      <c r="X535" s="62"/>
      <c r="Y535" s="93"/>
      <c r="Z535" s="94"/>
      <c r="AA535" s="74"/>
      <c r="AB535" s="75"/>
      <c r="AC535" s="75"/>
      <c r="AD535" s="76"/>
      <c r="AE535" s="77"/>
      <c r="AF535" s="75"/>
      <c r="AG535" s="78"/>
      <c r="AH535" s="79"/>
      <c r="AI535" s="74"/>
      <c r="AJ535" s="75"/>
      <c r="AK535" s="75"/>
      <c r="AL535" s="80">
        <f t="shared" si="60"/>
        <v>0</v>
      </c>
      <c r="AM535" s="74"/>
      <c r="AN535" s="74"/>
      <c r="AO535" s="81" t="str">
        <f t="shared" si="61"/>
        <v/>
      </c>
      <c r="AP535" s="82"/>
      <c r="AQ535" s="75"/>
      <c r="AR535" s="75"/>
      <c r="AS535" s="80">
        <f t="shared" si="62"/>
        <v>0</v>
      </c>
      <c r="AT535" s="74"/>
      <c r="AU535" s="75"/>
      <c r="AV535" s="75"/>
      <c r="AW535" s="75"/>
      <c r="AX535" s="80">
        <f t="shared" si="63"/>
        <v>0</v>
      </c>
      <c r="AY535" s="81" t="str">
        <f t="shared" si="64"/>
        <v/>
      </c>
      <c r="AZ535" s="83" t="str">
        <f t="shared" si="65"/>
        <v/>
      </c>
      <c r="BA535" s="80" t="str">
        <f t="shared" si="66"/>
        <v/>
      </c>
      <c r="BB535" s="84">
        <f t="shared" si="67"/>
        <v>0</v>
      </c>
      <c r="BC535" s="85" t="str">
        <f t="shared" si="68"/>
        <v/>
      </c>
      <c r="BD535" s="86" t="str">
        <f t="shared" si="69"/>
        <v/>
      </c>
      <c r="BE535" s="84">
        <f t="shared" si="70"/>
        <v>0</v>
      </c>
      <c r="BF535" s="87" t="str">
        <f t="shared" si="71"/>
        <v/>
      </c>
      <c r="BG535" s="88" t="str">
        <f t="shared" si="72"/>
        <v/>
      </c>
      <c r="BH535" s="89" t="str">
        <f t="shared" si="73"/>
        <v/>
      </c>
      <c r="BI535" s="90" t="str">
        <f t="shared" si="74"/>
        <v/>
      </c>
      <c r="BJ535" s="90" t="str">
        <f t="shared" si="75"/>
        <v/>
      </c>
      <c r="BK535" s="91">
        <f t="shared" si="76"/>
        <v>0</v>
      </c>
      <c r="BL535" s="92">
        <f t="shared" si="77"/>
        <v>0</v>
      </c>
      <c r="BM535" s="95"/>
    </row>
    <row r="536" spans="1:65">
      <c r="A536" s="61">
        <f t="shared" si="54"/>
        <v>0</v>
      </c>
      <c r="B536" s="62"/>
      <c r="C536" s="62"/>
      <c r="D536" s="63"/>
      <c r="E536" s="64"/>
      <c r="F536" s="64"/>
      <c r="G536" s="65"/>
      <c r="H536" s="66" t="str">
        <f t="shared" si="55"/>
        <v/>
      </c>
      <c r="I536" s="67" t="str">
        <f t="shared" si="56"/>
        <v/>
      </c>
      <c r="J536" s="68" t="str">
        <f t="shared" si="57"/>
        <v/>
      </c>
      <c r="K536" s="69" t="str">
        <f t="shared" si="58"/>
        <v/>
      </c>
      <c r="L536" s="70" t="str">
        <f t="shared" si="59"/>
        <v/>
      </c>
      <c r="M536" s="71"/>
      <c r="N536" s="71"/>
      <c r="O536" s="71"/>
      <c r="P536" s="71"/>
      <c r="Q536" s="61"/>
      <c r="R536" s="63"/>
      <c r="S536" s="72"/>
      <c r="T536" s="61"/>
      <c r="U536" s="73"/>
      <c r="V536" s="62"/>
      <c r="W536" s="62"/>
      <c r="X536" s="62"/>
      <c r="Y536" s="93"/>
      <c r="Z536" s="94"/>
      <c r="AA536" s="74"/>
      <c r="AB536" s="75"/>
      <c r="AC536" s="75"/>
      <c r="AD536" s="76"/>
      <c r="AE536" s="77"/>
      <c r="AF536" s="75"/>
      <c r="AG536" s="78"/>
      <c r="AH536" s="79"/>
      <c r="AI536" s="74"/>
      <c r="AJ536" s="75"/>
      <c r="AK536" s="75"/>
      <c r="AL536" s="80">
        <f t="shared" si="60"/>
        <v>0</v>
      </c>
      <c r="AM536" s="74"/>
      <c r="AN536" s="74"/>
      <c r="AO536" s="81" t="str">
        <f t="shared" si="61"/>
        <v/>
      </c>
      <c r="AP536" s="82"/>
      <c r="AQ536" s="75"/>
      <c r="AR536" s="75"/>
      <c r="AS536" s="80">
        <f t="shared" si="62"/>
        <v>0</v>
      </c>
      <c r="AT536" s="74"/>
      <c r="AU536" s="75"/>
      <c r="AV536" s="75"/>
      <c r="AW536" s="75"/>
      <c r="AX536" s="80">
        <f t="shared" si="63"/>
        <v>0</v>
      </c>
      <c r="AY536" s="81" t="str">
        <f t="shared" si="64"/>
        <v/>
      </c>
      <c r="AZ536" s="83" t="str">
        <f t="shared" si="65"/>
        <v/>
      </c>
      <c r="BA536" s="80" t="str">
        <f t="shared" si="66"/>
        <v/>
      </c>
      <c r="BB536" s="84">
        <f t="shared" si="67"/>
        <v>0</v>
      </c>
      <c r="BC536" s="85" t="str">
        <f t="shared" si="68"/>
        <v/>
      </c>
      <c r="BD536" s="86" t="str">
        <f t="shared" si="69"/>
        <v/>
      </c>
      <c r="BE536" s="84">
        <f t="shared" si="70"/>
        <v>0</v>
      </c>
      <c r="BF536" s="87" t="str">
        <f t="shared" si="71"/>
        <v/>
      </c>
      <c r="BG536" s="88" t="str">
        <f t="shared" si="72"/>
        <v/>
      </c>
      <c r="BH536" s="89" t="str">
        <f t="shared" si="73"/>
        <v/>
      </c>
      <c r="BI536" s="90" t="str">
        <f t="shared" si="74"/>
        <v/>
      </c>
      <c r="BJ536" s="90" t="str">
        <f t="shared" si="75"/>
        <v/>
      </c>
      <c r="BK536" s="91">
        <f t="shared" si="76"/>
        <v>0</v>
      </c>
      <c r="BL536" s="92">
        <f t="shared" si="77"/>
        <v>0</v>
      </c>
      <c r="BM536" s="95"/>
    </row>
    <row r="537" spans="1:65">
      <c r="A537" s="61">
        <f t="shared" si="54"/>
        <v>0</v>
      </c>
      <c r="B537" s="62"/>
      <c r="C537" s="62"/>
      <c r="D537" s="63"/>
      <c r="E537" s="64"/>
      <c r="F537" s="64"/>
      <c r="G537" s="65"/>
      <c r="H537" s="66" t="str">
        <f t="shared" si="55"/>
        <v/>
      </c>
      <c r="I537" s="67" t="str">
        <f t="shared" si="56"/>
        <v/>
      </c>
      <c r="J537" s="68" t="str">
        <f t="shared" si="57"/>
        <v/>
      </c>
      <c r="K537" s="69" t="str">
        <f t="shared" si="58"/>
        <v/>
      </c>
      <c r="L537" s="70" t="str">
        <f t="shared" si="59"/>
        <v/>
      </c>
      <c r="M537" s="71"/>
      <c r="N537" s="71"/>
      <c r="O537" s="71"/>
      <c r="P537" s="71"/>
      <c r="Q537" s="61"/>
      <c r="R537" s="63"/>
      <c r="S537" s="72"/>
      <c r="T537" s="61"/>
      <c r="U537" s="73"/>
      <c r="V537" s="62"/>
      <c r="W537" s="62"/>
      <c r="X537" s="62"/>
      <c r="Y537" s="93"/>
      <c r="Z537" s="94"/>
      <c r="AA537" s="74"/>
      <c r="AB537" s="75"/>
      <c r="AC537" s="75"/>
      <c r="AD537" s="76"/>
      <c r="AE537" s="77"/>
      <c r="AF537" s="75"/>
      <c r="AG537" s="78"/>
      <c r="AH537" s="79"/>
      <c r="AI537" s="74"/>
      <c r="AJ537" s="75"/>
      <c r="AK537" s="75"/>
      <c r="AL537" s="80">
        <f t="shared" si="60"/>
        <v>0</v>
      </c>
      <c r="AM537" s="74"/>
      <c r="AN537" s="74"/>
      <c r="AO537" s="81" t="str">
        <f t="shared" si="61"/>
        <v/>
      </c>
      <c r="AP537" s="82"/>
      <c r="AQ537" s="75"/>
      <c r="AR537" s="75"/>
      <c r="AS537" s="80">
        <f t="shared" si="62"/>
        <v>0</v>
      </c>
      <c r="AT537" s="74"/>
      <c r="AU537" s="75"/>
      <c r="AV537" s="75"/>
      <c r="AW537" s="75"/>
      <c r="AX537" s="80">
        <f t="shared" si="63"/>
        <v>0</v>
      </c>
      <c r="AY537" s="81" t="str">
        <f t="shared" si="64"/>
        <v/>
      </c>
      <c r="AZ537" s="83" t="str">
        <f t="shared" si="65"/>
        <v/>
      </c>
      <c r="BA537" s="80" t="str">
        <f t="shared" si="66"/>
        <v/>
      </c>
      <c r="BB537" s="84">
        <f t="shared" si="67"/>
        <v>0</v>
      </c>
      <c r="BC537" s="85" t="str">
        <f t="shared" si="68"/>
        <v/>
      </c>
      <c r="BD537" s="86" t="str">
        <f t="shared" si="69"/>
        <v/>
      </c>
      <c r="BE537" s="84">
        <f t="shared" si="70"/>
        <v>0</v>
      </c>
      <c r="BF537" s="87" t="str">
        <f t="shared" si="71"/>
        <v/>
      </c>
      <c r="BG537" s="88" t="str">
        <f t="shared" si="72"/>
        <v/>
      </c>
      <c r="BH537" s="89" t="str">
        <f t="shared" si="73"/>
        <v/>
      </c>
      <c r="BI537" s="90" t="str">
        <f t="shared" si="74"/>
        <v/>
      </c>
      <c r="BJ537" s="90" t="str">
        <f t="shared" si="75"/>
        <v/>
      </c>
      <c r="BK537" s="91">
        <f t="shared" si="76"/>
        <v>0</v>
      </c>
      <c r="BL537" s="92">
        <f t="shared" si="77"/>
        <v>0</v>
      </c>
      <c r="BM537" s="95"/>
    </row>
    <row r="538" spans="1:65">
      <c r="A538" s="61">
        <f t="shared" si="54"/>
        <v>0</v>
      </c>
      <c r="B538" s="62"/>
      <c r="C538" s="62"/>
      <c r="D538" s="63"/>
      <c r="E538" s="64"/>
      <c r="F538" s="64"/>
      <c r="G538" s="65"/>
      <c r="H538" s="66" t="str">
        <f t="shared" si="55"/>
        <v/>
      </c>
      <c r="I538" s="67" t="str">
        <f t="shared" si="56"/>
        <v/>
      </c>
      <c r="J538" s="68" t="str">
        <f t="shared" si="57"/>
        <v/>
      </c>
      <c r="K538" s="69" t="str">
        <f t="shared" si="58"/>
        <v/>
      </c>
      <c r="L538" s="70" t="str">
        <f t="shared" si="59"/>
        <v/>
      </c>
      <c r="M538" s="71"/>
      <c r="N538" s="71"/>
      <c r="O538" s="71"/>
      <c r="P538" s="71"/>
      <c r="Q538" s="61"/>
      <c r="R538" s="63"/>
      <c r="S538" s="72"/>
      <c r="T538" s="61"/>
      <c r="U538" s="73"/>
      <c r="V538" s="62"/>
      <c r="W538" s="62"/>
      <c r="X538" s="62"/>
      <c r="Y538" s="93"/>
      <c r="Z538" s="94"/>
      <c r="AA538" s="74"/>
      <c r="AB538" s="75"/>
      <c r="AC538" s="75"/>
      <c r="AD538" s="76"/>
      <c r="AE538" s="77"/>
      <c r="AF538" s="75"/>
      <c r="AG538" s="78"/>
      <c r="AH538" s="79"/>
      <c r="AI538" s="74"/>
      <c r="AJ538" s="75"/>
      <c r="AK538" s="75"/>
      <c r="AL538" s="80">
        <f t="shared" si="60"/>
        <v>0</v>
      </c>
      <c r="AM538" s="74"/>
      <c r="AN538" s="74"/>
      <c r="AO538" s="81" t="str">
        <f t="shared" si="61"/>
        <v/>
      </c>
      <c r="AP538" s="82"/>
      <c r="AQ538" s="75"/>
      <c r="AR538" s="75"/>
      <c r="AS538" s="80">
        <f t="shared" si="62"/>
        <v>0</v>
      </c>
      <c r="AT538" s="74"/>
      <c r="AU538" s="75"/>
      <c r="AV538" s="75"/>
      <c r="AW538" s="75"/>
      <c r="AX538" s="80">
        <f t="shared" si="63"/>
        <v>0</v>
      </c>
      <c r="AY538" s="81" t="str">
        <f t="shared" si="64"/>
        <v/>
      </c>
      <c r="AZ538" s="83" t="str">
        <f t="shared" si="65"/>
        <v/>
      </c>
      <c r="BA538" s="80" t="str">
        <f t="shared" si="66"/>
        <v/>
      </c>
      <c r="BB538" s="84">
        <f t="shared" si="67"/>
        <v>0</v>
      </c>
      <c r="BC538" s="85" t="str">
        <f t="shared" si="68"/>
        <v/>
      </c>
      <c r="BD538" s="86" t="str">
        <f t="shared" si="69"/>
        <v/>
      </c>
      <c r="BE538" s="84">
        <f t="shared" si="70"/>
        <v>0</v>
      </c>
      <c r="BF538" s="87" t="str">
        <f t="shared" si="71"/>
        <v/>
      </c>
      <c r="BG538" s="88" t="str">
        <f t="shared" si="72"/>
        <v/>
      </c>
      <c r="BH538" s="89" t="str">
        <f t="shared" si="73"/>
        <v/>
      </c>
      <c r="BI538" s="90" t="str">
        <f t="shared" si="74"/>
        <v/>
      </c>
      <c r="BJ538" s="90" t="str">
        <f t="shared" si="75"/>
        <v/>
      </c>
      <c r="BK538" s="91">
        <f t="shared" si="76"/>
        <v>0</v>
      </c>
      <c r="BL538" s="92">
        <f t="shared" si="77"/>
        <v>0</v>
      </c>
      <c r="BM538" s="95"/>
    </row>
    <row r="539" spans="1:65">
      <c r="A539" s="61">
        <f t="shared" si="54"/>
        <v>0</v>
      </c>
      <c r="B539" s="62"/>
      <c r="C539" s="62"/>
      <c r="D539" s="63"/>
      <c r="E539" s="64"/>
      <c r="F539" s="64"/>
      <c r="G539" s="65"/>
      <c r="H539" s="66" t="str">
        <f t="shared" si="55"/>
        <v/>
      </c>
      <c r="I539" s="67" t="str">
        <f t="shared" si="56"/>
        <v/>
      </c>
      <c r="J539" s="68" t="str">
        <f t="shared" si="57"/>
        <v/>
      </c>
      <c r="K539" s="69" t="str">
        <f t="shared" si="58"/>
        <v/>
      </c>
      <c r="L539" s="70" t="str">
        <f t="shared" si="59"/>
        <v/>
      </c>
      <c r="M539" s="71"/>
      <c r="N539" s="71"/>
      <c r="O539" s="71"/>
      <c r="P539" s="71"/>
      <c r="Q539" s="61"/>
      <c r="R539" s="63"/>
      <c r="S539" s="72"/>
      <c r="T539" s="61"/>
      <c r="U539" s="73"/>
      <c r="V539" s="62"/>
      <c r="W539" s="62"/>
      <c r="X539" s="62"/>
      <c r="Y539" s="93"/>
      <c r="Z539" s="94"/>
      <c r="AA539" s="74"/>
      <c r="AB539" s="75"/>
      <c r="AC539" s="75"/>
      <c r="AD539" s="76"/>
      <c r="AE539" s="77"/>
      <c r="AF539" s="75"/>
      <c r="AG539" s="78"/>
      <c r="AH539" s="79"/>
      <c r="AI539" s="74"/>
      <c r="AJ539" s="75"/>
      <c r="AK539" s="75"/>
      <c r="AL539" s="80">
        <f t="shared" si="60"/>
        <v>0</v>
      </c>
      <c r="AM539" s="74"/>
      <c r="AN539" s="74"/>
      <c r="AO539" s="81" t="str">
        <f t="shared" si="61"/>
        <v/>
      </c>
      <c r="AP539" s="82"/>
      <c r="AQ539" s="75"/>
      <c r="AR539" s="75"/>
      <c r="AS539" s="80">
        <f t="shared" si="62"/>
        <v>0</v>
      </c>
      <c r="AT539" s="74"/>
      <c r="AU539" s="75"/>
      <c r="AV539" s="75"/>
      <c r="AW539" s="75"/>
      <c r="AX539" s="80">
        <f t="shared" si="63"/>
        <v>0</v>
      </c>
      <c r="AY539" s="81" t="str">
        <f t="shared" si="64"/>
        <v/>
      </c>
      <c r="AZ539" s="83" t="str">
        <f t="shared" si="65"/>
        <v/>
      </c>
      <c r="BA539" s="80" t="str">
        <f t="shared" si="66"/>
        <v/>
      </c>
      <c r="BB539" s="84">
        <f t="shared" si="67"/>
        <v>0</v>
      </c>
      <c r="BC539" s="85" t="str">
        <f t="shared" si="68"/>
        <v/>
      </c>
      <c r="BD539" s="86" t="str">
        <f t="shared" si="69"/>
        <v/>
      </c>
      <c r="BE539" s="84">
        <f t="shared" si="70"/>
        <v>0</v>
      </c>
      <c r="BF539" s="87" t="str">
        <f t="shared" si="71"/>
        <v/>
      </c>
      <c r="BG539" s="88" t="str">
        <f t="shared" si="72"/>
        <v/>
      </c>
      <c r="BH539" s="89" t="str">
        <f t="shared" si="73"/>
        <v/>
      </c>
      <c r="BI539" s="90" t="str">
        <f t="shared" si="74"/>
        <v/>
      </c>
      <c r="BJ539" s="90" t="str">
        <f t="shared" si="75"/>
        <v/>
      </c>
      <c r="BK539" s="91">
        <f t="shared" si="76"/>
        <v>0</v>
      </c>
      <c r="BL539" s="92">
        <f t="shared" si="77"/>
        <v>0</v>
      </c>
      <c r="BM539" s="95"/>
    </row>
    <row r="540" spans="1:65">
      <c r="A540" s="61">
        <f t="shared" si="54"/>
        <v>0</v>
      </c>
      <c r="B540" s="62"/>
      <c r="C540" s="62"/>
      <c r="D540" s="63"/>
      <c r="E540" s="64"/>
      <c r="F540" s="64"/>
      <c r="G540" s="65"/>
      <c r="H540" s="66" t="str">
        <f t="shared" si="55"/>
        <v/>
      </c>
      <c r="I540" s="67" t="str">
        <f t="shared" si="56"/>
        <v/>
      </c>
      <c r="J540" s="68" t="str">
        <f t="shared" si="57"/>
        <v/>
      </c>
      <c r="K540" s="69" t="str">
        <f t="shared" si="58"/>
        <v/>
      </c>
      <c r="L540" s="70" t="str">
        <f t="shared" si="59"/>
        <v/>
      </c>
      <c r="M540" s="71"/>
      <c r="N540" s="71"/>
      <c r="O540" s="71"/>
      <c r="P540" s="71"/>
      <c r="Q540" s="61"/>
      <c r="R540" s="63"/>
      <c r="S540" s="72"/>
      <c r="T540" s="61"/>
      <c r="U540" s="73"/>
      <c r="V540" s="62"/>
      <c r="W540" s="62"/>
      <c r="X540" s="62"/>
      <c r="Y540" s="93"/>
      <c r="Z540" s="94"/>
      <c r="AA540" s="74"/>
      <c r="AB540" s="75"/>
      <c r="AC540" s="75"/>
      <c r="AD540" s="76"/>
      <c r="AE540" s="77"/>
      <c r="AF540" s="75"/>
      <c r="AG540" s="78"/>
      <c r="AH540" s="79"/>
      <c r="AI540" s="74"/>
      <c r="AJ540" s="75"/>
      <c r="AK540" s="75"/>
      <c r="AL540" s="80">
        <f t="shared" si="60"/>
        <v>0</v>
      </c>
      <c r="AM540" s="74"/>
      <c r="AN540" s="74"/>
      <c r="AO540" s="81" t="str">
        <f t="shared" si="61"/>
        <v/>
      </c>
      <c r="AP540" s="82"/>
      <c r="AQ540" s="75"/>
      <c r="AR540" s="75"/>
      <c r="AS540" s="80">
        <f t="shared" si="62"/>
        <v>0</v>
      </c>
      <c r="AT540" s="74"/>
      <c r="AU540" s="75"/>
      <c r="AV540" s="75"/>
      <c r="AW540" s="75"/>
      <c r="AX540" s="80">
        <f t="shared" si="63"/>
        <v>0</v>
      </c>
      <c r="AY540" s="81" t="str">
        <f t="shared" si="64"/>
        <v/>
      </c>
      <c r="AZ540" s="83" t="str">
        <f t="shared" si="65"/>
        <v/>
      </c>
      <c r="BA540" s="80" t="str">
        <f t="shared" si="66"/>
        <v/>
      </c>
      <c r="BB540" s="84">
        <f t="shared" si="67"/>
        <v>0</v>
      </c>
      <c r="BC540" s="85" t="str">
        <f t="shared" si="68"/>
        <v/>
      </c>
      <c r="BD540" s="86" t="str">
        <f t="shared" si="69"/>
        <v/>
      </c>
      <c r="BE540" s="84">
        <f t="shared" si="70"/>
        <v>0</v>
      </c>
      <c r="BF540" s="87" t="str">
        <f t="shared" si="71"/>
        <v/>
      </c>
      <c r="BG540" s="88" t="str">
        <f t="shared" si="72"/>
        <v/>
      </c>
      <c r="BH540" s="89" t="str">
        <f t="shared" si="73"/>
        <v/>
      </c>
      <c r="BI540" s="90" t="str">
        <f t="shared" si="74"/>
        <v/>
      </c>
      <c r="BJ540" s="90" t="str">
        <f t="shared" si="75"/>
        <v/>
      </c>
      <c r="BK540" s="91">
        <f t="shared" si="76"/>
        <v>0</v>
      </c>
      <c r="BL540" s="92">
        <f t="shared" si="77"/>
        <v>0</v>
      </c>
      <c r="BM540" s="95"/>
    </row>
    <row r="541" spans="1:65">
      <c r="A541" s="61">
        <f t="shared" si="54"/>
        <v>0</v>
      </c>
      <c r="B541" s="62"/>
      <c r="C541" s="62"/>
      <c r="D541" s="63"/>
      <c r="E541" s="64"/>
      <c r="F541" s="64"/>
      <c r="G541" s="65"/>
      <c r="H541" s="66" t="str">
        <f t="shared" si="55"/>
        <v/>
      </c>
      <c r="I541" s="67" t="str">
        <f t="shared" si="56"/>
        <v/>
      </c>
      <c r="J541" s="68" t="str">
        <f t="shared" si="57"/>
        <v/>
      </c>
      <c r="K541" s="69" t="str">
        <f t="shared" si="58"/>
        <v/>
      </c>
      <c r="L541" s="70" t="str">
        <f t="shared" si="59"/>
        <v/>
      </c>
      <c r="M541" s="71"/>
      <c r="N541" s="71"/>
      <c r="O541" s="71"/>
      <c r="P541" s="71"/>
      <c r="Q541" s="61"/>
      <c r="R541" s="63"/>
      <c r="S541" s="72"/>
      <c r="T541" s="61"/>
      <c r="U541" s="73"/>
      <c r="V541" s="62"/>
      <c r="W541" s="62"/>
      <c r="X541" s="62"/>
      <c r="Y541" s="93"/>
      <c r="Z541" s="94"/>
      <c r="AA541" s="74"/>
      <c r="AB541" s="75"/>
      <c r="AC541" s="75"/>
      <c r="AD541" s="76"/>
      <c r="AE541" s="77"/>
      <c r="AF541" s="75"/>
      <c r="AG541" s="78"/>
      <c r="AH541" s="79"/>
      <c r="AI541" s="74"/>
      <c r="AJ541" s="75"/>
      <c r="AK541" s="75"/>
      <c r="AL541" s="80">
        <f t="shared" si="60"/>
        <v>0</v>
      </c>
      <c r="AM541" s="74"/>
      <c r="AN541" s="74"/>
      <c r="AO541" s="81" t="str">
        <f t="shared" si="61"/>
        <v/>
      </c>
      <c r="AP541" s="82"/>
      <c r="AQ541" s="75"/>
      <c r="AR541" s="75"/>
      <c r="AS541" s="80">
        <f t="shared" si="62"/>
        <v>0</v>
      </c>
      <c r="AT541" s="74"/>
      <c r="AU541" s="75"/>
      <c r="AV541" s="75"/>
      <c r="AW541" s="75"/>
      <c r="AX541" s="80">
        <f t="shared" si="63"/>
        <v>0</v>
      </c>
      <c r="AY541" s="81" t="str">
        <f t="shared" si="64"/>
        <v/>
      </c>
      <c r="AZ541" s="83" t="str">
        <f t="shared" si="65"/>
        <v/>
      </c>
      <c r="BA541" s="80" t="str">
        <f t="shared" si="66"/>
        <v/>
      </c>
      <c r="BB541" s="84">
        <f t="shared" si="67"/>
        <v>0</v>
      </c>
      <c r="BC541" s="85" t="str">
        <f t="shared" si="68"/>
        <v/>
      </c>
      <c r="BD541" s="86" t="str">
        <f t="shared" si="69"/>
        <v/>
      </c>
      <c r="BE541" s="84">
        <f t="shared" si="70"/>
        <v>0</v>
      </c>
      <c r="BF541" s="87" t="str">
        <f t="shared" si="71"/>
        <v/>
      </c>
      <c r="BG541" s="88" t="str">
        <f t="shared" si="72"/>
        <v/>
      </c>
      <c r="BH541" s="89" t="str">
        <f t="shared" si="73"/>
        <v/>
      </c>
      <c r="BI541" s="90" t="str">
        <f t="shared" si="74"/>
        <v/>
      </c>
      <c r="BJ541" s="90" t="str">
        <f t="shared" si="75"/>
        <v/>
      </c>
      <c r="BK541" s="91">
        <f t="shared" si="76"/>
        <v>0</v>
      </c>
      <c r="BL541" s="92">
        <f t="shared" si="77"/>
        <v>0</v>
      </c>
      <c r="BM541" s="95"/>
    </row>
    <row r="542" spans="1:65">
      <c r="A542" s="61">
        <f t="shared" si="54"/>
        <v>0</v>
      </c>
      <c r="B542" s="62"/>
      <c r="C542" s="62"/>
      <c r="D542" s="63"/>
      <c r="E542" s="64"/>
      <c r="F542" s="64"/>
      <c r="G542" s="65"/>
      <c r="H542" s="66" t="str">
        <f t="shared" si="55"/>
        <v/>
      </c>
      <c r="I542" s="67" t="str">
        <f t="shared" si="56"/>
        <v/>
      </c>
      <c r="J542" s="68" t="str">
        <f t="shared" si="57"/>
        <v/>
      </c>
      <c r="K542" s="69" t="str">
        <f t="shared" si="58"/>
        <v/>
      </c>
      <c r="L542" s="70" t="str">
        <f t="shared" si="59"/>
        <v/>
      </c>
      <c r="M542" s="71"/>
      <c r="N542" s="71"/>
      <c r="O542" s="71"/>
      <c r="P542" s="71"/>
      <c r="Q542" s="61"/>
      <c r="R542" s="63"/>
      <c r="S542" s="72"/>
      <c r="T542" s="61"/>
      <c r="U542" s="73"/>
      <c r="V542" s="62"/>
      <c r="W542" s="62"/>
      <c r="X542" s="62"/>
      <c r="Y542" s="93"/>
      <c r="Z542" s="94"/>
      <c r="AA542" s="74"/>
      <c r="AB542" s="75"/>
      <c r="AC542" s="75"/>
      <c r="AD542" s="76"/>
      <c r="AE542" s="77"/>
      <c r="AF542" s="75"/>
      <c r="AG542" s="78"/>
      <c r="AH542" s="79"/>
      <c r="AI542" s="74"/>
      <c r="AJ542" s="75"/>
      <c r="AK542" s="75"/>
      <c r="AL542" s="80">
        <f t="shared" si="60"/>
        <v>0</v>
      </c>
      <c r="AM542" s="74"/>
      <c r="AN542" s="74"/>
      <c r="AO542" s="81" t="str">
        <f t="shared" si="61"/>
        <v/>
      </c>
      <c r="AP542" s="82"/>
      <c r="AQ542" s="75"/>
      <c r="AR542" s="75"/>
      <c r="AS542" s="80">
        <f t="shared" si="62"/>
        <v>0</v>
      </c>
      <c r="AT542" s="74"/>
      <c r="AU542" s="75"/>
      <c r="AV542" s="75"/>
      <c r="AW542" s="75"/>
      <c r="AX542" s="80">
        <f t="shared" si="63"/>
        <v>0</v>
      </c>
      <c r="AY542" s="81" t="str">
        <f t="shared" si="64"/>
        <v/>
      </c>
      <c r="AZ542" s="83" t="str">
        <f t="shared" si="65"/>
        <v/>
      </c>
      <c r="BA542" s="80" t="str">
        <f t="shared" si="66"/>
        <v/>
      </c>
      <c r="BB542" s="84">
        <f t="shared" si="67"/>
        <v>0</v>
      </c>
      <c r="BC542" s="85" t="str">
        <f t="shared" si="68"/>
        <v/>
      </c>
      <c r="BD542" s="86" t="str">
        <f t="shared" si="69"/>
        <v/>
      </c>
      <c r="BE542" s="84">
        <f t="shared" si="70"/>
        <v>0</v>
      </c>
      <c r="BF542" s="87" t="str">
        <f t="shared" si="71"/>
        <v/>
      </c>
      <c r="BG542" s="88" t="str">
        <f t="shared" si="72"/>
        <v/>
      </c>
      <c r="BH542" s="89" t="str">
        <f t="shared" si="73"/>
        <v/>
      </c>
      <c r="BI542" s="90" t="str">
        <f t="shared" si="74"/>
        <v/>
      </c>
      <c r="BJ542" s="90" t="str">
        <f t="shared" si="75"/>
        <v/>
      </c>
      <c r="BK542" s="91">
        <f t="shared" si="76"/>
        <v>0</v>
      </c>
      <c r="BL542" s="92">
        <f t="shared" si="77"/>
        <v>0</v>
      </c>
      <c r="BM542" s="95"/>
    </row>
    <row r="543" spans="1:65">
      <c r="A543" s="61">
        <f t="shared" si="54"/>
        <v>0</v>
      </c>
      <c r="B543" s="62"/>
      <c r="C543" s="62"/>
      <c r="D543" s="63"/>
      <c r="E543" s="64"/>
      <c r="F543" s="64"/>
      <c r="G543" s="65"/>
      <c r="H543" s="66" t="str">
        <f t="shared" si="55"/>
        <v/>
      </c>
      <c r="I543" s="67" t="str">
        <f t="shared" si="56"/>
        <v/>
      </c>
      <c r="J543" s="68" t="str">
        <f t="shared" si="57"/>
        <v/>
      </c>
      <c r="K543" s="69" t="str">
        <f t="shared" si="58"/>
        <v/>
      </c>
      <c r="L543" s="70" t="str">
        <f t="shared" si="59"/>
        <v/>
      </c>
      <c r="M543" s="71"/>
      <c r="N543" s="71"/>
      <c r="O543" s="71"/>
      <c r="P543" s="71"/>
      <c r="Q543" s="61"/>
      <c r="R543" s="63"/>
      <c r="S543" s="72"/>
      <c r="T543" s="61"/>
      <c r="U543" s="73"/>
      <c r="V543" s="62"/>
      <c r="W543" s="62"/>
      <c r="X543" s="62"/>
      <c r="Y543" s="93"/>
      <c r="Z543" s="94"/>
      <c r="AA543" s="74"/>
      <c r="AB543" s="75"/>
      <c r="AC543" s="75"/>
      <c r="AD543" s="76"/>
      <c r="AE543" s="77"/>
      <c r="AF543" s="75"/>
      <c r="AG543" s="78"/>
      <c r="AH543" s="79"/>
      <c r="AI543" s="74"/>
      <c r="AJ543" s="75"/>
      <c r="AK543" s="75"/>
      <c r="AL543" s="80">
        <f t="shared" si="60"/>
        <v>0</v>
      </c>
      <c r="AM543" s="74"/>
      <c r="AN543" s="74"/>
      <c r="AO543" s="81" t="str">
        <f t="shared" si="61"/>
        <v/>
      </c>
      <c r="AP543" s="82"/>
      <c r="AQ543" s="75"/>
      <c r="AR543" s="75"/>
      <c r="AS543" s="80">
        <f t="shared" si="62"/>
        <v>0</v>
      </c>
      <c r="AT543" s="74"/>
      <c r="AU543" s="75"/>
      <c r="AV543" s="75"/>
      <c r="AW543" s="75"/>
      <c r="AX543" s="80">
        <f t="shared" si="63"/>
        <v>0</v>
      </c>
      <c r="AY543" s="81" t="str">
        <f t="shared" si="64"/>
        <v/>
      </c>
      <c r="AZ543" s="83" t="str">
        <f t="shared" si="65"/>
        <v/>
      </c>
      <c r="BA543" s="80" t="str">
        <f t="shared" si="66"/>
        <v/>
      </c>
      <c r="BB543" s="84">
        <f t="shared" si="67"/>
        <v>0</v>
      </c>
      <c r="BC543" s="85" t="str">
        <f t="shared" si="68"/>
        <v/>
      </c>
      <c r="BD543" s="86" t="str">
        <f t="shared" si="69"/>
        <v/>
      </c>
      <c r="BE543" s="84">
        <f t="shared" si="70"/>
        <v>0</v>
      </c>
      <c r="BF543" s="87" t="str">
        <f t="shared" si="71"/>
        <v/>
      </c>
      <c r="BG543" s="88" t="str">
        <f t="shared" si="72"/>
        <v/>
      </c>
      <c r="BH543" s="89" t="str">
        <f t="shared" si="73"/>
        <v/>
      </c>
      <c r="BI543" s="90" t="str">
        <f t="shared" si="74"/>
        <v/>
      </c>
      <c r="BJ543" s="90" t="str">
        <f t="shared" si="75"/>
        <v/>
      </c>
      <c r="BK543" s="91">
        <f t="shared" si="76"/>
        <v>0</v>
      </c>
      <c r="BL543" s="92">
        <f t="shared" si="77"/>
        <v>0</v>
      </c>
      <c r="BM543" s="95"/>
    </row>
    <row r="544" spans="1:65">
      <c r="A544" s="61">
        <f t="shared" si="54"/>
        <v>0</v>
      </c>
      <c r="B544" s="62"/>
      <c r="C544" s="62"/>
      <c r="D544" s="63"/>
      <c r="E544" s="64"/>
      <c r="F544" s="64"/>
      <c r="G544" s="65"/>
      <c r="H544" s="66" t="str">
        <f t="shared" si="55"/>
        <v/>
      </c>
      <c r="I544" s="67" t="str">
        <f t="shared" si="56"/>
        <v/>
      </c>
      <c r="J544" s="68" t="str">
        <f t="shared" si="57"/>
        <v/>
      </c>
      <c r="K544" s="69" t="str">
        <f t="shared" si="58"/>
        <v/>
      </c>
      <c r="L544" s="70" t="str">
        <f t="shared" si="59"/>
        <v/>
      </c>
      <c r="M544" s="71"/>
      <c r="N544" s="71"/>
      <c r="O544" s="71"/>
      <c r="P544" s="71"/>
      <c r="Q544" s="61"/>
      <c r="R544" s="63"/>
      <c r="S544" s="72"/>
      <c r="T544" s="61"/>
      <c r="U544" s="73"/>
      <c r="V544" s="62"/>
      <c r="W544" s="62"/>
      <c r="X544" s="62"/>
      <c r="Y544" s="93"/>
      <c r="Z544" s="94"/>
      <c r="AA544" s="74"/>
      <c r="AB544" s="75"/>
      <c r="AC544" s="75"/>
      <c r="AD544" s="76"/>
      <c r="AE544" s="77"/>
      <c r="AF544" s="75"/>
      <c r="AG544" s="78"/>
      <c r="AH544" s="79"/>
      <c r="AI544" s="74"/>
      <c r="AJ544" s="75"/>
      <c r="AK544" s="75"/>
      <c r="AL544" s="80">
        <f t="shared" si="60"/>
        <v>0</v>
      </c>
      <c r="AM544" s="74"/>
      <c r="AN544" s="74"/>
      <c r="AO544" s="81" t="str">
        <f t="shared" si="61"/>
        <v/>
      </c>
      <c r="AP544" s="82"/>
      <c r="AQ544" s="75"/>
      <c r="AR544" s="75"/>
      <c r="AS544" s="80">
        <f t="shared" si="62"/>
        <v>0</v>
      </c>
      <c r="AT544" s="74"/>
      <c r="AU544" s="75"/>
      <c r="AV544" s="75"/>
      <c r="AW544" s="75"/>
      <c r="AX544" s="80">
        <f t="shared" si="63"/>
        <v>0</v>
      </c>
      <c r="AY544" s="81" t="str">
        <f t="shared" si="64"/>
        <v/>
      </c>
      <c r="AZ544" s="83" t="str">
        <f t="shared" si="65"/>
        <v/>
      </c>
      <c r="BA544" s="80" t="str">
        <f t="shared" si="66"/>
        <v/>
      </c>
      <c r="BB544" s="84">
        <f t="shared" si="67"/>
        <v>0</v>
      </c>
      <c r="BC544" s="85" t="str">
        <f t="shared" si="68"/>
        <v/>
      </c>
      <c r="BD544" s="86" t="str">
        <f t="shared" si="69"/>
        <v/>
      </c>
      <c r="BE544" s="84">
        <f t="shared" si="70"/>
        <v>0</v>
      </c>
      <c r="BF544" s="87" t="str">
        <f t="shared" si="71"/>
        <v/>
      </c>
      <c r="BG544" s="88" t="str">
        <f t="shared" si="72"/>
        <v/>
      </c>
      <c r="BH544" s="89" t="str">
        <f t="shared" si="73"/>
        <v/>
      </c>
      <c r="BI544" s="90" t="str">
        <f t="shared" si="74"/>
        <v/>
      </c>
      <c r="BJ544" s="90" t="str">
        <f t="shared" si="75"/>
        <v/>
      </c>
      <c r="BK544" s="91">
        <f t="shared" si="76"/>
        <v>0</v>
      </c>
      <c r="BL544" s="92">
        <f t="shared" si="77"/>
        <v>0</v>
      </c>
      <c r="BM544" s="95"/>
    </row>
    <row r="545" spans="1:65">
      <c r="A545" s="61">
        <f t="shared" si="54"/>
        <v>0</v>
      </c>
      <c r="B545" s="62"/>
      <c r="C545" s="62"/>
      <c r="D545" s="63"/>
      <c r="E545" s="64"/>
      <c r="F545" s="64"/>
      <c r="G545" s="65"/>
      <c r="H545" s="66" t="str">
        <f t="shared" si="55"/>
        <v/>
      </c>
      <c r="I545" s="67" t="str">
        <f t="shared" si="56"/>
        <v/>
      </c>
      <c r="J545" s="68" t="str">
        <f t="shared" si="57"/>
        <v/>
      </c>
      <c r="K545" s="69" t="str">
        <f t="shared" si="58"/>
        <v/>
      </c>
      <c r="L545" s="70" t="str">
        <f t="shared" si="59"/>
        <v/>
      </c>
      <c r="M545" s="71"/>
      <c r="N545" s="71"/>
      <c r="O545" s="71"/>
      <c r="P545" s="71"/>
      <c r="Q545" s="61"/>
      <c r="R545" s="63"/>
      <c r="S545" s="72"/>
      <c r="T545" s="61"/>
      <c r="U545" s="73"/>
      <c r="V545" s="62"/>
      <c r="W545" s="62"/>
      <c r="X545" s="62"/>
      <c r="Y545" s="93"/>
      <c r="Z545" s="94"/>
      <c r="AA545" s="74"/>
      <c r="AB545" s="75"/>
      <c r="AC545" s="75"/>
      <c r="AD545" s="76"/>
      <c r="AE545" s="77"/>
      <c r="AF545" s="75"/>
      <c r="AG545" s="78"/>
      <c r="AH545" s="79"/>
      <c r="AI545" s="74"/>
      <c r="AJ545" s="75"/>
      <c r="AK545" s="75"/>
      <c r="AL545" s="80">
        <f t="shared" si="60"/>
        <v>0</v>
      </c>
      <c r="AM545" s="74"/>
      <c r="AN545" s="74"/>
      <c r="AO545" s="81" t="str">
        <f t="shared" si="61"/>
        <v/>
      </c>
      <c r="AP545" s="82"/>
      <c r="AQ545" s="75"/>
      <c r="AR545" s="75"/>
      <c r="AS545" s="80">
        <f t="shared" si="62"/>
        <v>0</v>
      </c>
      <c r="AT545" s="74"/>
      <c r="AU545" s="75"/>
      <c r="AV545" s="75"/>
      <c r="AW545" s="75"/>
      <c r="AX545" s="80">
        <f t="shared" si="63"/>
        <v>0</v>
      </c>
      <c r="AY545" s="81" t="str">
        <f t="shared" si="64"/>
        <v/>
      </c>
      <c r="AZ545" s="83" t="str">
        <f t="shared" si="65"/>
        <v/>
      </c>
      <c r="BA545" s="80" t="str">
        <f t="shared" si="66"/>
        <v/>
      </c>
      <c r="BB545" s="84">
        <f t="shared" si="67"/>
        <v>0</v>
      </c>
      <c r="BC545" s="85" t="str">
        <f t="shared" si="68"/>
        <v/>
      </c>
      <c r="BD545" s="86" t="str">
        <f t="shared" si="69"/>
        <v/>
      </c>
      <c r="BE545" s="84">
        <f t="shared" si="70"/>
        <v>0</v>
      </c>
      <c r="BF545" s="87" t="str">
        <f t="shared" si="71"/>
        <v/>
      </c>
      <c r="BG545" s="88" t="str">
        <f t="shared" si="72"/>
        <v/>
      </c>
      <c r="BH545" s="89" t="str">
        <f t="shared" si="73"/>
        <v/>
      </c>
      <c r="BI545" s="90" t="str">
        <f t="shared" si="74"/>
        <v/>
      </c>
      <c r="BJ545" s="90" t="str">
        <f t="shared" si="75"/>
        <v/>
      </c>
      <c r="BK545" s="91">
        <f t="shared" si="76"/>
        <v>0</v>
      </c>
      <c r="BL545" s="92">
        <f t="shared" si="77"/>
        <v>0</v>
      </c>
      <c r="BM545" s="95"/>
    </row>
    <row r="546" spans="1:65">
      <c r="A546" s="61">
        <f t="shared" ref="A546:A609" si="78">B546</f>
        <v>0</v>
      </c>
      <c r="B546" s="62"/>
      <c r="C546" s="62"/>
      <c r="D546" s="63"/>
      <c r="E546" s="64"/>
      <c r="F546" s="64"/>
      <c r="G546" s="65"/>
      <c r="H546" s="66" t="str">
        <f t="shared" si="55"/>
        <v/>
      </c>
      <c r="I546" s="67" t="str">
        <f t="shared" si="56"/>
        <v/>
      </c>
      <c r="J546" s="68" t="str">
        <f t="shared" si="57"/>
        <v/>
      </c>
      <c r="K546" s="69" t="str">
        <f t="shared" si="58"/>
        <v/>
      </c>
      <c r="L546" s="70" t="str">
        <f t="shared" si="59"/>
        <v/>
      </c>
      <c r="M546" s="71"/>
      <c r="N546" s="71"/>
      <c r="O546" s="71"/>
      <c r="P546" s="71"/>
      <c r="Q546" s="61"/>
      <c r="R546" s="63"/>
      <c r="S546" s="72"/>
      <c r="T546" s="61"/>
      <c r="U546" s="73"/>
      <c r="V546" s="62"/>
      <c r="W546" s="62"/>
      <c r="X546" s="62"/>
      <c r="Y546" s="93"/>
      <c r="Z546" s="94"/>
      <c r="AA546" s="74"/>
      <c r="AB546" s="75"/>
      <c r="AC546" s="75"/>
      <c r="AD546" s="76"/>
      <c r="AE546" s="77"/>
      <c r="AF546" s="75"/>
      <c r="AG546" s="78"/>
      <c r="AH546" s="79"/>
      <c r="AI546" s="74"/>
      <c r="AJ546" s="75"/>
      <c r="AK546" s="75"/>
      <c r="AL546" s="80">
        <f t="shared" si="60"/>
        <v>0</v>
      </c>
      <c r="AM546" s="74"/>
      <c r="AN546" s="74"/>
      <c r="AO546" s="81" t="str">
        <f t="shared" si="61"/>
        <v/>
      </c>
      <c r="AP546" s="82"/>
      <c r="AQ546" s="75"/>
      <c r="AR546" s="75"/>
      <c r="AS546" s="80">
        <f t="shared" si="62"/>
        <v>0</v>
      </c>
      <c r="AT546" s="74"/>
      <c r="AU546" s="75"/>
      <c r="AV546" s="75"/>
      <c r="AW546" s="75"/>
      <c r="AX546" s="80">
        <f t="shared" si="63"/>
        <v>0</v>
      </c>
      <c r="AY546" s="81" t="str">
        <f t="shared" si="64"/>
        <v/>
      </c>
      <c r="AZ546" s="83" t="str">
        <f t="shared" si="65"/>
        <v/>
      </c>
      <c r="BA546" s="80" t="str">
        <f t="shared" si="66"/>
        <v/>
      </c>
      <c r="BB546" s="84">
        <f t="shared" si="67"/>
        <v>0</v>
      </c>
      <c r="BC546" s="85" t="str">
        <f t="shared" si="68"/>
        <v/>
      </c>
      <c r="BD546" s="86" t="str">
        <f t="shared" si="69"/>
        <v/>
      </c>
      <c r="BE546" s="84">
        <f t="shared" si="70"/>
        <v>0</v>
      </c>
      <c r="BF546" s="87" t="str">
        <f t="shared" si="71"/>
        <v/>
      </c>
      <c r="BG546" s="88" t="str">
        <f t="shared" si="72"/>
        <v/>
      </c>
      <c r="BH546" s="89" t="str">
        <f t="shared" si="73"/>
        <v/>
      </c>
      <c r="BI546" s="90" t="str">
        <f t="shared" si="74"/>
        <v/>
      </c>
      <c r="BJ546" s="90" t="str">
        <f t="shared" si="75"/>
        <v/>
      </c>
      <c r="BK546" s="91">
        <f t="shared" si="76"/>
        <v>0</v>
      </c>
      <c r="BL546" s="92">
        <f t="shared" si="77"/>
        <v>0</v>
      </c>
      <c r="BM546" s="95"/>
    </row>
    <row r="547" spans="1:65">
      <c r="A547" s="61">
        <f t="shared" si="78"/>
        <v>0</v>
      </c>
      <c r="B547" s="62"/>
      <c r="C547" s="62"/>
      <c r="D547" s="63"/>
      <c r="E547" s="64"/>
      <c r="F547" s="64"/>
      <c r="G547" s="65"/>
      <c r="H547" s="66" t="str">
        <f t="shared" si="55"/>
        <v/>
      </c>
      <c r="I547" s="67" t="str">
        <f t="shared" si="56"/>
        <v/>
      </c>
      <c r="J547" s="68" t="str">
        <f t="shared" si="57"/>
        <v/>
      </c>
      <c r="K547" s="69" t="str">
        <f t="shared" si="58"/>
        <v/>
      </c>
      <c r="L547" s="70" t="str">
        <f t="shared" si="59"/>
        <v/>
      </c>
      <c r="M547" s="71"/>
      <c r="N547" s="71"/>
      <c r="O547" s="71"/>
      <c r="P547" s="71"/>
      <c r="Q547" s="61"/>
      <c r="R547" s="63"/>
      <c r="S547" s="72"/>
      <c r="T547" s="61"/>
      <c r="U547" s="73"/>
      <c r="V547" s="62"/>
      <c r="W547" s="62"/>
      <c r="X547" s="62"/>
      <c r="Y547" s="93"/>
      <c r="Z547" s="94"/>
      <c r="AA547" s="74"/>
      <c r="AB547" s="75"/>
      <c r="AC547" s="75"/>
      <c r="AD547" s="76"/>
      <c r="AE547" s="77"/>
      <c r="AF547" s="75"/>
      <c r="AG547" s="78"/>
      <c r="AH547" s="79"/>
      <c r="AI547" s="74"/>
      <c r="AJ547" s="75"/>
      <c r="AK547" s="75"/>
      <c r="AL547" s="80">
        <f t="shared" si="60"/>
        <v>0</v>
      </c>
      <c r="AM547" s="74"/>
      <c r="AN547" s="74"/>
      <c r="AO547" s="81" t="str">
        <f t="shared" si="61"/>
        <v/>
      </c>
      <c r="AP547" s="82"/>
      <c r="AQ547" s="75"/>
      <c r="AR547" s="75"/>
      <c r="AS547" s="80">
        <f t="shared" si="62"/>
        <v>0</v>
      </c>
      <c r="AT547" s="74"/>
      <c r="AU547" s="75"/>
      <c r="AV547" s="75"/>
      <c r="AW547" s="75"/>
      <c r="AX547" s="80">
        <f t="shared" si="63"/>
        <v>0</v>
      </c>
      <c r="AY547" s="81" t="str">
        <f t="shared" si="64"/>
        <v/>
      </c>
      <c r="AZ547" s="83" t="str">
        <f t="shared" si="65"/>
        <v/>
      </c>
      <c r="BA547" s="80" t="str">
        <f t="shared" si="66"/>
        <v/>
      </c>
      <c r="BB547" s="84">
        <f t="shared" si="67"/>
        <v>0</v>
      </c>
      <c r="BC547" s="85" t="str">
        <f t="shared" si="68"/>
        <v/>
      </c>
      <c r="BD547" s="86" t="str">
        <f t="shared" si="69"/>
        <v/>
      </c>
      <c r="BE547" s="84">
        <f t="shared" si="70"/>
        <v>0</v>
      </c>
      <c r="BF547" s="87" t="str">
        <f t="shared" si="71"/>
        <v/>
      </c>
      <c r="BG547" s="88" t="str">
        <f t="shared" si="72"/>
        <v/>
      </c>
      <c r="BH547" s="89" t="str">
        <f t="shared" si="73"/>
        <v/>
      </c>
      <c r="BI547" s="90" t="str">
        <f t="shared" si="74"/>
        <v/>
      </c>
      <c r="BJ547" s="90" t="str">
        <f t="shared" si="75"/>
        <v/>
      </c>
      <c r="BK547" s="91">
        <f t="shared" si="76"/>
        <v>0</v>
      </c>
      <c r="BL547" s="92">
        <f t="shared" si="77"/>
        <v>0</v>
      </c>
      <c r="BM547" s="95"/>
    </row>
    <row r="548" spans="1:65">
      <c r="A548" s="61">
        <f t="shared" si="78"/>
        <v>0</v>
      </c>
      <c r="B548" s="62"/>
      <c r="C548" s="62"/>
      <c r="D548" s="63"/>
      <c r="E548" s="64"/>
      <c r="F548" s="64"/>
      <c r="G548" s="65"/>
      <c r="H548" s="66" t="str">
        <f t="shared" si="55"/>
        <v/>
      </c>
      <c r="I548" s="67" t="str">
        <f t="shared" si="56"/>
        <v/>
      </c>
      <c r="J548" s="68" t="str">
        <f t="shared" si="57"/>
        <v/>
      </c>
      <c r="K548" s="69" t="str">
        <f t="shared" si="58"/>
        <v/>
      </c>
      <c r="L548" s="70" t="str">
        <f t="shared" si="59"/>
        <v/>
      </c>
      <c r="M548" s="71"/>
      <c r="N548" s="71"/>
      <c r="O548" s="71"/>
      <c r="P548" s="71"/>
      <c r="Q548" s="61"/>
      <c r="R548" s="63"/>
      <c r="S548" s="72"/>
      <c r="T548" s="61"/>
      <c r="U548" s="73"/>
      <c r="V548" s="62"/>
      <c r="W548" s="62"/>
      <c r="X548" s="62"/>
      <c r="Y548" s="93"/>
      <c r="Z548" s="94"/>
      <c r="AA548" s="74"/>
      <c r="AB548" s="75"/>
      <c r="AC548" s="75"/>
      <c r="AD548" s="76"/>
      <c r="AE548" s="77"/>
      <c r="AF548" s="75"/>
      <c r="AG548" s="78"/>
      <c r="AH548" s="79"/>
      <c r="AI548" s="74"/>
      <c r="AJ548" s="75"/>
      <c r="AK548" s="75"/>
      <c r="AL548" s="80">
        <f t="shared" si="60"/>
        <v>0</v>
      </c>
      <c r="AM548" s="74"/>
      <c r="AN548" s="74"/>
      <c r="AO548" s="81" t="str">
        <f t="shared" si="61"/>
        <v/>
      </c>
      <c r="AP548" s="82"/>
      <c r="AQ548" s="75"/>
      <c r="AR548" s="75"/>
      <c r="AS548" s="80">
        <f t="shared" si="62"/>
        <v>0</v>
      </c>
      <c r="AT548" s="74"/>
      <c r="AU548" s="75"/>
      <c r="AV548" s="75"/>
      <c r="AW548" s="75"/>
      <c r="AX548" s="80">
        <f t="shared" si="63"/>
        <v>0</v>
      </c>
      <c r="AY548" s="81" t="str">
        <f t="shared" si="64"/>
        <v/>
      </c>
      <c r="AZ548" s="83" t="str">
        <f t="shared" si="65"/>
        <v/>
      </c>
      <c r="BA548" s="80" t="str">
        <f t="shared" si="66"/>
        <v/>
      </c>
      <c r="BB548" s="84">
        <f t="shared" si="67"/>
        <v>0</v>
      </c>
      <c r="BC548" s="85" t="str">
        <f t="shared" si="68"/>
        <v/>
      </c>
      <c r="BD548" s="86" t="str">
        <f t="shared" si="69"/>
        <v/>
      </c>
      <c r="BE548" s="84">
        <f t="shared" si="70"/>
        <v>0</v>
      </c>
      <c r="BF548" s="87" t="str">
        <f t="shared" si="71"/>
        <v/>
      </c>
      <c r="BG548" s="88" t="str">
        <f t="shared" si="72"/>
        <v/>
      </c>
      <c r="BH548" s="89" t="str">
        <f t="shared" si="73"/>
        <v/>
      </c>
      <c r="BI548" s="90" t="str">
        <f t="shared" si="74"/>
        <v/>
      </c>
      <c r="BJ548" s="90" t="str">
        <f t="shared" si="75"/>
        <v/>
      </c>
      <c r="BK548" s="91">
        <f t="shared" si="76"/>
        <v>0</v>
      </c>
      <c r="BL548" s="92">
        <f t="shared" si="77"/>
        <v>0</v>
      </c>
      <c r="BM548" s="95"/>
    </row>
    <row r="549" spans="1:65">
      <c r="A549" s="61">
        <f t="shared" si="78"/>
        <v>0</v>
      </c>
      <c r="B549" s="62"/>
      <c r="C549" s="62"/>
      <c r="D549" s="63"/>
      <c r="E549" s="64"/>
      <c r="F549" s="64"/>
      <c r="G549" s="65"/>
      <c r="H549" s="66" t="str">
        <f t="shared" si="55"/>
        <v/>
      </c>
      <c r="I549" s="67" t="str">
        <f t="shared" si="56"/>
        <v/>
      </c>
      <c r="J549" s="68" t="str">
        <f t="shared" si="57"/>
        <v/>
      </c>
      <c r="K549" s="69" t="str">
        <f t="shared" si="58"/>
        <v/>
      </c>
      <c r="L549" s="70" t="str">
        <f t="shared" si="59"/>
        <v/>
      </c>
      <c r="M549" s="71"/>
      <c r="N549" s="71"/>
      <c r="O549" s="71"/>
      <c r="P549" s="71"/>
      <c r="Q549" s="61"/>
      <c r="R549" s="63"/>
      <c r="S549" s="72"/>
      <c r="T549" s="61"/>
      <c r="U549" s="73"/>
      <c r="V549" s="62"/>
      <c r="W549" s="62"/>
      <c r="X549" s="62"/>
      <c r="Y549" s="93"/>
      <c r="Z549" s="94"/>
      <c r="AA549" s="74"/>
      <c r="AB549" s="75"/>
      <c r="AC549" s="75"/>
      <c r="AD549" s="76"/>
      <c r="AE549" s="77"/>
      <c r="AF549" s="75"/>
      <c r="AG549" s="78"/>
      <c r="AH549" s="79"/>
      <c r="AI549" s="74"/>
      <c r="AJ549" s="75"/>
      <c r="AK549" s="75"/>
      <c r="AL549" s="80">
        <f t="shared" si="60"/>
        <v>0</v>
      </c>
      <c r="AM549" s="74"/>
      <c r="AN549" s="74"/>
      <c r="AO549" s="81" t="str">
        <f t="shared" si="61"/>
        <v/>
      </c>
      <c r="AP549" s="82"/>
      <c r="AQ549" s="75"/>
      <c r="AR549" s="75"/>
      <c r="AS549" s="80">
        <f t="shared" si="62"/>
        <v>0</v>
      </c>
      <c r="AT549" s="74"/>
      <c r="AU549" s="75"/>
      <c r="AV549" s="75"/>
      <c r="AW549" s="75"/>
      <c r="AX549" s="80">
        <f t="shared" si="63"/>
        <v>0</v>
      </c>
      <c r="AY549" s="81" t="str">
        <f t="shared" si="64"/>
        <v/>
      </c>
      <c r="AZ549" s="83" t="str">
        <f t="shared" si="65"/>
        <v/>
      </c>
      <c r="BA549" s="80" t="str">
        <f t="shared" si="66"/>
        <v/>
      </c>
      <c r="BB549" s="84">
        <f t="shared" si="67"/>
        <v>0</v>
      </c>
      <c r="BC549" s="85" t="str">
        <f t="shared" si="68"/>
        <v/>
      </c>
      <c r="BD549" s="86" t="str">
        <f t="shared" si="69"/>
        <v/>
      </c>
      <c r="BE549" s="84">
        <f t="shared" si="70"/>
        <v>0</v>
      </c>
      <c r="BF549" s="87" t="str">
        <f t="shared" si="71"/>
        <v/>
      </c>
      <c r="BG549" s="88" t="str">
        <f t="shared" si="72"/>
        <v/>
      </c>
      <c r="BH549" s="89" t="str">
        <f t="shared" si="73"/>
        <v/>
      </c>
      <c r="BI549" s="90" t="str">
        <f t="shared" si="74"/>
        <v/>
      </c>
      <c r="BJ549" s="90" t="str">
        <f t="shared" si="75"/>
        <v/>
      </c>
      <c r="BK549" s="91">
        <f t="shared" si="76"/>
        <v>0</v>
      </c>
      <c r="BL549" s="92">
        <f t="shared" si="77"/>
        <v>0</v>
      </c>
      <c r="BM549" s="95"/>
    </row>
    <row r="550" spans="1:65">
      <c r="A550" s="61">
        <f t="shared" si="78"/>
        <v>0</v>
      </c>
      <c r="B550" s="62"/>
      <c r="C550" s="62"/>
      <c r="D550" s="63"/>
      <c r="E550" s="64"/>
      <c r="F550" s="64"/>
      <c r="G550" s="65"/>
      <c r="H550" s="66" t="str">
        <f t="shared" si="55"/>
        <v/>
      </c>
      <c r="I550" s="67" t="str">
        <f t="shared" si="56"/>
        <v/>
      </c>
      <c r="J550" s="68" t="str">
        <f t="shared" si="57"/>
        <v/>
      </c>
      <c r="K550" s="69" t="str">
        <f t="shared" si="58"/>
        <v/>
      </c>
      <c r="L550" s="70" t="str">
        <f t="shared" si="59"/>
        <v/>
      </c>
      <c r="M550" s="71"/>
      <c r="N550" s="71"/>
      <c r="O550" s="71"/>
      <c r="P550" s="71"/>
      <c r="Q550" s="61"/>
      <c r="R550" s="63"/>
      <c r="S550" s="72"/>
      <c r="T550" s="61"/>
      <c r="U550" s="73"/>
      <c r="V550" s="62"/>
      <c r="W550" s="62"/>
      <c r="X550" s="62"/>
      <c r="Y550" s="93"/>
      <c r="Z550" s="94"/>
      <c r="AA550" s="74"/>
      <c r="AB550" s="75"/>
      <c r="AC550" s="75"/>
      <c r="AD550" s="76"/>
      <c r="AE550" s="77"/>
      <c r="AF550" s="75"/>
      <c r="AG550" s="78"/>
      <c r="AH550" s="79"/>
      <c r="AI550" s="74"/>
      <c r="AJ550" s="75"/>
      <c r="AK550" s="75"/>
      <c r="AL550" s="80">
        <f t="shared" si="60"/>
        <v>0</v>
      </c>
      <c r="AM550" s="74"/>
      <c r="AN550" s="74"/>
      <c r="AO550" s="81" t="str">
        <f t="shared" si="61"/>
        <v/>
      </c>
      <c r="AP550" s="82"/>
      <c r="AQ550" s="75"/>
      <c r="AR550" s="75"/>
      <c r="AS550" s="80">
        <f t="shared" si="62"/>
        <v>0</v>
      </c>
      <c r="AT550" s="74"/>
      <c r="AU550" s="75"/>
      <c r="AV550" s="75"/>
      <c r="AW550" s="75"/>
      <c r="AX550" s="80">
        <f t="shared" si="63"/>
        <v>0</v>
      </c>
      <c r="AY550" s="81" t="str">
        <f t="shared" si="64"/>
        <v/>
      </c>
      <c r="AZ550" s="83" t="str">
        <f t="shared" si="65"/>
        <v/>
      </c>
      <c r="BA550" s="80" t="str">
        <f t="shared" si="66"/>
        <v/>
      </c>
      <c r="BB550" s="84">
        <f t="shared" si="67"/>
        <v>0</v>
      </c>
      <c r="BC550" s="85" t="str">
        <f t="shared" si="68"/>
        <v/>
      </c>
      <c r="BD550" s="86" t="str">
        <f t="shared" si="69"/>
        <v/>
      </c>
      <c r="BE550" s="84">
        <f t="shared" si="70"/>
        <v>0</v>
      </c>
      <c r="BF550" s="87" t="str">
        <f t="shared" si="71"/>
        <v/>
      </c>
      <c r="BG550" s="88" t="str">
        <f t="shared" si="72"/>
        <v/>
      </c>
      <c r="BH550" s="89" t="str">
        <f t="shared" si="73"/>
        <v/>
      </c>
      <c r="BI550" s="90" t="str">
        <f t="shared" si="74"/>
        <v/>
      </c>
      <c r="BJ550" s="90" t="str">
        <f t="shared" si="75"/>
        <v/>
      </c>
      <c r="BK550" s="91">
        <f t="shared" si="76"/>
        <v>0</v>
      </c>
      <c r="BL550" s="92">
        <f t="shared" si="77"/>
        <v>0</v>
      </c>
      <c r="BM550" s="95"/>
    </row>
    <row r="551" spans="1:65">
      <c r="A551" s="61">
        <f t="shared" si="78"/>
        <v>0</v>
      </c>
      <c r="B551" s="62"/>
      <c r="C551" s="62"/>
      <c r="D551" s="63"/>
      <c r="E551" s="64"/>
      <c r="F551" s="64"/>
      <c r="G551" s="65"/>
      <c r="H551" s="66" t="str">
        <f t="shared" si="55"/>
        <v/>
      </c>
      <c r="I551" s="67" t="str">
        <f t="shared" si="56"/>
        <v/>
      </c>
      <c r="J551" s="68" t="str">
        <f t="shared" si="57"/>
        <v/>
      </c>
      <c r="K551" s="69" t="str">
        <f t="shared" si="58"/>
        <v/>
      </c>
      <c r="L551" s="70" t="str">
        <f t="shared" si="59"/>
        <v/>
      </c>
      <c r="M551" s="71"/>
      <c r="N551" s="71"/>
      <c r="O551" s="71"/>
      <c r="P551" s="71"/>
      <c r="Q551" s="61"/>
      <c r="R551" s="63"/>
      <c r="S551" s="72"/>
      <c r="T551" s="61"/>
      <c r="U551" s="73"/>
      <c r="V551" s="62"/>
      <c r="W551" s="62"/>
      <c r="X551" s="62"/>
      <c r="Y551" s="93"/>
      <c r="Z551" s="94"/>
      <c r="AA551" s="74"/>
      <c r="AB551" s="75"/>
      <c r="AC551" s="75"/>
      <c r="AD551" s="76"/>
      <c r="AE551" s="77"/>
      <c r="AF551" s="75"/>
      <c r="AG551" s="78"/>
      <c r="AH551" s="79"/>
      <c r="AI551" s="74"/>
      <c r="AJ551" s="75"/>
      <c r="AK551" s="75"/>
      <c r="AL551" s="80">
        <f t="shared" si="60"/>
        <v>0</v>
      </c>
      <c r="AM551" s="74"/>
      <c r="AN551" s="74"/>
      <c r="AO551" s="81" t="str">
        <f t="shared" si="61"/>
        <v/>
      </c>
      <c r="AP551" s="82"/>
      <c r="AQ551" s="75"/>
      <c r="AR551" s="75"/>
      <c r="AS551" s="80">
        <f t="shared" si="62"/>
        <v>0</v>
      </c>
      <c r="AT551" s="74"/>
      <c r="AU551" s="75"/>
      <c r="AV551" s="75"/>
      <c r="AW551" s="75"/>
      <c r="AX551" s="80">
        <f t="shared" si="63"/>
        <v>0</v>
      </c>
      <c r="AY551" s="81" t="str">
        <f t="shared" si="64"/>
        <v/>
      </c>
      <c r="AZ551" s="83" t="str">
        <f t="shared" si="65"/>
        <v/>
      </c>
      <c r="BA551" s="80" t="str">
        <f t="shared" si="66"/>
        <v/>
      </c>
      <c r="BB551" s="84">
        <f t="shared" si="67"/>
        <v>0</v>
      </c>
      <c r="BC551" s="85" t="str">
        <f t="shared" si="68"/>
        <v/>
      </c>
      <c r="BD551" s="86" t="str">
        <f t="shared" si="69"/>
        <v/>
      </c>
      <c r="BE551" s="84">
        <f t="shared" si="70"/>
        <v>0</v>
      </c>
      <c r="BF551" s="87" t="str">
        <f t="shared" si="71"/>
        <v/>
      </c>
      <c r="BG551" s="88" t="str">
        <f t="shared" si="72"/>
        <v/>
      </c>
      <c r="BH551" s="89" t="str">
        <f t="shared" si="73"/>
        <v/>
      </c>
      <c r="BI551" s="90" t="str">
        <f t="shared" si="74"/>
        <v/>
      </c>
      <c r="BJ551" s="90" t="str">
        <f t="shared" si="75"/>
        <v/>
      </c>
      <c r="BK551" s="91">
        <f t="shared" si="76"/>
        <v>0</v>
      </c>
      <c r="BL551" s="92">
        <f t="shared" si="77"/>
        <v>0</v>
      </c>
      <c r="BM551" s="95"/>
    </row>
    <row r="552" spans="1:65">
      <c r="A552" s="61">
        <f t="shared" si="78"/>
        <v>0</v>
      </c>
      <c r="B552" s="62"/>
      <c r="C552" s="62"/>
      <c r="D552" s="63"/>
      <c r="E552" s="64"/>
      <c r="F552" s="64"/>
      <c r="G552" s="65"/>
      <c r="H552" s="66" t="str">
        <f t="shared" si="55"/>
        <v/>
      </c>
      <c r="I552" s="67" t="str">
        <f t="shared" si="56"/>
        <v/>
      </c>
      <c r="J552" s="68" t="str">
        <f t="shared" si="57"/>
        <v/>
      </c>
      <c r="K552" s="69" t="str">
        <f t="shared" si="58"/>
        <v/>
      </c>
      <c r="L552" s="70" t="str">
        <f t="shared" si="59"/>
        <v/>
      </c>
      <c r="M552" s="71"/>
      <c r="N552" s="71"/>
      <c r="O552" s="71"/>
      <c r="P552" s="71"/>
      <c r="Q552" s="61"/>
      <c r="R552" s="63"/>
      <c r="S552" s="72"/>
      <c r="T552" s="61"/>
      <c r="U552" s="73"/>
      <c r="V552" s="62"/>
      <c r="W552" s="62"/>
      <c r="X552" s="62"/>
      <c r="Y552" s="93"/>
      <c r="Z552" s="94"/>
      <c r="AA552" s="74"/>
      <c r="AB552" s="75"/>
      <c r="AC552" s="75"/>
      <c r="AD552" s="76"/>
      <c r="AE552" s="77"/>
      <c r="AF552" s="75"/>
      <c r="AG552" s="78"/>
      <c r="AH552" s="79"/>
      <c r="AI552" s="74"/>
      <c r="AJ552" s="75"/>
      <c r="AK552" s="75"/>
      <c r="AL552" s="80">
        <f t="shared" si="60"/>
        <v>0</v>
      </c>
      <c r="AM552" s="74"/>
      <c r="AN552" s="74"/>
      <c r="AO552" s="81" t="str">
        <f t="shared" si="61"/>
        <v/>
      </c>
      <c r="AP552" s="82"/>
      <c r="AQ552" s="75"/>
      <c r="AR552" s="75"/>
      <c r="AS552" s="80">
        <f t="shared" si="62"/>
        <v>0</v>
      </c>
      <c r="AT552" s="74"/>
      <c r="AU552" s="75"/>
      <c r="AV552" s="75"/>
      <c r="AW552" s="75"/>
      <c r="AX552" s="80">
        <f t="shared" si="63"/>
        <v>0</v>
      </c>
      <c r="AY552" s="81" t="str">
        <f t="shared" si="64"/>
        <v/>
      </c>
      <c r="AZ552" s="83" t="str">
        <f t="shared" si="65"/>
        <v/>
      </c>
      <c r="BA552" s="80" t="str">
        <f t="shared" si="66"/>
        <v/>
      </c>
      <c r="BB552" s="84">
        <f t="shared" si="67"/>
        <v>0</v>
      </c>
      <c r="BC552" s="85" t="str">
        <f t="shared" si="68"/>
        <v/>
      </c>
      <c r="BD552" s="86" t="str">
        <f t="shared" si="69"/>
        <v/>
      </c>
      <c r="BE552" s="84">
        <f t="shared" si="70"/>
        <v>0</v>
      </c>
      <c r="BF552" s="87" t="str">
        <f t="shared" si="71"/>
        <v/>
      </c>
      <c r="BG552" s="88" t="str">
        <f t="shared" si="72"/>
        <v/>
      </c>
      <c r="BH552" s="89" t="str">
        <f t="shared" si="73"/>
        <v/>
      </c>
      <c r="BI552" s="90" t="str">
        <f t="shared" si="74"/>
        <v/>
      </c>
      <c r="BJ552" s="90" t="str">
        <f t="shared" si="75"/>
        <v/>
      </c>
      <c r="BK552" s="91">
        <f t="shared" si="76"/>
        <v>0</v>
      </c>
      <c r="BL552" s="92">
        <f t="shared" si="77"/>
        <v>0</v>
      </c>
      <c r="BM552" s="95"/>
    </row>
    <row r="553" spans="1:65">
      <c r="A553" s="61">
        <f t="shared" si="78"/>
        <v>0</v>
      </c>
      <c r="B553" s="62"/>
      <c r="C553" s="62"/>
      <c r="D553" s="63"/>
      <c r="E553" s="64"/>
      <c r="F553" s="64"/>
      <c r="G553" s="65"/>
      <c r="H553" s="66" t="str">
        <f t="shared" si="55"/>
        <v/>
      </c>
      <c r="I553" s="67" t="str">
        <f t="shared" si="56"/>
        <v/>
      </c>
      <c r="J553" s="68" t="str">
        <f t="shared" si="57"/>
        <v/>
      </c>
      <c r="K553" s="69" t="str">
        <f t="shared" si="58"/>
        <v/>
      </c>
      <c r="L553" s="70" t="str">
        <f t="shared" si="59"/>
        <v/>
      </c>
      <c r="M553" s="71"/>
      <c r="N553" s="71"/>
      <c r="O553" s="71"/>
      <c r="P553" s="71"/>
      <c r="Q553" s="61"/>
      <c r="R553" s="63"/>
      <c r="S553" s="72"/>
      <c r="T553" s="61"/>
      <c r="U553" s="73"/>
      <c r="V553" s="62"/>
      <c r="W553" s="62"/>
      <c r="X553" s="62"/>
      <c r="Y553" s="93"/>
      <c r="Z553" s="94"/>
      <c r="AA553" s="74"/>
      <c r="AB553" s="75"/>
      <c r="AC553" s="75"/>
      <c r="AD553" s="76"/>
      <c r="AE553" s="77"/>
      <c r="AF553" s="75"/>
      <c r="AG553" s="78"/>
      <c r="AH553" s="79"/>
      <c r="AI553" s="74"/>
      <c r="AJ553" s="75"/>
      <c r="AK553" s="75"/>
      <c r="AL553" s="80">
        <f t="shared" si="60"/>
        <v>0</v>
      </c>
      <c r="AM553" s="74"/>
      <c r="AN553" s="74"/>
      <c r="AO553" s="81" t="str">
        <f t="shared" si="61"/>
        <v/>
      </c>
      <c r="AP553" s="82"/>
      <c r="AQ553" s="75"/>
      <c r="AR553" s="75"/>
      <c r="AS553" s="80">
        <f t="shared" si="62"/>
        <v>0</v>
      </c>
      <c r="AT553" s="74"/>
      <c r="AU553" s="75"/>
      <c r="AV553" s="75"/>
      <c r="AW553" s="75"/>
      <c r="AX553" s="80">
        <f t="shared" si="63"/>
        <v>0</v>
      </c>
      <c r="AY553" s="81" t="str">
        <f t="shared" si="64"/>
        <v/>
      </c>
      <c r="AZ553" s="83" t="str">
        <f t="shared" si="65"/>
        <v/>
      </c>
      <c r="BA553" s="80" t="str">
        <f t="shared" si="66"/>
        <v/>
      </c>
      <c r="BB553" s="84">
        <f t="shared" si="67"/>
        <v>0</v>
      </c>
      <c r="BC553" s="85" t="str">
        <f t="shared" si="68"/>
        <v/>
      </c>
      <c r="BD553" s="86" t="str">
        <f t="shared" si="69"/>
        <v/>
      </c>
      <c r="BE553" s="84">
        <f t="shared" si="70"/>
        <v>0</v>
      </c>
      <c r="BF553" s="87" t="str">
        <f t="shared" si="71"/>
        <v/>
      </c>
      <c r="BG553" s="88" t="str">
        <f t="shared" si="72"/>
        <v/>
      </c>
      <c r="BH553" s="89" t="str">
        <f t="shared" si="73"/>
        <v/>
      </c>
      <c r="BI553" s="90" t="str">
        <f t="shared" si="74"/>
        <v/>
      </c>
      <c r="BJ553" s="90" t="str">
        <f t="shared" si="75"/>
        <v/>
      </c>
      <c r="BK553" s="91">
        <f t="shared" si="76"/>
        <v>0</v>
      </c>
      <c r="BL553" s="92">
        <f t="shared" si="77"/>
        <v>0</v>
      </c>
      <c r="BM553" s="95"/>
    </row>
    <row r="554" spans="1:65">
      <c r="A554" s="61">
        <f t="shared" si="78"/>
        <v>0</v>
      </c>
      <c r="B554" s="62"/>
      <c r="C554" s="62"/>
      <c r="D554" s="63"/>
      <c r="E554" s="64"/>
      <c r="F554" s="64"/>
      <c r="G554" s="65"/>
      <c r="H554" s="66" t="str">
        <f t="shared" si="55"/>
        <v/>
      </c>
      <c r="I554" s="67" t="str">
        <f t="shared" si="56"/>
        <v/>
      </c>
      <c r="J554" s="68" t="str">
        <f t="shared" si="57"/>
        <v/>
      </c>
      <c r="K554" s="69" t="str">
        <f t="shared" si="58"/>
        <v/>
      </c>
      <c r="L554" s="70" t="str">
        <f t="shared" si="59"/>
        <v/>
      </c>
      <c r="M554" s="71"/>
      <c r="N554" s="71"/>
      <c r="O554" s="71"/>
      <c r="P554" s="71"/>
      <c r="Q554" s="61"/>
      <c r="R554" s="63"/>
      <c r="S554" s="72"/>
      <c r="T554" s="61"/>
      <c r="U554" s="73"/>
      <c r="V554" s="62"/>
      <c r="W554" s="62"/>
      <c r="X554" s="62"/>
      <c r="Y554" s="93"/>
      <c r="Z554" s="94"/>
      <c r="AA554" s="74"/>
      <c r="AB554" s="75"/>
      <c r="AC554" s="75"/>
      <c r="AD554" s="76"/>
      <c r="AE554" s="77"/>
      <c r="AF554" s="75"/>
      <c r="AG554" s="78"/>
      <c r="AH554" s="79"/>
      <c r="AI554" s="74"/>
      <c r="AJ554" s="75"/>
      <c r="AK554" s="75"/>
      <c r="AL554" s="80">
        <f t="shared" si="60"/>
        <v>0</v>
      </c>
      <c r="AM554" s="74"/>
      <c r="AN554" s="74"/>
      <c r="AO554" s="81" t="str">
        <f t="shared" si="61"/>
        <v/>
      </c>
      <c r="AP554" s="82"/>
      <c r="AQ554" s="75"/>
      <c r="AR554" s="75"/>
      <c r="AS554" s="80">
        <f t="shared" si="62"/>
        <v>0</v>
      </c>
      <c r="AT554" s="74"/>
      <c r="AU554" s="75"/>
      <c r="AV554" s="75"/>
      <c r="AW554" s="75"/>
      <c r="AX554" s="80">
        <f t="shared" si="63"/>
        <v>0</v>
      </c>
      <c r="AY554" s="81" t="str">
        <f t="shared" si="64"/>
        <v/>
      </c>
      <c r="AZ554" s="83" t="str">
        <f t="shared" si="65"/>
        <v/>
      </c>
      <c r="BA554" s="80" t="str">
        <f t="shared" si="66"/>
        <v/>
      </c>
      <c r="BB554" s="84">
        <f t="shared" si="67"/>
        <v>0</v>
      </c>
      <c r="BC554" s="85" t="str">
        <f t="shared" si="68"/>
        <v/>
      </c>
      <c r="BD554" s="86" t="str">
        <f t="shared" si="69"/>
        <v/>
      </c>
      <c r="BE554" s="84">
        <f t="shared" si="70"/>
        <v>0</v>
      </c>
      <c r="BF554" s="87" t="str">
        <f t="shared" si="71"/>
        <v/>
      </c>
      <c r="BG554" s="88" t="str">
        <f t="shared" si="72"/>
        <v/>
      </c>
      <c r="BH554" s="89" t="str">
        <f t="shared" si="73"/>
        <v/>
      </c>
      <c r="BI554" s="90" t="str">
        <f t="shared" si="74"/>
        <v/>
      </c>
      <c r="BJ554" s="90" t="str">
        <f t="shared" si="75"/>
        <v/>
      </c>
      <c r="BK554" s="91">
        <f t="shared" si="76"/>
        <v>0</v>
      </c>
      <c r="BL554" s="92">
        <f t="shared" si="77"/>
        <v>0</v>
      </c>
      <c r="BM554" s="95"/>
    </row>
    <row r="555" spans="1:65">
      <c r="A555" s="61">
        <f t="shared" si="78"/>
        <v>0</v>
      </c>
      <c r="B555" s="62"/>
      <c r="C555" s="62"/>
      <c r="D555" s="63"/>
      <c r="E555" s="64"/>
      <c r="F555" s="64"/>
      <c r="G555" s="65"/>
      <c r="H555" s="66" t="str">
        <f t="shared" si="55"/>
        <v/>
      </c>
      <c r="I555" s="67" t="str">
        <f t="shared" si="56"/>
        <v/>
      </c>
      <c r="J555" s="68" t="str">
        <f t="shared" si="57"/>
        <v/>
      </c>
      <c r="K555" s="69" t="str">
        <f t="shared" si="58"/>
        <v/>
      </c>
      <c r="L555" s="70" t="str">
        <f t="shared" si="59"/>
        <v/>
      </c>
      <c r="M555" s="71"/>
      <c r="N555" s="71"/>
      <c r="O555" s="71"/>
      <c r="P555" s="71"/>
      <c r="Q555" s="61"/>
      <c r="R555" s="63"/>
      <c r="S555" s="72"/>
      <c r="T555" s="61"/>
      <c r="U555" s="73"/>
      <c r="V555" s="62"/>
      <c r="W555" s="62"/>
      <c r="X555" s="62"/>
      <c r="Y555" s="93"/>
      <c r="Z555" s="94"/>
      <c r="AA555" s="74"/>
      <c r="AB555" s="75"/>
      <c r="AC555" s="75"/>
      <c r="AD555" s="76"/>
      <c r="AE555" s="77"/>
      <c r="AF555" s="75"/>
      <c r="AG555" s="78"/>
      <c r="AH555" s="79"/>
      <c r="AI555" s="74"/>
      <c r="AJ555" s="75"/>
      <c r="AK555" s="75"/>
      <c r="AL555" s="80">
        <f t="shared" si="60"/>
        <v>0</v>
      </c>
      <c r="AM555" s="74"/>
      <c r="AN555" s="74"/>
      <c r="AO555" s="81" t="str">
        <f t="shared" si="61"/>
        <v/>
      </c>
      <c r="AP555" s="82"/>
      <c r="AQ555" s="75"/>
      <c r="AR555" s="75"/>
      <c r="AS555" s="80">
        <f t="shared" si="62"/>
        <v>0</v>
      </c>
      <c r="AT555" s="74"/>
      <c r="AU555" s="75"/>
      <c r="AV555" s="75"/>
      <c r="AW555" s="75"/>
      <c r="AX555" s="80">
        <f t="shared" si="63"/>
        <v>0</v>
      </c>
      <c r="AY555" s="81" t="str">
        <f t="shared" si="64"/>
        <v/>
      </c>
      <c r="AZ555" s="83" t="str">
        <f t="shared" si="65"/>
        <v/>
      </c>
      <c r="BA555" s="80" t="str">
        <f t="shared" si="66"/>
        <v/>
      </c>
      <c r="BB555" s="84">
        <f t="shared" si="67"/>
        <v>0</v>
      </c>
      <c r="BC555" s="85" t="str">
        <f t="shared" si="68"/>
        <v/>
      </c>
      <c r="BD555" s="86" t="str">
        <f t="shared" si="69"/>
        <v/>
      </c>
      <c r="BE555" s="84">
        <f t="shared" si="70"/>
        <v>0</v>
      </c>
      <c r="BF555" s="87" t="str">
        <f t="shared" si="71"/>
        <v/>
      </c>
      <c r="BG555" s="88" t="str">
        <f t="shared" si="72"/>
        <v/>
      </c>
      <c r="BH555" s="89" t="str">
        <f t="shared" si="73"/>
        <v/>
      </c>
      <c r="BI555" s="90" t="str">
        <f t="shared" si="74"/>
        <v/>
      </c>
      <c r="BJ555" s="90" t="str">
        <f t="shared" si="75"/>
        <v/>
      </c>
      <c r="BK555" s="91">
        <f t="shared" si="76"/>
        <v>0</v>
      </c>
      <c r="BL555" s="92">
        <f t="shared" si="77"/>
        <v>0</v>
      </c>
      <c r="BM555" s="95"/>
    </row>
    <row r="556" spans="1:65">
      <c r="A556" s="61">
        <f t="shared" si="78"/>
        <v>0</v>
      </c>
      <c r="B556" s="62"/>
      <c r="C556" s="62"/>
      <c r="D556" s="63"/>
      <c r="E556" s="64"/>
      <c r="F556" s="64"/>
      <c r="G556" s="65"/>
      <c r="H556" s="66" t="str">
        <f t="shared" si="55"/>
        <v/>
      </c>
      <c r="I556" s="67" t="str">
        <f t="shared" si="56"/>
        <v/>
      </c>
      <c r="J556" s="68" t="str">
        <f t="shared" si="57"/>
        <v/>
      </c>
      <c r="K556" s="69" t="str">
        <f t="shared" si="58"/>
        <v/>
      </c>
      <c r="L556" s="70" t="str">
        <f t="shared" si="59"/>
        <v/>
      </c>
      <c r="M556" s="71"/>
      <c r="N556" s="71"/>
      <c r="O556" s="71"/>
      <c r="P556" s="71"/>
      <c r="Q556" s="61"/>
      <c r="R556" s="63"/>
      <c r="S556" s="72"/>
      <c r="T556" s="61"/>
      <c r="U556" s="73"/>
      <c r="V556" s="62"/>
      <c r="W556" s="62"/>
      <c r="X556" s="62"/>
      <c r="Y556" s="93"/>
      <c r="Z556" s="94"/>
      <c r="AA556" s="74"/>
      <c r="AB556" s="75"/>
      <c r="AC556" s="75"/>
      <c r="AD556" s="76"/>
      <c r="AE556" s="77"/>
      <c r="AF556" s="75"/>
      <c r="AG556" s="78"/>
      <c r="AH556" s="79"/>
      <c r="AI556" s="74"/>
      <c r="AJ556" s="75"/>
      <c r="AK556" s="75"/>
      <c r="AL556" s="80">
        <f t="shared" si="60"/>
        <v>0</v>
      </c>
      <c r="AM556" s="74"/>
      <c r="AN556" s="74"/>
      <c r="AO556" s="81" t="str">
        <f t="shared" si="61"/>
        <v/>
      </c>
      <c r="AP556" s="82"/>
      <c r="AQ556" s="75"/>
      <c r="AR556" s="75"/>
      <c r="AS556" s="80">
        <f t="shared" si="62"/>
        <v>0</v>
      </c>
      <c r="AT556" s="74"/>
      <c r="AU556" s="75"/>
      <c r="AV556" s="75"/>
      <c r="AW556" s="75"/>
      <c r="AX556" s="80">
        <f t="shared" si="63"/>
        <v>0</v>
      </c>
      <c r="AY556" s="81" t="str">
        <f t="shared" si="64"/>
        <v/>
      </c>
      <c r="AZ556" s="83" t="str">
        <f t="shared" si="65"/>
        <v/>
      </c>
      <c r="BA556" s="80" t="str">
        <f t="shared" si="66"/>
        <v/>
      </c>
      <c r="BB556" s="84">
        <f t="shared" si="67"/>
        <v>0</v>
      </c>
      <c r="BC556" s="85" t="str">
        <f t="shared" si="68"/>
        <v/>
      </c>
      <c r="BD556" s="86" t="str">
        <f t="shared" si="69"/>
        <v/>
      </c>
      <c r="BE556" s="84">
        <f t="shared" si="70"/>
        <v>0</v>
      </c>
      <c r="BF556" s="87" t="str">
        <f t="shared" si="71"/>
        <v/>
      </c>
      <c r="BG556" s="88" t="str">
        <f t="shared" si="72"/>
        <v/>
      </c>
      <c r="BH556" s="89" t="str">
        <f t="shared" si="73"/>
        <v/>
      </c>
      <c r="BI556" s="90" t="str">
        <f t="shared" si="74"/>
        <v/>
      </c>
      <c r="BJ556" s="90" t="str">
        <f t="shared" si="75"/>
        <v/>
      </c>
      <c r="BK556" s="91">
        <f t="shared" si="76"/>
        <v>0</v>
      </c>
      <c r="BL556" s="92">
        <f t="shared" si="77"/>
        <v>0</v>
      </c>
      <c r="BM556" s="95"/>
    </row>
    <row r="557" spans="1:65">
      <c r="A557" s="61">
        <f t="shared" si="78"/>
        <v>0</v>
      </c>
      <c r="B557" s="62"/>
      <c r="C557" s="62"/>
      <c r="D557" s="63"/>
      <c r="E557" s="64"/>
      <c r="F557" s="64"/>
      <c r="G557" s="65"/>
      <c r="H557" s="66" t="str">
        <f t="shared" si="55"/>
        <v/>
      </c>
      <c r="I557" s="67" t="str">
        <f t="shared" si="56"/>
        <v/>
      </c>
      <c r="J557" s="68" t="str">
        <f t="shared" si="57"/>
        <v/>
      </c>
      <c r="K557" s="69" t="str">
        <f t="shared" si="58"/>
        <v/>
      </c>
      <c r="L557" s="70" t="str">
        <f t="shared" si="59"/>
        <v/>
      </c>
      <c r="M557" s="71"/>
      <c r="N557" s="71"/>
      <c r="O557" s="71"/>
      <c r="P557" s="71"/>
      <c r="Q557" s="61"/>
      <c r="R557" s="63"/>
      <c r="S557" s="72"/>
      <c r="T557" s="61"/>
      <c r="U557" s="73"/>
      <c r="V557" s="62"/>
      <c r="W557" s="62"/>
      <c r="X557" s="62"/>
      <c r="Y557" s="93"/>
      <c r="Z557" s="94"/>
      <c r="AA557" s="74"/>
      <c r="AB557" s="75"/>
      <c r="AC557" s="75"/>
      <c r="AD557" s="76"/>
      <c r="AE557" s="77"/>
      <c r="AF557" s="75"/>
      <c r="AG557" s="78"/>
      <c r="AH557" s="79"/>
      <c r="AI557" s="74"/>
      <c r="AJ557" s="75"/>
      <c r="AK557" s="75"/>
      <c r="AL557" s="80">
        <f t="shared" si="60"/>
        <v>0</v>
      </c>
      <c r="AM557" s="74"/>
      <c r="AN557" s="74"/>
      <c r="AO557" s="81" t="str">
        <f t="shared" si="61"/>
        <v/>
      </c>
      <c r="AP557" s="82"/>
      <c r="AQ557" s="75"/>
      <c r="AR557" s="75"/>
      <c r="AS557" s="80">
        <f t="shared" si="62"/>
        <v>0</v>
      </c>
      <c r="AT557" s="74"/>
      <c r="AU557" s="75"/>
      <c r="AV557" s="75"/>
      <c r="AW557" s="75"/>
      <c r="AX557" s="80">
        <f t="shared" si="63"/>
        <v>0</v>
      </c>
      <c r="AY557" s="81" t="str">
        <f t="shared" si="64"/>
        <v/>
      </c>
      <c r="AZ557" s="83" t="str">
        <f t="shared" si="65"/>
        <v/>
      </c>
      <c r="BA557" s="80" t="str">
        <f t="shared" si="66"/>
        <v/>
      </c>
      <c r="BB557" s="84">
        <f t="shared" si="67"/>
        <v>0</v>
      </c>
      <c r="BC557" s="85" t="str">
        <f t="shared" si="68"/>
        <v/>
      </c>
      <c r="BD557" s="86" t="str">
        <f t="shared" si="69"/>
        <v/>
      </c>
      <c r="BE557" s="84">
        <f t="shared" si="70"/>
        <v>0</v>
      </c>
      <c r="BF557" s="87" t="str">
        <f t="shared" si="71"/>
        <v/>
      </c>
      <c r="BG557" s="88" t="str">
        <f t="shared" si="72"/>
        <v/>
      </c>
      <c r="BH557" s="89" t="str">
        <f t="shared" si="73"/>
        <v/>
      </c>
      <c r="BI557" s="90" t="str">
        <f t="shared" si="74"/>
        <v/>
      </c>
      <c r="BJ557" s="90" t="str">
        <f t="shared" si="75"/>
        <v/>
      </c>
      <c r="BK557" s="91">
        <f t="shared" si="76"/>
        <v>0</v>
      </c>
      <c r="BL557" s="92">
        <f t="shared" si="77"/>
        <v>0</v>
      </c>
      <c r="BM557" s="95"/>
    </row>
    <row r="558" spans="1:65">
      <c r="A558" s="61">
        <f t="shared" si="78"/>
        <v>0</v>
      </c>
      <c r="B558" s="62"/>
      <c r="C558" s="62"/>
      <c r="D558" s="63"/>
      <c r="E558" s="64"/>
      <c r="F558" s="64"/>
      <c r="G558" s="65"/>
      <c r="H558" s="66" t="str">
        <f t="shared" si="55"/>
        <v/>
      </c>
      <c r="I558" s="67" t="str">
        <f t="shared" si="56"/>
        <v/>
      </c>
      <c r="J558" s="68" t="str">
        <f t="shared" si="57"/>
        <v/>
      </c>
      <c r="K558" s="69" t="str">
        <f t="shared" si="58"/>
        <v/>
      </c>
      <c r="L558" s="70" t="str">
        <f t="shared" si="59"/>
        <v/>
      </c>
      <c r="M558" s="71"/>
      <c r="N558" s="71"/>
      <c r="O558" s="71"/>
      <c r="P558" s="71"/>
      <c r="Q558" s="61"/>
      <c r="R558" s="63"/>
      <c r="S558" s="72"/>
      <c r="T558" s="61"/>
      <c r="U558" s="73"/>
      <c r="V558" s="62"/>
      <c r="W558" s="62"/>
      <c r="X558" s="62"/>
      <c r="Y558" s="93"/>
      <c r="Z558" s="94"/>
      <c r="AA558" s="74"/>
      <c r="AB558" s="75"/>
      <c r="AC558" s="75"/>
      <c r="AD558" s="76"/>
      <c r="AE558" s="77"/>
      <c r="AF558" s="75"/>
      <c r="AG558" s="78"/>
      <c r="AH558" s="79"/>
      <c r="AI558" s="74"/>
      <c r="AJ558" s="75"/>
      <c r="AK558" s="75"/>
      <c r="AL558" s="80">
        <f t="shared" si="60"/>
        <v>0</v>
      </c>
      <c r="AM558" s="74"/>
      <c r="AN558" s="74"/>
      <c r="AO558" s="81" t="str">
        <f t="shared" si="61"/>
        <v/>
      </c>
      <c r="AP558" s="82"/>
      <c r="AQ558" s="75"/>
      <c r="AR558" s="75"/>
      <c r="AS558" s="80">
        <f t="shared" si="62"/>
        <v>0</v>
      </c>
      <c r="AT558" s="74"/>
      <c r="AU558" s="75"/>
      <c r="AV558" s="75"/>
      <c r="AW558" s="75"/>
      <c r="AX558" s="80">
        <f t="shared" si="63"/>
        <v>0</v>
      </c>
      <c r="AY558" s="81" t="str">
        <f t="shared" si="64"/>
        <v/>
      </c>
      <c r="AZ558" s="83" t="str">
        <f t="shared" si="65"/>
        <v/>
      </c>
      <c r="BA558" s="80" t="str">
        <f t="shared" si="66"/>
        <v/>
      </c>
      <c r="BB558" s="84">
        <f t="shared" si="67"/>
        <v>0</v>
      </c>
      <c r="BC558" s="85" t="str">
        <f t="shared" si="68"/>
        <v/>
      </c>
      <c r="BD558" s="86" t="str">
        <f t="shared" si="69"/>
        <v/>
      </c>
      <c r="BE558" s="84">
        <f t="shared" si="70"/>
        <v>0</v>
      </c>
      <c r="BF558" s="87" t="str">
        <f t="shared" si="71"/>
        <v/>
      </c>
      <c r="BG558" s="88" t="str">
        <f t="shared" si="72"/>
        <v/>
      </c>
      <c r="BH558" s="89" t="str">
        <f t="shared" si="73"/>
        <v/>
      </c>
      <c r="BI558" s="90" t="str">
        <f t="shared" si="74"/>
        <v/>
      </c>
      <c r="BJ558" s="90" t="str">
        <f t="shared" si="75"/>
        <v/>
      </c>
      <c r="BK558" s="91">
        <f t="shared" si="76"/>
        <v>0</v>
      </c>
      <c r="BL558" s="92">
        <f t="shared" si="77"/>
        <v>0</v>
      </c>
      <c r="BM558" s="95"/>
    </row>
    <row r="559" spans="1:65">
      <c r="A559" s="61">
        <f t="shared" si="78"/>
        <v>0</v>
      </c>
      <c r="B559" s="62"/>
      <c r="C559" s="62"/>
      <c r="D559" s="63"/>
      <c r="E559" s="64"/>
      <c r="F559" s="64"/>
      <c r="G559" s="65"/>
      <c r="H559" s="66" t="str">
        <f t="shared" si="55"/>
        <v/>
      </c>
      <c r="I559" s="67" t="str">
        <f t="shared" si="56"/>
        <v/>
      </c>
      <c r="J559" s="68" t="str">
        <f t="shared" si="57"/>
        <v/>
      </c>
      <c r="K559" s="69" t="str">
        <f t="shared" si="58"/>
        <v/>
      </c>
      <c r="L559" s="70" t="str">
        <f t="shared" si="59"/>
        <v/>
      </c>
      <c r="M559" s="71"/>
      <c r="N559" s="71"/>
      <c r="O559" s="71"/>
      <c r="P559" s="71"/>
      <c r="Q559" s="61"/>
      <c r="R559" s="63"/>
      <c r="S559" s="72"/>
      <c r="T559" s="61"/>
      <c r="U559" s="73"/>
      <c r="V559" s="62"/>
      <c r="W559" s="62"/>
      <c r="X559" s="62"/>
      <c r="Y559" s="93"/>
      <c r="Z559" s="94"/>
      <c r="AA559" s="74"/>
      <c r="AB559" s="75"/>
      <c r="AC559" s="75"/>
      <c r="AD559" s="76"/>
      <c r="AE559" s="77"/>
      <c r="AF559" s="75"/>
      <c r="AG559" s="78"/>
      <c r="AH559" s="79"/>
      <c r="AI559" s="74"/>
      <c r="AJ559" s="75"/>
      <c r="AK559" s="75"/>
      <c r="AL559" s="80">
        <f t="shared" si="60"/>
        <v>0</v>
      </c>
      <c r="AM559" s="74"/>
      <c r="AN559" s="74"/>
      <c r="AO559" s="81" t="str">
        <f t="shared" si="61"/>
        <v/>
      </c>
      <c r="AP559" s="82"/>
      <c r="AQ559" s="75"/>
      <c r="AR559" s="75"/>
      <c r="AS559" s="80">
        <f t="shared" si="62"/>
        <v>0</v>
      </c>
      <c r="AT559" s="74"/>
      <c r="AU559" s="75"/>
      <c r="AV559" s="75"/>
      <c r="AW559" s="75"/>
      <c r="AX559" s="80">
        <f t="shared" si="63"/>
        <v>0</v>
      </c>
      <c r="AY559" s="81" t="str">
        <f t="shared" si="64"/>
        <v/>
      </c>
      <c r="AZ559" s="83" t="str">
        <f t="shared" si="65"/>
        <v/>
      </c>
      <c r="BA559" s="80" t="str">
        <f t="shared" si="66"/>
        <v/>
      </c>
      <c r="BB559" s="84">
        <f t="shared" si="67"/>
        <v>0</v>
      </c>
      <c r="BC559" s="85" t="str">
        <f t="shared" si="68"/>
        <v/>
      </c>
      <c r="BD559" s="86" t="str">
        <f t="shared" si="69"/>
        <v/>
      </c>
      <c r="BE559" s="84">
        <f t="shared" si="70"/>
        <v>0</v>
      </c>
      <c r="BF559" s="87" t="str">
        <f t="shared" si="71"/>
        <v/>
      </c>
      <c r="BG559" s="88" t="str">
        <f t="shared" si="72"/>
        <v/>
      </c>
      <c r="BH559" s="89" t="str">
        <f t="shared" si="73"/>
        <v/>
      </c>
      <c r="BI559" s="90" t="str">
        <f t="shared" si="74"/>
        <v/>
      </c>
      <c r="BJ559" s="90" t="str">
        <f t="shared" si="75"/>
        <v/>
      </c>
      <c r="BK559" s="91">
        <f t="shared" si="76"/>
        <v>0</v>
      </c>
      <c r="BL559" s="92">
        <f t="shared" si="77"/>
        <v>0</v>
      </c>
      <c r="BM559" s="95"/>
    </row>
    <row r="560" spans="1:65">
      <c r="A560" s="61">
        <f t="shared" si="78"/>
        <v>0</v>
      </c>
      <c r="B560" s="62"/>
      <c r="C560" s="62"/>
      <c r="D560" s="63"/>
      <c r="E560" s="64"/>
      <c r="F560" s="64"/>
      <c r="G560" s="65"/>
      <c r="H560" s="66" t="str">
        <f t="shared" si="55"/>
        <v/>
      </c>
      <c r="I560" s="67" t="str">
        <f t="shared" si="56"/>
        <v/>
      </c>
      <c r="J560" s="68" t="str">
        <f t="shared" si="57"/>
        <v/>
      </c>
      <c r="K560" s="69" t="str">
        <f t="shared" si="58"/>
        <v/>
      </c>
      <c r="L560" s="70" t="str">
        <f t="shared" si="59"/>
        <v/>
      </c>
      <c r="M560" s="71"/>
      <c r="N560" s="71"/>
      <c r="O560" s="71"/>
      <c r="P560" s="71"/>
      <c r="Q560" s="61"/>
      <c r="R560" s="63"/>
      <c r="S560" s="72"/>
      <c r="T560" s="61"/>
      <c r="U560" s="73"/>
      <c r="V560" s="62"/>
      <c r="W560" s="62"/>
      <c r="X560" s="62"/>
      <c r="Y560" s="93"/>
      <c r="Z560" s="94"/>
      <c r="AA560" s="74"/>
      <c r="AB560" s="75"/>
      <c r="AC560" s="75"/>
      <c r="AD560" s="76"/>
      <c r="AE560" s="77"/>
      <c r="AF560" s="75"/>
      <c r="AG560" s="78"/>
      <c r="AH560" s="79"/>
      <c r="AI560" s="74"/>
      <c r="AJ560" s="75"/>
      <c r="AK560" s="75"/>
      <c r="AL560" s="80">
        <f t="shared" si="60"/>
        <v>0</v>
      </c>
      <c r="AM560" s="74"/>
      <c r="AN560" s="74"/>
      <c r="AO560" s="81" t="str">
        <f t="shared" si="61"/>
        <v/>
      </c>
      <c r="AP560" s="82"/>
      <c r="AQ560" s="75"/>
      <c r="AR560" s="75"/>
      <c r="AS560" s="80">
        <f t="shared" si="62"/>
        <v>0</v>
      </c>
      <c r="AT560" s="74"/>
      <c r="AU560" s="75"/>
      <c r="AV560" s="75"/>
      <c r="AW560" s="75"/>
      <c r="AX560" s="80">
        <f t="shared" si="63"/>
        <v>0</v>
      </c>
      <c r="AY560" s="81" t="str">
        <f t="shared" si="64"/>
        <v/>
      </c>
      <c r="AZ560" s="83" t="str">
        <f t="shared" si="65"/>
        <v/>
      </c>
      <c r="BA560" s="80" t="str">
        <f t="shared" si="66"/>
        <v/>
      </c>
      <c r="BB560" s="84">
        <f t="shared" si="67"/>
        <v>0</v>
      </c>
      <c r="BC560" s="85" t="str">
        <f t="shared" si="68"/>
        <v/>
      </c>
      <c r="BD560" s="86" t="str">
        <f t="shared" si="69"/>
        <v/>
      </c>
      <c r="BE560" s="84">
        <f t="shared" si="70"/>
        <v>0</v>
      </c>
      <c r="BF560" s="87" t="str">
        <f t="shared" si="71"/>
        <v/>
      </c>
      <c r="BG560" s="88" t="str">
        <f t="shared" si="72"/>
        <v/>
      </c>
      <c r="BH560" s="89" t="str">
        <f t="shared" si="73"/>
        <v/>
      </c>
      <c r="BI560" s="90" t="str">
        <f t="shared" si="74"/>
        <v/>
      </c>
      <c r="BJ560" s="90" t="str">
        <f t="shared" si="75"/>
        <v/>
      </c>
      <c r="BK560" s="91">
        <f t="shared" si="76"/>
        <v>0</v>
      </c>
      <c r="BL560" s="92">
        <f t="shared" si="77"/>
        <v>0</v>
      </c>
      <c r="BM560" s="95"/>
    </row>
    <row r="561" spans="1:65">
      <c r="A561" s="61">
        <f t="shared" si="78"/>
        <v>0</v>
      </c>
      <c r="B561" s="62"/>
      <c r="C561" s="62"/>
      <c r="D561" s="63"/>
      <c r="E561" s="64"/>
      <c r="F561" s="64"/>
      <c r="G561" s="65"/>
      <c r="H561" s="66" t="str">
        <f t="shared" si="55"/>
        <v/>
      </c>
      <c r="I561" s="67" t="str">
        <f t="shared" si="56"/>
        <v/>
      </c>
      <c r="J561" s="68" t="str">
        <f t="shared" si="57"/>
        <v/>
      </c>
      <c r="K561" s="69" t="str">
        <f t="shared" si="58"/>
        <v/>
      </c>
      <c r="L561" s="70" t="str">
        <f t="shared" si="59"/>
        <v/>
      </c>
      <c r="M561" s="71"/>
      <c r="N561" s="71"/>
      <c r="O561" s="71"/>
      <c r="P561" s="71"/>
      <c r="Q561" s="61"/>
      <c r="R561" s="63"/>
      <c r="S561" s="72"/>
      <c r="T561" s="61"/>
      <c r="U561" s="73"/>
      <c r="V561" s="62"/>
      <c r="W561" s="62"/>
      <c r="X561" s="62"/>
      <c r="Y561" s="93"/>
      <c r="Z561" s="94"/>
      <c r="AA561" s="74"/>
      <c r="AB561" s="75"/>
      <c r="AC561" s="75"/>
      <c r="AD561" s="76"/>
      <c r="AE561" s="77"/>
      <c r="AF561" s="75"/>
      <c r="AG561" s="78"/>
      <c r="AH561" s="79"/>
      <c r="AI561" s="74"/>
      <c r="AJ561" s="75"/>
      <c r="AK561" s="75"/>
      <c r="AL561" s="80">
        <f t="shared" si="60"/>
        <v>0</v>
      </c>
      <c r="AM561" s="74"/>
      <c r="AN561" s="74"/>
      <c r="AO561" s="81" t="str">
        <f t="shared" si="61"/>
        <v/>
      </c>
      <c r="AP561" s="82"/>
      <c r="AQ561" s="75"/>
      <c r="AR561" s="75"/>
      <c r="AS561" s="80">
        <f t="shared" si="62"/>
        <v>0</v>
      </c>
      <c r="AT561" s="74"/>
      <c r="AU561" s="75"/>
      <c r="AV561" s="75"/>
      <c r="AW561" s="75"/>
      <c r="AX561" s="80">
        <f t="shared" si="63"/>
        <v>0</v>
      </c>
      <c r="AY561" s="81" t="str">
        <f t="shared" si="64"/>
        <v/>
      </c>
      <c r="AZ561" s="83" t="str">
        <f t="shared" si="65"/>
        <v/>
      </c>
      <c r="BA561" s="80" t="str">
        <f t="shared" si="66"/>
        <v/>
      </c>
      <c r="BB561" s="84">
        <f t="shared" si="67"/>
        <v>0</v>
      </c>
      <c r="BC561" s="85" t="str">
        <f t="shared" si="68"/>
        <v/>
      </c>
      <c r="BD561" s="86" t="str">
        <f t="shared" si="69"/>
        <v/>
      </c>
      <c r="BE561" s="84">
        <f t="shared" si="70"/>
        <v>0</v>
      </c>
      <c r="BF561" s="87" t="str">
        <f t="shared" si="71"/>
        <v/>
      </c>
      <c r="BG561" s="88" t="str">
        <f t="shared" si="72"/>
        <v/>
      </c>
      <c r="BH561" s="89" t="str">
        <f t="shared" si="73"/>
        <v/>
      </c>
      <c r="BI561" s="90" t="str">
        <f t="shared" si="74"/>
        <v/>
      </c>
      <c r="BJ561" s="90" t="str">
        <f t="shared" si="75"/>
        <v/>
      </c>
      <c r="BK561" s="91">
        <f t="shared" si="76"/>
        <v>0</v>
      </c>
      <c r="BL561" s="92">
        <f t="shared" si="77"/>
        <v>0</v>
      </c>
      <c r="BM561" s="95"/>
    </row>
    <row r="562" spans="1:65">
      <c r="A562" s="61">
        <f t="shared" si="78"/>
        <v>0</v>
      </c>
      <c r="B562" s="62"/>
      <c r="C562" s="62"/>
      <c r="D562" s="63"/>
      <c r="E562" s="64"/>
      <c r="F562" s="64"/>
      <c r="G562" s="65"/>
      <c r="H562" s="66" t="str">
        <f t="shared" si="55"/>
        <v/>
      </c>
      <c r="I562" s="67" t="str">
        <f t="shared" si="56"/>
        <v/>
      </c>
      <c r="J562" s="68" t="str">
        <f t="shared" si="57"/>
        <v/>
      </c>
      <c r="K562" s="69" t="str">
        <f t="shared" si="58"/>
        <v/>
      </c>
      <c r="L562" s="70" t="str">
        <f t="shared" si="59"/>
        <v/>
      </c>
      <c r="M562" s="71"/>
      <c r="N562" s="71"/>
      <c r="O562" s="71"/>
      <c r="P562" s="71"/>
      <c r="Q562" s="61"/>
      <c r="R562" s="63"/>
      <c r="S562" s="72"/>
      <c r="T562" s="61"/>
      <c r="U562" s="73"/>
      <c r="V562" s="62"/>
      <c r="W562" s="62"/>
      <c r="X562" s="62"/>
      <c r="Y562" s="93"/>
      <c r="Z562" s="94"/>
      <c r="AA562" s="74"/>
      <c r="AB562" s="75"/>
      <c r="AC562" s="75"/>
      <c r="AD562" s="76"/>
      <c r="AE562" s="77"/>
      <c r="AF562" s="75"/>
      <c r="AG562" s="78"/>
      <c r="AH562" s="79"/>
      <c r="AI562" s="74"/>
      <c r="AJ562" s="75"/>
      <c r="AK562" s="75"/>
      <c r="AL562" s="80">
        <f t="shared" si="60"/>
        <v>0</v>
      </c>
      <c r="AM562" s="74"/>
      <c r="AN562" s="74"/>
      <c r="AO562" s="81" t="str">
        <f t="shared" si="61"/>
        <v/>
      </c>
      <c r="AP562" s="82"/>
      <c r="AQ562" s="75"/>
      <c r="AR562" s="75"/>
      <c r="AS562" s="80">
        <f t="shared" si="62"/>
        <v>0</v>
      </c>
      <c r="AT562" s="74"/>
      <c r="AU562" s="75"/>
      <c r="AV562" s="75"/>
      <c r="AW562" s="75"/>
      <c r="AX562" s="80">
        <f t="shared" si="63"/>
        <v>0</v>
      </c>
      <c r="AY562" s="81" t="str">
        <f t="shared" si="64"/>
        <v/>
      </c>
      <c r="AZ562" s="83" t="str">
        <f t="shared" si="65"/>
        <v/>
      </c>
      <c r="BA562" s="80" t="str">
        <f t="shared" si="66"/>
        <v/>
      </c>
      <c r="BB562" s="84">
        <f t="shared" si="67"/>
        <v>0</v>
      </c>
      <c r="BC562" s="85" t="str">
        <f t="shared" si="68"/>
        <v/>
      </c>
      <c r="BD562" s="86" t="str">
        <f t="shared" si="69"/>
        <v/>
      </c>
      <c r="BE562" s="84">
        <f t="shared" si="70"/>
        <v>0</v>
      </c>
      <c r="BF562" s="87" t="str">
        <f t="shared" si="71"/>
        <v/>
      </c>
      <c r="BG562" s="88" t="str">
        <f t="shared" si="72"/>
        <v/>
      </c>
      <c r="BH562" s="89" t="str">
        <f t="shared" si="73"/>
        <v/>
      </c>
      <c r="BI562" s="90" t="str">
        <f t="shared" si="74"/>
        <v/>
      </c>
      <c r="BJ562" s="90" t="str">
        <f t="shared" si="75"/>
        <v/>
      </c>
      <c r="BK562" s="91">
        <f t="shared" si="76"/>
        <v>0</v>
      </c>
      <c r="BL562" s="92">
        <f t="shared" si="77"/>
        <v>0</v>
      </c>
      <c r="BM562" s="95"/>
    </row>
    <row r="563" spans="1:65">
      <c r="A563" s="61">
        <f t="shared" si="78"/>
        <v>0</v>
      </c>
      <c r="B563" s="62"/>
      <c r="C563" s="62"/>
      <c r="D563" s="63"/>
      <c r="E563" s="64"/>
      <c r="F563" s="64"/>
      <c r="G563" s="65"/>
      <c r="H563" s="66" t="str">
        <f t="shared" si="55"/>
        <v/>
      </c>
      <c r="I563" s="67" t="str">
        <f t="shared" si="56"/>
        <v/>
      </c>
      <c r="J563" s="68" t="str">
        <f t="shared" si="57"/>
        <v/>
      </c>
      <c r="K563" s="69" t="str">
        <f t="shared" si="58"/>
        <v/>
      </c>
      <c r="L563" s="70" t="str">
        <f t="shared" si="59"/>
        <v/>
      </c>
      <c r="M563" s="71"/>
      <c r="N563" s="71"/>
      <c r="O563" s="71"/>
      <c r="P563" s="71"/>
      <c r="Q563" s="61"/>
      <c r="R563" s="63"/>
      <c r="S563" s="72"/>
      <c r="T563" s="61"/>
      <c r="U563" s="73"/>
      <c r="V563" s="62"/>
      <c r="W563" s="62"/>
      <c r="X563" s="62"/>
      <c r="Y563" s="93"/>
      <c r="Z563" s="94"/>
      <c r="AA563" s="74"/>
      <c r="AB563" s="75"/>
      <c r="AC563" s="75"/>
      <c r="AD563" s="76"/>
      <c r="AE563" s="77"/>
      <c r="AF563" s="75"/>
      <c r="AG563" s="78"/>
      <c r="AH563" s="79"/>
      <c r="AI563" s="74"/>
      <c r="AJ563" s="75"/>
      <c r="AK563" s="75"/>
      <c r="AL563" s="80">
        <f t="shared" si="60"/>
        <v>0</v>
      </c>
      <c r="AM563" s="74"/>
      <c r="AN563" s="74"/>
      <c r="AO563" s="81" t="str">
        <f t="shared" si="61"/>
        <v/>
      </c>
      <c r="AP563" s="82"/>
      <c r="AQ563" s="75"/>
      <c r="AR563" s="75"/>
      <c r="AS563" s="80">
        <f t="shared" si="62"/>
        <v>0</v>
      </c>
      <c r="AT563" s="74"/>
      <c r="AU563" s="75"/>
      <c r="AV563" s="75"/>
      <c r="AW563" s="75"/>
      <c r="AX563" s="80">
        <f t="shared" si="63"/>
        <v>0</v>
      </c>
      <c r="AY563" s="81" t="str">
        <f t="shared" si="64"/>
        <v/>
      </c>
      <c r="AZ563" s="83" t="str">
        <f t="shared" si="65"/>
        <v/>
      </c>
      <c r="BA563" s="80" t="str">
        <f t="shared" si="66"/>
        <v/>
      </c>
      <c r="BB563" s="84">
        <f t="shared" si="67"/>
        <v>0</v>
      </c>
      <c r="BC563" s="85" t="str">
        <f t="shared" si="68"/>
        <v/>
      </c>
      <c r="BD563" s="86" t="str">
        <f t="shared" si="69"/>
        <v/>
      </c>
      <c r="BE563" s="84">
        <f t="shared" si="70"/>
        <v>0</v>
      </c>
      <c r="BF563" s="87" t="str">
        <f t="shared" si="71"/>
        <v/>
      </c>
      <c r="BG563" s="88" t="str">
        <f t="shared" si="72"/>
        <v/>
      </c>
      <c r="BH563" s="89" t="str">
        <f t="shared" si="73"/>
        <v/>
      </c>
      <c r="BI563" s="90" t="str">
        <f t="shared" si="74"/>
        <v/>
      </c>
      <c r="BJ563" s="90" t="str">
        <f t="shared" si="75"/>
        <v/>
      </c>
      <c r="BK563" s="91">
        <f t="shared" si="76"/>
        <v>0</v>
      </c>
      <c r="BL563" s="92">
        <f t="shared" si="77"/>
        <v>0</v>
      </c>
      <c r="BM563" s="95"/>
    </row>
    <row r="564" spans="1:65">
      <c r="A564" s="61">
        <f t="shared" si="78"/>
        <v>0</v>
      </c>
      <c r="B564" s="62"/>
      <c r="C564" s="62"/>
      <c r="D564" s="63"/>
      <c r="E564" s="64"/>
      <c r="F564" s="64"/>
      <c r="G564" s="65"/>
      <c r="H564" s="66" t="str">
        <f t="shared" si="55"/>
        <v/>
      </c>
      <c r="I564" s="67" t="str">
        <f t="shared" si="56"/>
        <v/>
      </c>
      <c r="J564" s="68" t="str">
        <f t="shared" si="57"/>
        <v/>
      </c>
      <c r="K564" s="69" t="str">
        <f t="shared" si="58"/>
        <v/>
      </c>
      <c r="L564" s="70" t="str">
        <f t="shared" si="59"/>
        <v/>
      </c>
      <c r="M564" s="71"/>
      <c r="N564" s="71"/>
      <c r="O564" s="71"/>
      <c r="P564" s="71"/>
      <c r="Q564" s="61"/>
      <c r="R564" s="63"/>
      <c r="S564" s="72"/>
      <c r="T564" s="61"/>
      <c r="U564" s="73"/>
      <c r="V564" s="62"/>
      <c r="W564" s="62"/>
      <c r="X564" s="62"/>
      <c r="Y564" s="93"/>
      <c r="Z564" s="94"/>
      <c r="AA564" s="74"/>
      <c r="AB564" s="75"/>
      <c r="AC564" s="75"/>
      <c r="AD564" s="76"/>
      <c r="AE564" s="77"/>
      <c r="AF564" s="75"/>
      <c r="AG564" s="78"/>
      <c r="AH564" s="79"/>
      <c r="AI564" s="74"/>
      <c r="AJ564" s="75"/>
      <c r="AK564" s="75"/>
      <c r="AL564" s="80">
        <f t="shared" si="60"/>
        <v>0</v>
      </c>
      <c r="AM564" s="74"/>
      <c r="AN564" s="74"/>
      <c r="AO564" s="81" t="str">
        <f t="shared" si="61"/>
        <v/>
      </c>
      <c r="AP564" s="82"/>
      <c r="AQ564" s="75"/>
      <c r="AR564" s="75"/>
      <c r="AS564" s="80">
        <f t="shared" si="62"/>
        <v>0</v>
      </c>
      <c r="AT564" s="74"/>
      <c r="AU564" s="75"/>
      <c r="AV564" s="75"/>
      <c r="AW564" s="75"/>
      <c r="AX564" s="80">
        <f t="shared" si="63"/>
        <v>0</v>
      </c>
      <c r="AY564" s="81" t="str">
        <f t="shared" si="64"/>
        <v/>
      </c>
      <c r="AZ564" s="83" t="str">
        <f t="shared" si="65"/>
        <v/>
      </c>
      <c r="BA564" s="80" t="str">
        <f t="shared" si="66"/>
        <v/>
      </c>
      <c r="BB564" s="84">
        <f t="shared" si="67"/>
        <v>0</v>
      </c>
      <c r="BC564" s="85" t="str">
        <f t="shared" si="68"/>
        <v/>
      </c>
      <c r="BD564" s="86" t="str">
        <f t="shared" si="69"/>
        <v/>
      </c>
      <c r="BE564" s="84">
        <f t="shared" si="70"/>
        <v>0</v>
      </c>
      <c r="BF564" s="87" t="str">
        <f t="shared" si="71"/>
        <v/>
      </c>
      <c r="BG564" s="88" t="str">
        <f t="shared" si="72"/>
        <v/>
      </c>
      <c r="BH564" s="89" t="str">
        <f t="shared" si="73"/>
        <v/>
      </c>
      <c r="BI564" s="90" t="str">
        <f t="shared" si="74"/>
        <v/>
      </c>
      <c r="BJ564" s="90" t="str">
        <f t="shared" si="75"/>
        <v/>
      </c>
      <c r="BK564" s="91">
        <f t="shared" si="76"/>
        <v>0</v>
      </c>
      <c r="BL564" s="92">
        <f t="shared" si="77"/>
        <v>0</v>
      </c>
      <c r="BM564" s="95"/>
    </row>
    <row r="565" spans="1:65">
      <c r="A565" s="61">
        <f t="shared" si="78"/>
        <v>0</v>
      </c>
      <c r="B565" s="62"/>
      <c r="C565" s="62"/>
      <c r="D565" s="63"/>
      <c r="E565" s="64"/>
      <c r="F565" s="64"/>
      <c r="G565" s="65"/>
      <c r="H565" s="66" t="str">
        <f t="shared" si="55"/>
        <v/>
      </c>
      <c r="I565" s="67" t="str">
        <f t="shared" si="56"/>
        <v/>
      </c>
      <c r="J565" s="68" t="str">
        <f t="shared" si="57"/>
        <v/>
      </c>
      <c r="K565" s="69" t="str">
        <f t="shared" si="58"/>
        <v/>
      </c>
      <c r="L565" s="70" t="str">
        <f t="shared" si="59"/>
        <v/>
      </c>
      <c r="M565" s="71"/>
      <c r="N565" s="71"/>
      <c r="O565" s="71"/>
      <c r="P565" s="71"/>
      <c r="Q565" s="61"/>
      <c r="R565" s="63"/>
      <c r="S565" s="72"/>
      <c r="T565" s="61"/>
      <c r="U565" s="73"/>
      <c r="V565" s="62"/>
      <c r="W565" s="62"/>
      <c r="X565" s="62"/>
      <c r="Y565" s="93"/>
      <c r="Z565" s="94"/>
      <c r="AA565" s="74"/>
      <c r="AB565" s="75"/>
      <c r="AC565" s="75"/>
      <c r="AD565" s="76"/>
      <c r="AE565" s="77"/>
      <c r="AF565" s="75"/>
      <c r="AG565" s="78"/>
      <c r="AH565" s="79"/>
      <c r="AI565" s="74"/>
      <c r="AJ565" s="75"/>
      <c r="AK565" s="75"/>
      <c r="AL565" s="80">
        <f t="shared" si="60"/>
        <v>0</v>
      </c>
      <c r="AM565" s="74"/>
      <c r="AN565" s="74"/>
      <c r="AO565" s="81" t="str">
        <f t="shared" si="61"/>
        <v/>
      </c>
      <c r="AP565" s="82"/>
      <c r="AQ565" s="75"/>
      <c r="AR565" s="75"/>
      <c r="AS565" s="80">
        <f t="shared" si="62"/>
        <v>0</v>
      </c>
      <c r="AT565" s="74"/>
      <c r="AU565" s="75"/>
      <c r="AV565" s="75"/>
      <c r="AW565" s="75"/>
      <c r="AX565" s="80">
        <f t="shared" si="63"/>
        <v>0</v>
      </c>
      <c r="AY565" s="81" t="str">
        <f t="shared" si="64"/>
        <v/>
      </c>
      <c r="AZ565" s="83" t="str">
        <f t="shared" si="65"/>
        <v/>
      </c>
      <c r="BA565" s="80" t="str">
        <f t="shared" si="66"/>
        <v/>
      </c>
      <c r="BB565" s="84">
        <f t="shared" si="67"/>
        <v>0</v>
      </c>
      <c r="BC565" s="85" t="str">
        <f t="shared" si="68"/>
        <v/>
      </c>
      <c r="BD565" s="86" t="str">
        <f t="shared" si="69"/>
        <v/>
      </c>
      <c r="BE565" s="84">
        <f t="shared" si="70"/>
        <v>0</v>
      </c>
      <c r="BF565" s="87" t="str">
        <f t="shared" si="71"/>
        <v/>
      </c>
      <c r="BG565" s="88" t="str">
        <f t="shared" si="72"/>
        <v/>
      </c>
      <c r="BH565" s="89" t="str">
        <f t="shared" si="73"/>
        <v/>
      </c>
      <c r="BI565" s="90" t="str">
        <f t="shared" si="74"/>
        <v/>
      </c>
      <c r="BJ565" s="90" t="str">
        <f t="shared" si="75"/>
        <v/>
      </c>
      <c r="BK565" s="91">
        <f t="shared" si="76"/>
        <v>0</v>
      </c>
      <c r="BL565" s="92">
        <f t="shared" si="77"/>
        <v>0</v>
      </c>
      <c r="BM565" s="95"/>
    </row>
    <row r="566" spans="1:65">
      <c r="A566" s="61">
        <f t="shared" si="78"/>
        <v>0</v>
      </c>
      <c r="B566" s="62"/>
      <c r="C566" s="62"/>
      <c r="D566" s="63"/>
      <c r="E566" s="64"/>
      <c r="F566" s="64"/>
      <c r="G566" s="65"/>
      <c r="H566" s="66" t="str">
        <f t="shared" si="55"/>
        <v/>
      </c>
      <c r="I566" s="67" t="str">
        <f t="shared" si="56"/>
        <v/>
      </c>
      <c r="J566" s="68" t="str">
        <f t="shared" si="57"/>
        <v/>
      </c>
      <c r="K566" s="69" t="str">
        <f t="shared" si="58"/>
        <v/>
      </c>
      <c r="L566" s="70" t="str">
        <f t="shared" si="59"/>
        <v/>
      </c>
      <c r="M566" s="71"/>
      <c r="N566" s="71"/>
      <c r="O566" s="71"/>
      <c r="P566" s="71"/>
      <c r="Q566" s="61"/>
      <c r="R566" s="63"/>
      <c r="S566" s="72"/>
      <c r="T566" s="61"/>
      <c r="U566" s="73"/>
      <c r="V566" s="62"/>
      <c r="W566" s="62"/>
      <c r="X566" s="62"/>
      <c r="Y566" s="93"/>
      <c r="Z566" s="94"/>
      <c r="AA566" s="74"/>
      <c r="AB566" s="75"/>
      <c r="AC566" s="75"/>
      <c r="AD566" s="76"/>
      <c r="AE566" s="77"/>
      <c r="AF566" s="75"/>
      <c r="AG566" s="78"/>
      <c r="AH566" s="79"/>
      <c r="AI566" s="74"/>
      <c r="AJ566" s="75"/>
      <c r="AK566" s="75"/>
      <c r="AL566" s="80">
        <f t="shared" si="60"/>
        <v>0</v>
      </c>
      <c r="AM566" s="74"/>
      <c r="AN566" s="74"/>
      <c r="AO566" s="81" t="str">
        <f t="shared" si="61"/>
        <v/>
      </c>
      <c r="AP566" s="82"/>
      <c r="AQ566" s="75"/>
      <c r="AR566" s="75"/>
      <c r="AS566" s="80">
        <f t="shared" si="62"/>
        <v>0</v>
      </c>
      <c r="AT566" s="74"/>
      <c r="AU566" s="75"/>
      <c r="AV566" s="75"/>
      <c r="AW566" s="75"/>
      <c r="AX566" s="80">
        <f t="shared" si="63"/>
        <v>0</v>
      </c>
      <c r="AY566" s="81" t="str">
        <f t="shared" si="64"/>
        <v/>
      </c>
      <c r="AZ566" s="83" t="str">
        <f t="shared" si="65"/>
        <v/>
      </c>
      <c r="BA566" s="80" t="str">
        <f t="shared" si="66"/>
        <v/>
      </c>
      <c r="BB566" s="84">
        <f t="shared" si="67"/>
        <v>0</v>
      </c>
      <c r="BC566" s="85" t="str">
        <f t="shared" si="68"/>
        <v/>
      </c>
      <c r="BD566" s="86" t="str">
        <f t="shared" si="69"/>
        <v/>
      </c>
      <c r="BE566" s="84">
        <f t="shared" si="70"/>
        <v>0</v>
      </c>
      <c r="BF566" s="87" t="str">
        <f t="shared" si="71"/>
        <v/>
      </c>
      <c r="BG566" s="88" t="str">
        <f t="shared" si="72"/>
        <v/>
      </c>
      <c r="BH566" s="89" t="str">
        <f t="shared" si="73"/>
        <v/>
      </c>
      <c r="BI566" s="90" t="str">
        <f t="shared" si="74"/>
        <v/>
      </c>
      <c r="BJ566" s="90" t="str">
        <f t="shared" si="75"/>
        <v/>
      </c>
      <c r="BK566" s="91">
        <f t="shared" si="76"/>
        <v>0</v>
      </c>
      <c r="BL566" s="92">
        <f t="shared" si="77"/>
        <v>0</v>
      </c>
      <c r="BM566" s="95"/>
    </row>
    <row r="567" spans="1:65">
      <c r="A567" s="61">
        <f t="shared" si="78"/>
        <v>0</v>
      </c>
      <c r="B567" s="62"/>
      <c r="C567" s="62"/>
      <c r="D567" s="63"/>
      <c r="E567" s="64"/>
      <c r="F567" s="64"/>
      <c r="G567" s="65"/>
      <c r="H567" s="66" t="str">
        <f t="shared" si="55"/>
        <v/>
      </c>
      <c r="I567" s="67" t="str">
        <f t="shared" si="56"/>
        <v/>
      </c>
      <c r="J567" s="68" t="str">
        <f t="shared" si="57"/>
        <v/>
      </c>
      <c r="K567" s="69" t="str">
        <f t="shared" si="58"/>
        <v/>
      </c>
      <c r="L567" s="70" t="str">
        <f t="shared" si="59"/>
        <v/>
      </c>
      <c r="M567" s="71"/>
      <c r="N567" s="71"/>
      <c r="O567" s="71"/>
      <c r="P567" s="71"/>
      <c r="Q567" s="61"/>
      <c r="R567" s="63"/>
      <c r="S567" s="72"/>
      <c r="T567" s="61"/>
      <c r="U567" s="73"/>
      <c r="V567" s="62"/>
      <c r="W567" s="62"/>
      <c r="X567" s="62"/>
      <c r="Y567" s="93"/>
      <c r="Z567" s="94"/>
      <c r="AA567" s="74"/>
      <c r="AB567" s="75"/>
      <c r="AC567" s="75"/>
      <c r="AD567" s="76"/>
      <c r="AE567" s="77"/>
      <c r="AF567" s="75"/>
      <c r="AG567" s="78"/>
      <c r="AH567" s="79"/>
      <c r="AI567" s="74"/>
      <c r="AJ567" s="75"/>
      <c r="AK567" s="75"/>
      <c r="AL567" s="80">
        <f t="shared" si="60"/>
        <v>0</v>
      </c>
      <c r="AM567" s="74"/>
      <c r="AN567" s="74"/>
      <c r="AO567" s="81" t="str">
        <f t="shared" si="61"/>
        <v/>
      </c>
      <c r="AP567" s="82"/>
      <c r="AQ567" s="75"/>
      <c r="AR567" s="75"/>
      <c r="AS567" s="80">
        <f t="shared" si="62"/>
        <v>0</v>
      </c>
      <c r="AT567" s="74"/>
      <c r="AU567" s="75"/>
      <c r="AV567" s="75"/>
      <c r="AW567" s="75"/>
      <c r="AX567" s="80">
        <f t="shared" si="63"/>
        <v>0</v>
      </c>
      <c r="AY567" s="81" t="str">
        <f t="shared" si="64"/>
        <v/>
      </c>
      <c r="AZ567" s="83" t="str">
        <f t="shared" si="65"/>
        <v/>
      </c>
      <c r="BA567" s="80" t="str">
        <f t="shared" si="66"/>
        <v/>
      </c>
      <c r="BB567" s="84">
        <f t="shared" si="67"/>
        <v>0</v>
      </c>
      <c r="BC567" s="85" t="str">
        <f t="shared" si="68"/>
        <v/>
      </c>
      <c r="BD567" s="86" t="str">
        <f t="shared" si="69"/>
        <v/>
      </c>
      <c r="BE567" s="84">
        <f t="shared" si="70"/>
        <v>0</v>
      </c>
      <c r="BF567" s="87" t="str">
        <f t="shared" si="71"/>
        <v/>
      </c>
      <c r="BG567" s="88" t="str">
        <f t="shared" si="72"/>
        <v/>
      </c>
      <c r="BH567" s="89" t="str">
        <f t="shared" si="73"/>
        <v/>
      </c>
      <c r="BI567" s="90" t="str">
        <f t="shared" si="74"/>
        <v/>
      </c>
      <c r="BJ567" s="90" t="str">
        <f t="shared" si="75"/>
        <v/>
      </c>
      <c r="BK567" s="91">
        <f t="shared" si="76"/>
        <v>0</v>
      </c>
      <c r="BL567" s="92">
        <f t="shared" si="77"/>
        <v>0</v>
      </c>
      <c r="BM567" s="95"/>
    </row>
    <row r="568" spans="1:65">
      <c r="A568" s="61">
        <f t="shared" si="78"/>
        <v>0</v>
      </c>
      <c r="B568" s="62"/>
      <c r="C568" s="62"/>
      <c r="D568" s="63"/>
      <c r="E568" s="64"/>
      <c r="F568" s="64"/>
      <c r="G568" s="65"/>
      <c r="H568" s="66" t="str">
        <f t="shared" si="55"/>
        <v/>
      </c>
      <c r="I568" s="67" t="str">
        <f t="shared" si="56"/>
        <v/>
      </c>
      <c r="J568" s="68" t="str">
        <f t="shared" si="57"/>
        <v/>
      </c>
      <c r="K568" s="69" t="str">
        <f t="shared" si="58"/>
        <v/>
      </c>
      <c r="L568" s="70" t="str">
        <f t="shared" si="59"/>
        <v/>
      </c>
      <c r="M568" s="71"/>
      <c r="N568" s="71"/>
      <c r="O568" s="71"/>
      <c r="P568" s="71"/>
      <c r="Q568" s="61"/>
      <c r="R568" s="63"/>
      <c r="S568" s="72"/>
      <c r="T568" s="61"/>
      <c r="U568" s="73"/>
      <c r="V568" s="62"/>
      <c r="W568" s="62"/>
      <c r="X568" s="62"/>
      <c r="Y568" s="93"/>
      <c r="Z568" s="94"/>
      <c r="AA568" s="74"/>
      <c r="AB568" s="75"/>
      <c r="AC568" s="75"/>
      <c r="AD568" s="76"/>
      <c r="AE568" s="77"/>
      <c r="AF568" s="75"/>
      <c r="AG568" s="78"/>
      <c r="AH568" s="79"/>
      <c r="AI568" s="74"/>
      <c r="AJ568" s="75"/>
      <c r="AK568" s="75"/>
      <c r="AL568" s="80">
        <f t="shared" si="60"/>
        <v>0</v>
      </c>
      <c r="AM568" s="74"/>
      <c r="AN568" s="74"/>
      <c r="AO568" s="81" t="str">
        <f t="shared" si="61"/>
        <v/>
      </c>
      <c r="AP568" s="82"/>
      <c r="AQ568" s="75"/>
      <c r="AR568" s="75"/>
      <c r="AS568" s="80">
        <f t="shared" si="62"/>
        <v>0</v>
      </c>
      <c r="AT568" s="74"/>
      <c r="AU568" s="75"/>
      <c r="AV568" s="75"/>
      <c r="AW568" s="75"/>
      <c r="AX568" s="80">
        <f t="shared" si="63"/>
        <v>0</v>
      </c>
      <c r="AY568" s="81" t="str">
        <f t="shared" si="64"/>
        <v/>
      </c>
      <c r="AZ568" s="83" t="str">
        <f t="shared" si="65"/>
        <v/>
      </c>
      <c r="BA568" s="80" t="str">
        <f t="shared" si="66"/>
        <v/>
      </c>
      <c r="BB568" s="84">
        <f t="shared" si="67"/>
        <v>0</v>
      </c>
      <c r="BC568" s="85" t="str">
        <f t="shared" si="68"/>
        <v/>
      </c>
      <c r="BD568" s="86" t="str">
        <f t="shared" si="69"/>
        <v/>
      </c>
      <c r="BE568" s="84">
        <f t="shared" si="70"/>
        <v>0</v>
      </c>
      <c r="BF568" s="87" t="str">
        <f t="shared" si="71"/>
        <v/>
      </c>
      <c r="BG568" s="88" t="str">
        <f t="shared" si="72"/>
        <v/>
      </c>
      <c r="BH568" s="89" t="str">
        <f t="shared" si="73"/>
        <v/>
      </c>
      <c r="BI568" s="90" t="str">
        <f t="shared" si="74"/>
        <v/>
      </c>
      <c r="BJ568" s="90" t="str">
        <f t="shared" si="75"/>
        <v/>
      </c>
      <c r="BK568" s="91">
        <f t="shared" si="76"/>
        <v>0</v>
      </c>
      <c r="BL568" s="92">
        <f t="shared" si="77"/>
        <v>0</v>
      </c>
      <c r="BM568" s="95"/>
    </row>
    <row r="569" spans="1:65">
      <c r="A569" s="61">
        <f t="shared" si="78"/>
        <v>0</v>
      </c>
      <c r="B569" s="62"/>
      <c r="C569" s="62"/>
      <c r="D569" s="63"/>
      <c r="E569" s="64"/>
      <c r="F569" s="64"/>
      <c r="G569" s="65"/>
      <c r="H569" s="66" t="str">
        <f t="shared" si="55"/>
        <v/>
      </c>
      <c r="I569" s="67" t="str">
        <f t="shared" si="56"/>
        <v/>
      </c>
      <c r="J569" s="68" t="str">
        <f t="shared" si="57"/>
        <v/>
      </c>
      <c r="K569" s="69" t="str">
        <f t="shared" si="58"/>
        <v/>
      </c>
      <c r="L569" s="70" t="str">
        <f t="shared" si="59"/>
        <v/>
      </c>
      <c r="M569" s="71"/>
      <c r="N569" s="71"/>
      <c r="O569" s="71"/>
      <c r="P569" s="71"/>
      <c r="Q569" s="61"/>
      <c r="R569" s="63"/>
      <c r="S569" s="72"/>
      <c r="T569" s="61"/>
      <c r="U569" s="73"/>
      <c r="V569" s="62"/>
      <c r="W569" s="62"/>
      <c r="X569" s="62"/>
      <c r="Y569" s="93"/>
      <c r="Z569" s="94"/>
      <c r="AA569" s="74"/>
      <c r="AB569" s="75"/>
      <c r="AC569" s="75"/>
      <c r="AD569" s="76"/>
      <c r="AE569" s="77"/>
      <c r="AF569" s="75"/>
      <c r="AG569" s="78"/>
      <c r="AH569" s="79"/>
      <c r="AI569" s="74"/>
      <c r="AJ569" s="75"/>
      <c r="AK569" s="75"/>
      <c r="AL569" s="80">
        <f t="shared" si="60"/>
        <v>0</v>
      </c>
      <c r="AM569" s="74"/>
      <c r="AN569" s="74"/>
      <c r="AO569" s="81" t="str">
        <f t="shared" si="61"/>
        <v/>
      </c>
      <c r="AP569" s="82"/>
      <c r="AQ569" s="75"/>
      <c r="AR569" s="75"/>
      <c r="AS569" s="80">
        <f t="shared" si="62"/>
        <v>0</v>
      </c>
      <c r="AT569" s="74"/>
      <c r="AU569" s="75"/>
      <c r="AV569" s="75"/>
      <c r="AW569" s="75"/>
      <c r="AX569" s="80">
        <f t="shared" si="63"/>
        <v>0</v>
      </c>
      <c r="AY569" s="81" t="str">
        <f t="shared" si="64"/>
        <v/>
      </c>
      <c r="AZ569" s="83" t="str">
        <f t="shared" si="65"/>
        <v/>
      </c>
      <c r="BA569" s="80" t="str">
        <f t="shared" si="66"/>
        <v/>
      </c>
      <c r="BB569" s="84">
        <f t="shared" si="67"/>
        <v>0</v>
      </c>
      <c r="BC569" s="85" t="str">
        <f t="shared" si="68"/>
        <v/>
      </c>
      <c r="BD569" s="86" t="str">
        <f t="shared" si="69"/>
        <v/>
      </c>
      <c r="BE569" s="84">
        <f t="shared" si="70"/>
        <v>0</v>
      </c>
      <c r="BF569" s="87" t="str">
        <f t="shared" si="71"/>
        <v/>
      </c>
      <c r="BG569" s="88" t="str">
        <f t="shared" si="72"/>
        <v/>
      </c>
      <c r="BH569" s="89" t="str">
        <f t="shared" si="73"/>
        <v/>
      </c>
      <c r="BI569" s="90" t="str">
        <f t="shared" si="74"/>
        <v/>
      </c>
      <c r="BJ569" s="90" t="str">
        <f t="shared" si="75"/>
        <v/>
      </c>
      <c r="BK569" s="91">
        <f t="shared" si="76"/>
        <v>0</v>
      </c>
      <c r="BL569" s="92">
        <f t="shared" si="77"/>
        <v>0</v>
      </c>
      <c r="BM569" s="95"/>
    </row>
    <row r="570" spans="1:65">
      <c r="A570" s="61">
        <f t="shared" si="78"/>
        <v>0</v>
      </c>
      <c r="B570" s="62"/>
      <c r="C570" s="62"/>
      <c r="D570" s="63"/>
      <c r="E570" s="64"/>
      <c r="F570" s="64"/>
      <c r="G570" s="65"/>
      <c r="H570" s="66" t="str">
        <f t="shared" si="55"/>
        <v/>
      </c>
      <c r="I570" s="67" t="str">
        <f t="shared" si="56"/>
        <v/>
      </c>
      <c r="J570" s="68" t="str">
        <f t="shared" si="57"/>
        <v/>
      </c>
      <c r="K570" s="69" t="str">
        <f t="shared" si="58"/>
        <v/>
      </c>
      <c r="L570" s="70" t="str">
        <f t="shared" si="59"/>
        <v/>
      </c>
      <c r="M570" s="71"/>
      <c r="N570" s="71"/>
      <c r="O570" s="71"/>
      <c r="P570" s="71"/>
      <c r="Q570" s="61"/>
      <c r="R570" s="63"/>
      <c r="S570" s="72"/>
      <c r="T570" s="61"/>
      <c r="U570" s="73"/>
      <c r="V570" s="62"/>
      <c r="W570" s="62"/>
      <c r="X570" s="62"/>
      <c r="Y570" s="93"/>
      <c r="Z570" s="94"/>
      <c r="AA570" s="74"/>
      <c r="AB570" s="75"/>
      <c r="AC570" s="75"/>
      <c r="AD570" s="76"/>
      <c r="AE570" s="77"/>
      <c r="AF570" s="75"/>
      <c r="AG570" s="78"/>
      <c r="AH570" s="79"/>
      <c r="AI570" s="74"/>
      <c r="AJ570" s="75"/>
      <c r="AK570" s="75"/>
      <c r="AL570" s="80">
        <f t="shared" si="60"/>
        <v>0</v>
      </c>
      <c r="AM570" s="74"/>
      <c r="AN570" s="74"/>
      <c r="AO570" s="81" t="str">
        <f t="shared" si="61"/>
        <v/>
      </c>
      <c r="AP570" s="82"/>
      <c r="AQ570" s="75"/>
      <c r="AR570" s="75"/>
      <c r="AS570" s="80">
        <f t="shared" si="62"/>
        <v>0</v>
      </c>
      <c r="AT570" s="74"/>
      <c r="AU570" s="75"/>
      <c r="AV570" s="75"/>
      <c r="AW570" s="75"/>
      <c r="AX570" s="80">
        <f t="shared" si="63"/>
        <v>0</v>
      </c>
      <c r="AY570" s="81" t="str">
        <f t="shared" si="64"/>
        <v/>
      </c>
      <c r="AZ570" s="83" t="str">
        <f t="shared" si="65"/>
        <v/>
      </c>
      <c r="BA570" s="80" t="str">
        <f t="shared" si="66"/>
        <v/>
      </c>
      <c r="BB570" s="84">
        <f t="shared" si="67"/>
        <v>0</v>
      </c>
      <c r="BC570" s="85" t="str">
        <f t="shared" si="68"/>
        <v/>
      </c>
      <c r="BD570" s="86" t="str">
        <f t="shared" si="69"/>
        <v/>
      </c>
      <c r="BE570" s="84">
        <f t="shared" si="70"/>
        <v>0</v>
      </c>
      <c r="BF570" s="87" t="str">
        <f t="shared" si="71"/>
        <v/>
      </c>
      <c r="BG570" s="88" t="str">
        <f t="shared" si="72"/>
        <v/>
      </c>
      <c r="BH570" s="89" t="str">
        <f t="shared" si="73"/>
        <v/>
      </c>
      <c r="BI570" s="90" t="str">
        <f t="shared" si="74"/>
        <v/>
      </c>
      <c r="BJ570" s="90" t="str">
        <f t="shared" si="75"/>
        <v/>
      </c>
      <c r="BK570" s="91">
        <f t="shared" si="76"/>
        <v>0</v>
      </c>
      <c r="BL570" s="92">
        <f t="shared" si="77"/>
        <v>0</v>
      </c>
      <c r="BM570" s="95"/>
    </row>
    <row r="571" spans="1:65">
      <c r="A571" s="61">
        <f t="shared" si="78"/>
        <v>0</v>
      </c>
      <c r="B571" s="62"/>
      <c r="C571" s="62"/>
      <c r="D571" s="63"/>
      <c r="E571" s="64"/>
      <c r="F571" s="64"/>
      <c r="G571" s="65"/>
      <c r="H571" s="66" t="str">
        <f t="shared" si="55"/>
        <v/>
      </c>
      <c r="I571" s="67" t="str">
        <f t="shared" si="56"/>
        <v/>
      </c>
      <c r="J571" s="68" t="str">
        <f t="shared" si="57"/>
        <v/>
      </c>
      <c r="K571" s="69" t="str">
        <f t="shared" si="58"/>
        <v/>
      </c>
      <c r="L571" s="70" t="str">
        <f t="shared" si="59"/>
        <v/>
      </c>
      <c r="M571" s="71"/>
      <c r="N571" s="71"/>
      <c r="O571" s="71"/>
      <c r="P571" s="71"/>
      <c r="Q571" s="61"/>
      <c r="R571" s="63"/>
      <c r="S571" s="72"/>
      <c r="T571" s="61"/>
      <c r="U571" s="73"/>
      <c r="V571" s="62"/>
      <c r="W571" s="62"/>
      <c r="X571" s="62"/>
      <c r="Y571" s="93"/>
      <c r="Z571" s="94"/>
      <c r="AA571" s="74"/>
      <c r="AB571" s="75"/>
      <c r="AC571" s="75"/>
      <c r="AD571" s="76"/>
      <c r="AE571" s="77"/>
      <c r="AF571" s="75"/>
      <c r="AG571" s="78"/>
      <c r="AH571" s="79"/>
      <c r="AI571" s="74"/>
      <c r="AJ571" s="75"/>
      <c r="AK571" s="75"/>
      <c r="AL571" s="80">
        <f t="shared" si="60"/>
        <v>0</v>
      </c>
      <c r="AM571" s="74"/>
      <c r="AN571" s="74"/>
      <c r="AO571" s="81" t="str">
        <f t="shared" si="61"/>
        <v/>
      </c>
      <c r="AP571" s="82"/>
      <c r="AQ571" s="75"/>
      <c r="AR571" s="75"/>
      <c r="AS571" s="80">
        <f t="shared" si="62"/>
        <v>0</v>
      </c>
      <c r="AT571" s="74"/>
      <c r="AU571" s="75"/>
      <c r="AV571" s="75"/>
      <c r="AW571" s="75"/>
      <c r="AX571" s="80">
        <f t="shared" si="63"/>
        <v>0</v>
      </c>
      <c r="AY571" s="81" t="str">
        <f t="shared" si="64"/>
        <v/>
      </c>
      <c r="AZ571" s="83" t="str">
        <f t="shared" si="65"/>
        <v/>
      </c>
      <c r="BA571" s="80" t="str">
        <f t="shared" si="66"/>
        <v/>
      </c>
      <c r="BB571" s="84">
        <f t="shared" si="67"/>
        <v>0</v>
      </c>
      <c r="BC571" s="85" t="str">
        <f t="shared" si="68"/>
        <v/>
      </c>
      <c r="BD571" s="86" t="str">
        <f t="shared" si="69"/>
        <v/>
      </c>
      <c r="BE571" s="84">
        <f t="shared" si="70"/>
        <v>0</v>
      </c>
      <c r="BF571" s="87" t="str">
        <f t="shared" si="71"/>
        <v/>
      </c>
      <c r="BG571" s="88" t="str">
        <f t="shared" si="72"/>
        <v/>
      </c>
      <c r="BH571" s="89" t="str">
        <f t="shared" si="73"/>
        <v/>
      </c>
      <c r="BI571" s="90" t="str">
        <f t="shared" si="74"/>
        <v/>
      </c>
      <c r="BJ571" s="90" t="str">
        <f t="shared" si="75"/>
        <v/>
      </c>
      <c r="BK571" s="91">
        <f t="shared" si="76"/>
        <v>0</v>
      </c>
      <c r="BL571" s="92">
        <f t="shared" si="77"/>
        <v>0</v>
      </c>
      <c r="BM571" s="95"/>
    </row>
    <row r="572" spans="1:65">
      <c r="A572" s="61">
        <f t="shared" si="78"/>
        <v>0</v>
      </c>
      <c r="B572" s="62"/>
      <c r="C572" s="62"/>
      <c r="D572" s="63"/>
      <c r="E572" s="64"/>
      <c r="F572" s="64"/>
      <c r="G572" s="65"/>
      <c r="H572" s="66" t="str">
        <f t="shared" si="55"/>
        <v/>
      </c>
      <c r="I572" s="67" t="str">
        <f t="shared" si="56"/>
        <v/>
      </c>
      <c r="J572" s="68" t="str">
        <f t="shared" si="57"/>
        <v/>
      </c>
      <c r="K572" s="69" t="str">
        <f t="shared" si="58"/>
        <v/>
      </c>
      <c r="L572" s="70" t="str">
        <f t="shared" si="59"/>
        <v/>
      </c>
      <c r="M572" s="71"/>
      <c r="N572" s="71"/>
      <c r="O572" s="71"/>
      <c r="P572" s="71"/>
      <c r="Q572" s="61"/>
      <c r="R572" s="63"/>
      <c r="S572" s="72"/>
      <c r="T572" s="61"/>
      <c r="U572" s="73"/>
      <c r="V572" s="62"/>
      <c r="W572" s="62"/>
      <c r="X572" s="62"/>
      <c r="Y572" s="93"/>
      <c r="Z572" s="94"/>
      <c r="AA572" s="74"/>
      <c r="AB572" s="75"/>
      <c r="AC572" s="75"/>
      <c r="AD572" s="76"/>
      <c r="AE572" s="77"/>
      <c r="AF572" s="75"/>
      <c r="AG572" s="78"/>
      <c r="AH572" s="79"/>
      <c r="AI572" s="74"/>
      <c r="AJ572" s="75"/>
      <c r="AK572" s="75"/>
      <c r="AL572" s="80">
        <f t="shared" si="60"/>
        <v>0</v>
      </c>
      <c r="AM572" s="74"/>
      <c r="AN572" s="74"/>
      <c r="AO572" s="81" t="str">
        <f t="shared" si="61"/>
        <v/>
      </c>
      <c r="AP572" s="82"/>
      <c r="AQ572" s="75"/>
      <c r="AR572" s="75"/>
      <c r="AS572" s="80">
        <f t="shared" si="62"/>
        <v>0</v>
      </c>
      <c r="AT572" s="74"/>
      <c r="AU572" s="75"/>
      <c r="AV572" s="75"/>
      <c r="AW572" s="75"/>
      <c r="AX572" s="80">
        <f t="shared" si="63"/>
        <v>0</v>
      </c>
      <c r="AY572" s="81" t="str">
        <f t="shared" si="64"/>
        <v/>
      </c>
      <c r="AZ572" s="83" t="str">
        <f t="shared" si="65"/>
        <v/>
      </c>
      <c r="BA572" s="80" t="str">
        <f t="shared" si="66"/>
        <v/>
      </c>
      <c r="BB572" s="84">
        <f t="shared" si="67"/>
        <v>0</v>
      </c>
      <c r="BC572" s="85" t="str">
        <f t="shared" si="68"/>
        <v/>
      </c>
      <c r="BD572" s="86" t="str">
        <f t="shared" si="69"/>
        <v/>
      </c>
      <c r="BE572" s="84">
        <f t="shared" si="70"/>
        <v>0</v>
      </c>
      <c r="BF572" s="87" t="str">
        <f t="shared" si="71"/>
        <v/>
      </c>
      <c r="BG572" s="88" t="str">
        <f t="shared" si="72"/>
        <v/>
      </c>
      <c r="BH572" s="89" t="str">
        <f t="shared" si="73"/>
        <v/>
      </c>
      <c r="BI572" s="90" t="str">
        <f t="shared" si="74"/>
        <v/>
      </c>
      <c r="BJ572" s="90" t="str">
        <f t="shared" si="75"/>
        <v/>
      </c>
      <c r="BK572" s="91">
        <f t="shared" si="76"/>
        <v>0</v>
      </c>
      <c r="BL572" s="92">
        <f t="shared" si="77"/>
        <v>0</v>
      </c>
      <c r="BM572" s="95"/>
    </row>
    <row r="573" spans="1:65">
      <c r="A573" s="61">
        <f t="shared" si="78"/>
        <v>0</v>
      </c>
      <c r="B573" s="62"/>
      <c r="C573" s="62"/>
      <c r="D573" s="63"/>
      <c r="E573" s="64"/>
      <c r="F573" s="64"/>
      <c r="G573" s="65"/>
      <c r="H573" s="66" t="str">
        <f t="shared" si="55"/>
        <v/>
      </c>
      <c r="I573" s="67" t="str">
        <f t="shared" si="56"/>
        <v/>
      </c>
      <c r="J573" s="68" t="str">
        <f t="shared" si="57"/>
        <v/>
      </c>
      <c r="K573" s="69" t="str">
        <f t="shared" si="58"/>
        <v/>
      </c>
      <c r="L573" s="70" t="str">
        <f t="shared" si="59"/>
        <v/>
      </c>
      <c r="M573" s="71"/>
      <c r="N573" s="71"/>
      <c r="O573" s="71"/>
      <c r="P573" s="71"/>
      <c r="Q573" s="61"/>
      <c r="R573" s="63"/>
      <c r="S573" s="72"/>
      <c r="T573" s="61"/>
      <c r="U573" s="73"/>
      <c r="V573" s="62"/>
      <c r="W573" s="62"/>
      <c r="X573" s="62"/>
      <c r="Y573" s="93"/>
      <c r="Z573" s="94"/>
      <c r="AA573" s="74"/>
      <c r="AB573" s="75"/>
      <c r="AC573" s="75"/>
      <c r="AD573" s="76"/>
      <c r="AE573" s="77"/>
      <c r="AF573" s="75"/>
      <c r="AG573" s="78"/>
      <c r="AH573" s="79"/>
      <c r="AI573" s="74"/>
      <c r="AJ573" s="75"/>
      <c r="AK573" s="75"/>
      <c r="AL573" s="80">
        <f t="shared" si="60"/>
        <v>0</v>
      </c>
      <c r="AM573" s="74"/>
      <c r="AN573" s="74"/>
      <c r="AO573" s="81" t="str">
        <f t="shared" si="61"/>
        <v/>
      </c>
      <c r="AP573" s="82"/>
      <c r="AQ573" s="75"/>
      <c r="AR573" s="75"/>
      <c r="AS573" s="80">
        <f t="shared" si="62"/>
        <v>0</v>
      </c>
      <c r="AT573" s="74"/>
      <c r="AU573" s="75"/>
      <c r="AV573" s="75"/>
      <c r="AW573" s="75"/>
      <c r="AX573" s="80">
        <f t="shared" si="63"/>
        <v>0</v>
      </c>
      <c r="AY573" s="81" t="str">
        <f t="shared" si="64"/>
        <v/>
      </c>
      <c r="AZ573" s="83" t="str">
        <f t="shared" si="65"/>
        <v/>
      </c>
      <c r="BA573" s="80" t="str">
        <f t="shared" si="66"/>
        <v/>
      </c>
      <c r="BB573" s="84">
        <f t="shared" si="67"/>
        <v>0</v>
      </c>
      <c r="BC573" s="85" t="str">
        <f t="shared" si="68"/>
        <v/>
      </c>
      <c r="BD573" s="86" t="str">
        <f t="shared" si="69"/>
        <v/>
      </c>
      <c r="BE573" s="84">
        <f t="shared" si="70"/>
        <v>0</v>
      </c>
      <c r="BF573" s="87" t="str">
        <f t="shared" si="71"/>
        <v/>
      </c>
      <c r="BG573" s="88" t="str">
        <f t="shared" si="72"/>
        <v/>
      </c>
      <c r="BH573" s="89" t="str">
        <f t="shared" si="73"/>
        <v/>
      </c>
      <c r="BI573" s="90" t="str">
        <f t="shared" si="74"/>
        <v/>
      </c>
      <c r="BJ573" s="90" t="str">
        <f t="shared" si="75"/>
        <v/>
      </c>
      <c r="BK573" s="91">
        <f t="shared" si="76"/>
        <v>0</v>
      </c>
      <c r="BL573" s="92">
        <f t="shared" si="77"/>
        <v>0</v>
      </c>
      <c r="BM573" s="95"/>
    </row>
    <row r="574" spans="1:65">
      <c r="A574" s="61">
        <f t="shared" si="78"/>
        <v>0</v>
      </c>
      <c r="B574" s="62"/>
      <c r="C574" s="62"/>
      <c r="D574" s="63"/>
      <c r="E574" s="64"/>
      <c r="F574" s="64"/>
      <c r="G574" s="65"/>
      <c r="H574" s="66" t="str">
        <f t="shared" si="55"/>
        <v/>
      </c>
      <c r="I574" s="67" t="str">
        <f t="shared" si="56"/>
        <v/>
      </c>
      <c r="J574" s="68" t="str">
        <f t="shared" si="57"/>
        <v/>
      </c>
      <c r="K574" s="69" t="str">
        <f t="shared" si="58"/>
        <v/>
      </c>
      <c r="L574" s="70" t="str">
        <f t="shared" si="59"/>
        <v/>
      </c>
      <c r="M574" s="71"/>
      <c r="N574" s="71"/>
      <c r="O574" s="71"/>
      <c r="P574" s="71"/>
      <c r="Q574" s="61"/>
      <c r="R574" s="63"/>
      <c r="S574" s="72"/>
      <c r="T574" s="61"/>
      <c r="U574" s="73"/>
      <c r="V574" s="62"/>
      <c r="W574" s="62"/>
      <c r="X574" s="62"/>
      <c r="Y574" s="93"/>
      <c r="Z574" s="94"/>
      <c r="AA574" s="74"/>
      <c r="AB574" s="75"/>
      <c r="AC574" s="75"/>
      <c r="AD574" s="76"/>
      <c r="AE574" s="77"/>
      <c r="AF574" s="75"/>
      <c r="AG574" s="78"/>
      <c r="AH574" s="79"/>
      <c r="AI574" s="74"/>
      <c r="AJ574" s="75"/>
      <c r="AK574" s="75"/>
      <c r="AL574" s="80">
        <f t="shared" si="60"/>
        <v>0</v>
      </c>
      <c r="AM574" s="74"/>
      <c r="AN574" s="74"/>
      <c r="AO574" s="81" t="str">
        <f t="shared" si="61"/>
        <v/>
      </c>
      <c r="AP574" s="82"/>
      <c r="AQ574" s="75"/>
      <c r="AR574" s="75"/>
      <c r="AS574" s="80">
        <f t="shared" si="62"/>
        <v>0</v>
      </c>
      <c r="AT574" s="74"/>
      <c r="AU574" s="75"/>
      <c r="AV574" s="75"/>
      <c r="AW574" s="75"/>
      <c r="AX574" s="80">
        <f t="shared" si="63"/>
        <v>0</v>
      </c>
      <c r="AY574" s="81" t="str">
        <f t="shared" si="64"/>
        <v/>
      </c>
      <c r="AZ574" s="83" t="str">
        <f t="shared" si="65"/>
        <v/>
      </c>
      <c r="BA574" s="80" t="str">
        <f t="shared" si="66"/>
        <v/>
      </c>
      <c r="BB574" s="84">
        <f t="shared" si="67"/>
        <v>0</v>
      </c>
      <c r="BC574" s="85" t="str">
        <f t="shared" si="68"/>
        <v/>
      </c>
      <c r="BD574" s="86" t="str">
        <f t="shared" si="69"/>
        <v/>
      </c>
      <c r="BE574" s="84">
        <f t="shared" si="70"/>
        <v>0</v>
      </c>
      <c r="BF574" s="87" t="str">
        <f t="shared" si="71"/>
        <v/>
      </c>
      <c r="BG574" s="88" t="str">
        <f t="shared" si="72"/>
        <v/>
      </c>
      <c r="BH574" s="89" t="str">
        <f t="shared" si="73"/>
        <v/>
      </c>
      <c r="BI574" s="90" t="str">
        <f t="shared" si="74"/>
        <v/>
      </c>
      <c r="BJ574" s="90" t="str">
        <f t="shared" si="75"/>
        <v/>
      </c>
      <c r="BK574" s="91">
        <f t="shared" si="76"/>
        <v>0</v>
      </c>
      <c r="BL574" s="92">
        <f t="shared" si="77"/>
        <v>0</v>
      </c>
      <c r="BM574" s="95"/>
    </row>
    <row r="575" spans="1:65">
      <c r="A575" s="61">
        <f t="shared" si="78"/>
        <v>0</v>
      </c>
      <c r="B575" s="62"/>
      <c r="C575" s="62"/>
      <c r="D575" s="63"/>
      <c r="E575" s="64"/>
      <c r="F575" s="64"/>
      <c r="G575" s="65"/>
      <c r="H575" s="66" t="str">
        <f t="shared" si="55"/>
        <v/>
      </c>
      <c r="I575" s="67" t="str">
        <f t="shared" si="56"/>
        <v/>
      </c>
      <c r="J575" s="68" t="str">
        <f t="shared" si="57"/>
        <v/>
      </c>
      <c r="K575" s="69" t="str">
        <f t="shared" si="58"/>
        <v/>
      </c>
      <c r="L575" s="70" t="str">
        <f t="shared" si="59"/>
        <v/>
      </c>
      <c r="M575" s="71"/>
      <c r="N575" s="71"/>
      <c r="O575" s="71"/>
      <c r="P575" s="71"/>
      <c r="Q575" s="61"/>
      <c r="R575" s="63"/>
      <c r="S575" s="72"/>
      <c r="T575" s="61"/>
      <c r="U575" s="73"/>
      <c r="V575" s="62"/>
      <c r="W575" s="62"/>
      <c r="X575" s="62"/>
      <c r="Y575" s="93"/>
      <c r="Z575" s="94"/>
      <c r="AA575" s="74"/>
      <c r="AB575" s="75"/>
      <c r="AC575" s="75"/>
      <c r="AD575" s="76"/>
      <c r="AE575" s="77"/>
      <c r="AF575" s="75"/>
      <c r="AG575" s="78"/>
      <c r="AH575" s="79"/>
      <c r="AI575" s="74"/>
      <c r="AJ575" s="75"/>
      <c r="AK575" s="75"/>
      <c r="AL575" s="80">
        <f t="shared" si="60"/>
        <v>0</v>
      </c>
      <c r="AM575" s="74"/>
      <c r="AN575" s="74"/>
      <c r="AO575" s="81" t="str">
        <f t="shared" si="61"/>
        <v/>
      </c>
      <c r="AP575" s="82"/>
      <c r="AQ575" s="75"/>
      <c r="AR575" s="75"/>
      <c r="AS575" s="80">
        <f t="shared" si="62"/>
        <v>0</v>
      </c>
      <c r="AT575" s="74"/>
      <c r="AU575" s="75"/>
      <c r="AV575" s="75"/>
      <c r="AW575" s="75"/>
      <c r="AX575" s="80">
        <f t="shared" si="63"/>
        <v>0</v>
      </c>
      <c r="AY575" s="81" t="str">
        <f t="shared" si="64"/>
        <v/>
      </c>
      <c r="AZ575" s="83" t="str">
        <f t="shared" si="65"/>
        <v/>
      </c>
      <c r="BA575" s="80" t="str">
        <f t="shared" si="66"/>
        <v/>
      </c>
      <c r="BB575" s="84">
        <f t="shared" si="67"/>
        <v>0</v>
      </c>
      <c r="BC575" s="85" t="str">
        <f t="shared" si="68"/>
        <v/>
      </c>
      <c r="BD575" s="86" t="str">
        <f t="shared" si="69"/>
        <v/>
      </c>
      <c r="BE575" s="84">
        <f t="shared" si="70"/>
        <v>0</v>
      </c>
      <c r="BF575" s="87" t="str">
        <f t="shared" si="71"/>
        <v/>
      </c>
      <c r="BG575" s="88" t="str">
        <f t="shared" si="72"/>
        <v/>
      </c>
      <c r="BH575" s="89" t="str">
        <f t="shared" si="73"/>
        <v/>
      </c>
      <c r="BI575" s="90" t="str">
        <f t="shared" si="74"/>
        <v/>
      </c>
      <c r="BJ575" s="90" t="str">
        <f t="shared" si="75"/>
        <v/>
      </c>
      <c r="BK575" s="91">
        <f t="shared" si="76"/>
        <v>0</v>
      </c>
      <c r="BL575" s="92">
        <f t="shared" si="77"/>
        <v>0</v>
      </c>
      <c r="BM575" s="95"/>
    </row>
    <row r="576" spans="1:65">
      <c r="A576" s="61">
        <f t="shared" si="78"/>
        <v>0</v>
      </c>
      <c r="B576" s="62"/>
      <c r="C576" s="62"/>
      <c r="D576" s="63"/>
      <c r="E576" s="64"/>
      <c r="F576" s="64"/>
      <c r="G576" s="65"/>
      <c r="H576" s="66" t="str">
        <f t="shared" si="55"/>
        <v/>
      </c>
      <c r="I576" s="67" t="str">
        <f t="shared" si="56"/>
        <v/>
      </c>
      <c r="J576" s="68" t="str">
        <f t="shared" si="57"/>
        <v/>
      </c>
      <c r="K576" s="69" t="str">
        <f t="shared" si="58"/>
        <v/>
      </c>
      <c r="L576" s="70" t="str">
        <f t="shared" si="59"/>
        <v/>
      </c>
      <c r="M576" s="71"/>
      <c r="N576" s="71"/>
      <c r="O576" s="71"/>
      <c r="P576" s="71"/>
      <c r="Q576" s="61"/>
      <c r="R576" s="63"/>
      <c r="S576" s="72"/>
      <c r="T576" s="61"/>
      <c r="U576" s="73"/>
      <c r="V576" s="62"/>
      <c r="W576" s="62"/>
      <c r="X576" s="62"/>
      <c r="Y576" s="93"/>
      <c r="Z576" s="94"/>
      <c r="AA576" s="74"/>
      <c r="AB576" s="75"/>
      <c r="AC576" s="75"/>
      <c r="AD576" s="76"/>
      <c r="AE576" s="77"/>
      <c r="AF576" s="75"/>
      <c r="AG576" s="78"/>
      <c r="AH576" s="79"/>
      <c r="AI576" s="74"/>
      <c r="AJ576" s="75"/>
      <c r="AK576" s="75"/>
      <c r="AL576" s="80">
        <f t="shared" si="60"/>
        <v>0</v>
      </c>
      <c r="AM576" s="74"/>
      <c r="AN576" s="74"/>
      <c r="AO576" s="81" t="str">
        <f t="shared" si="61"/>
        <v/>
      </c>
      <c r="AP576" s="82"/>
      <c r="AQ576" s="75"/>
      <c r="AR576" s="75"/>
      <c r="AS576" s="80">
        <f t="shared" si="62"/>
        <v>0</v>
      </c>
      <c r="AT576" s="74"/>
      <c r="AU576" s="75"/>
      <c r="AV576" s="75"/>
      <c r="AW576" s="75"/>
      <c r="AX576" s="80">
        <f t="shared" si="63"/>
        <v>0</v>
      </c>
      <c r="AY576" s="81" t="str">
        <f t="shared" si="64"/>
        <v/>
      </c>
      <c r="AZ576" s="83" t="str">
        <f t="shared" si="65"/>
        <v/>
      </c>
      <c r="BA576" s="80" t="str">
        <f t="shared" si="66"/>
        <v/>
      </c>
      <c r="BB576" s="84">
        <f t="shared" si="67"/>
        <v>0</v>
      </c>
      <c r="BC576" s="85" t="str">
        <f t="shared" si="68"/>
        <v/>
      </c>
      <c r="BD576" s="86" t="str">
        <f t="shared" si="69"/>
        <v/>
      </c>
      <c r="BE576" s="84">
        <f t="shared" si="70"/>
        <v>0</v>
      </c>
      <c r="BF576" s="87" t="str">
        <f t="shared" si="71"/>
        <v/>
      </c>
      <c r="BG576" s="88" t="str">
        <f t="shared" si="72"/>
        <v/>
      </c>
      <c r="BH576" s="89" t="str">
        <f t="shared" si="73"/>
        <v/>
      </c>
      <c r="BI576" s="90" t="str">
        <f t="shared" si="74"/>
        <v/>
      </c>
      <c r="BJ576" s="90" t="str">
        <f t="shared" si="75"/>
        <v/>
      </c>
      <c r="BK576" s="91">
        <f t="shared" si="76"/>
        <v>0</v>
      </c>
      <c r="BL576" s="92">
        <f t="shared" si="77"/>
        <v>0</v>
      </c>
      <c r="BM576" s="95"/>
    </row>
    <row r="577" spans="1:65">
      <c r="A577" s="61">
        <f t="shared" si="78"/>
        <v>0</v>
      </c>
      <c r="B577" s="62"/>
      <c r="C577" s="62"/>
      <c r="D577" s="63"/>
      <c r="E577" s="64"/>
      <c r="F577" s="64"/>
      <c r="G577" s="65"/>
      <c r="H577" s="66" t="str">
        <f t="shared" si="55"/>
        <v/>
      </c>
      <c r="I577" s="67" t="str">
        <f t="shared" si="56"/>
        <v/>
      </c>
      <c r="J577" s="68" t="str">
        <f t="shared" si="57"/>
        <v/>
      </c>
      <c r="K577" s="69" t="str">
        <f t="shared" si="58"/>
        <v/>
      </c>
      <c r="L577" s="70" t="str">
        <f t="shared" si="59"/>
        <v/>
      </c>
      <c r="M577" s="71"/>
      <c r="N577" s="71"/>
      <c r="O577" s="71"/>
      <c r="P577" s="71"/>
      <c r="Q577" s="61"/>
      <c r="R577" s="63"/>
      <c r="S577" s="72"/>
      <c r="T577" s="61"/>
      <c r="U577" s="73"/>
      <c r="V577" s="62"/>
      <c r="W577" s="62"/>
      <c r="X577" s="62"/>
      <c r="Y577" s="93"/>
      <c r="Z577" s="94"/>
      <c r="AA577" s="74"/>
      <c r="AB577" s="75"/>
      <c r="AC577" s="75"/>
      <c r="AD577" s="76"/>
      <c r="AE577" s="77"/>
      <c r="AF577" s="75"/>
      <c r="AG577" s="78"/>
      <c r="AH577" s="79"/>
      <c r="AI577" s="74"/>
      <c r="AJ577" s="75"/>
      <c r="AK577" s="75"/>
      <c r="AL577" s="80">
        <f t="shared" si="60"/>
        <v>0</v>
      </c>
      <c r="AM577" s="74"/>
      <c r="AN577" s="74"/>
      <c r="AO577" s="81" t="str">
        <f t="shared" si="61"/>
        <v/>
      </c>
      <c r="AP577" s="82"/>
      <c r="AQ577" s="75"/>
      <c r="AR577" s="75"/>
      <c r="AS577" s="80">
        <f t="shared" si="62"/>
        <v>0</v>
      </c>
      <c r="AT577" s="74"/>
      <c r="AU577" s="75"/>
      <c r="AV577" s="75"/>
      <c r="AW577" s="75"/>
      <c r="AX577" s="80">
        <f t="shared" si="63"/>
        <v>0</v>
      </c>
      <c r="AY577" s="81" t="str">
        <f t="shared" si="64"/>
        <v/>
      </c>
      <c r="AZ577" s="83" t="str">
        <f t="shared" si="65"/>
        <v/>
      </c>
      <c r="BA577" s="80" t="str">
        <f t="shared" si="66"/>
        <v/>
      </c>
      <c r="BB577" s="84">
        <f t="shared" si="67"/>
        <v>0</v>
      </c>
      <c r="BC577" s="85" t="str">
        <f t="shared" si="68"/>
        <v/>
      </c>
      <c r="BD577" s="86" t="str">
        <f t="shared" si="69"/>
        <v/>
      </c>
      <c r="BE577" s="84">
        <f t="shared" si="70"/>
        <v>0</v>
      </c>
      <c r="BF577" s="87" t="str">
        <f t="shared" si="71"/>
        <v/>
      </c>
      <c r="BG577" s="88" t="str">
        <f t="shared" si="72"/>
        <v/>
      </c>
      <c r="BH577" s="89" t="str">
        <f t="shared" si="73"/>
        <v/>
      </c>
      <c r="BI577" s="90" t="str">
        <f t="shared" si="74"/>
        <v/>
      </c>
      <c r="BJ577" s="90" t="str">
        <f t="shared" si="75"/>
        <v/>
      </c>
      <c r="BK577" s="91">
        <f t="shared" si="76"/>
        <v>0</v>
      </c>
      <c r="BL577" s="92">
        <f t="shared" si="77"/>
        <v>0</v>
      </c>
      <c r="BM577" s="95"/>
    </row>
    <row r="578" spans="1:65">
      <c r="A578" s="61">
        <f t="shared" si="78"/>
        <v>0</v>
      </c>
      <c r="B578" s="62"/>
      <c r="C578" s="62"/>
      <c r="D578" s="63"/>
      <c r="E578" s="64"/>
      <c r="F578" s="64"/>
      <c r="G578" s="65"/>
      <c r="H578" s="66" t="str">
        <f t="shared" si="55"/>
        <v/>
      </c>
      <c r="I578" s="67" t="str">
        <f t="shared" si="56"/>
        <v/>
      </c>
      <c r="J578" s="68" t="str">
        <f t="shared" si="57"/>
        <v/>
      </c>
      <c r="K578" s="69" t="str">
        <f t="shared" si="58"/>
        <v/>
      </c>
      <c r="L578" s="70" t="str">
        <f t="shared" si="59"/>
        <v/>
      </c>
      <c r="M578" s="71"/>
      <c r="N578" s="71"/>
      <c r="O578" s="71"/>
      <c r="P578" s="71"/>
      <c r="Q578" s="61"/>
      <c r="R578" s="63"/>
      <c r="S578" s="72"/>
      <c r="T578" s="61"/>
      <c r="U578" s="73"/>
      <c r="V578" s="62"/>
      <c r="W578" s="62"/>
      <c r="X578" s="62"/>
      <c r="Y578" s="93"/>
      <c r="Z578" s="94"/>
      <c r="AA578" s="74"/>
      <c r="AB578" s="75"/>
      <c r="AC578" s="75"/>
      <c r="AD578" s="76"/>
      <c r="AE578" s="77"/>
      <c r="AF578" s="75"/>
      <c r="AG578" s="78"/>
      <c r="AH578" s="79"/>
      <c r="AI578" s="74"/>
      <c r="AJ578" s="75"/>
      <c r="AK578" s="75"/>
      <c r="AL578" s="80">
        <f t="shared" si="60"/>
        <v>0</v>
      </c>
      <c r="AM578" s="74"/>
      <c r="AN578" s="74"/>
      <c r="AO578" s="81" t="str">
        <f t="shared" si="61"/>
        <v/>
      </c>
      <c r="AP578" s="82"/>
      <c r="AQ578" s="75"/>
      <c r="AR578" s="75"/>
      <c r="AS578" s="80">
        <f t="shared" si="62"/>
        <v>0</v>
      </c>
      <c r="AT578" s="74"/>
      <c r="AU578" s="75"/>
      <c r="AV578" s="75"/>
      <c r="AW578" s="75"/>
      <c r="AX578" s="80">
        <f t="shared" si="63"/>
        <v>0</v>
      </c>
      <c r="AY578" s="81" t="str">
        <f t="shared" si="64"/>
        <v/>
      </c>
      <c r="AZ578" s="83" t="str">
        <f t="shared" si="65"/>
        <v/>
      </c>
      <c r="BA578" s="80" t="str">
        <f t="shared" si="66"/>
        <v/>
      </c>
      <c r="BB578" s="84">
        <f t="shared" si="67"/>
        <v>0</v>
      </c>
      <c r="BC578" s="85" t="str">
        <f t="shared" si="68"/>
        <v/>
      </c>
      <c r="BD578" s="86" t="str">
        <f t="shared" si="69"/>
        <v/>
      </c>
      <c r="BE578" s="84">
        <f t="shared" si="70"/>
        <v>0</v>
      </c>
      <c r="BF578" s="87" t="str">
        <f t="shared" si="71"/>
        <v/>
      </c>
      <c r="BG578" s="88" t="str">
        <f t="shared" si="72"/>
        <v/>
      </c>
      <c r="BH578" s="89" t="str">
        <f t="shared" si="73"/>
        <v/>
      </c>
      <c r="BI578" s="90" t="str">
        <f t="shared" si="74"/>
        <v/>
      </c>
      <c r="BJ578" s="90" t="str">
        <f t="shared" si="75"/>
        <v/>
      </c>
      <c r="BK578" s="91">
        <f t="shared" si="76"/>
        <v>0</v>
      </c>
      <c r="BL578" s="92">
        <f t="shared" si="77"/>
        <v>0</v>
      </c>
      <c r="BM578" s="95"/>
    </row>
    <row r="579" spans="1:65">
      <c r="A579" s="61">
        <f t="shared" si="78"/>
        <v>0</v>
      </c>
      <c r="B579" s="62"/>
      <c r="C579" s="62"/>
      <c r="D579" s="63"/>
      <c r="E579" s="64"/>
      <c r="F579" s="64"/>
      <c r="G579" s="65"/>
      <c r="H579" s="66" t="str">
        <f t="shared" si="55"/>
        <v/>
      </c>
      <c r="I579" s="67" t="str">
        <f t="shared" si="56"/>
        <v/>
      </c>
      <c r="J579" s="68" t="str">
        <f t="shared" si="57"/>
        <v/>
      </c>
      <c r="K579" s="69" t="str">
        <f t="shared" si="58"/>
        <v/>
      </c>
      <c r="L579" s="70" t="str">
        <f t="shared" si="59"/>
        <v/>
      </c>
      <c r="M579" s="71"/>
      <c r="N579" s="71"/>
      <c r="O579" s="71"/>
      <c r="P579" s="71"/>
      <c r="Q579" s="61"/>
      <c r="R579" s="63"/>
      <c r="S579" s="72"/>
      <c r="T579" s="61"/>
      <c r="U579" s="73"/>
      <c r="V579" s="62"/>
      <c r="W579" s="62"/>
      <c r="X579" s="62"/>
      <c r="Y579" s="93"/>
      <c r="Z579" s="94"/>
      <c r="AA579" s="74"/>
      <c r="AB579" s="75"/>
      <c r="AC579" s="75"/>
      <c r="AD579" s="76"/>
      <c r="AE579" s="77"/>
      <c r="AF579" s="75"/>
      <c r="AG579" s="78"/>
      <c r="AH579" s="79"/>
      <c r="AI579" s="74"/>
      <c r="AJ579" s="75"/>
      <c r="AK579" s="75"/>
      <c r="AL579" s="80">
        <f t="shared" si="60"/>
        <v>0</v>
      </c>
      <c r="AM579" s="74"/>
      <c r="AN579" s="74"/>
      <c r="AO579" s="81" t="str">
        <f t="shared" si="61"/>
        <v/>
      </c>
      <c r="AP579" s="82"/>
      <c r="AQ579" s="75"/>
      <c r="AR579" s="75"/>
      <c r="AS579" s="80">
        <f t="shared" si="62"/>
        <v>0</v>
      </c>
      <c r="AT579" s="74"/>
      <c r="AU579" s="75"/>
      <c r="AV579" s="75"/>
      <c r="AW579" s="75"/>
      <c r="AX579" s="80">
        <f t="shared" si="63"/>
        <v>0</v>
      </c>
      <c r="AY579" s="81" t="str">
        <f t="shared" si="64"/>
        <v/>
      </c>
      <c r="AZ579" s="83" t="str">
        <f t="shared" si="65"/>
        <v/>
      </c>
      <c r="BA579" s="80" t="str">
        <f t="shared" si="66"/>
        <v/>
      </c>
      <c r="BB579" s="84">
        <f t="shared" si="67"/>
        <v>0</v>
      </c>
      <c r="BC579" s="85" t="str">
        <f t="shared" si="68"/>
        <v/>
      </c>
      <c r="BD579" s="86" t="str">
        <f t="shared" si="69"/>
        <v/>
      </c>
      <c r="BE579" s="84">
        <f t="shared" si="70"/>
        <v>0</v>
      </c>
      <c r="BF579" s="87" t="str">
        <f t="shared" si="71"/>
        <v/>
      </c>
      <c r="BG579" s="88" t="str">
        <f t="shared" si="72"/>
        <v/>
      </c>
      <c r="BH579" s="89" t="str">
        <f t="shared" si="73"/>
        <v/>
      </c>
      <c r="BI579" s="90" t="str">
        <f t="shared" si="74"/>
        <v/>
      </c>
      <c r="BJ579" s="90" t="str">
        <f t="shared" si="75"/>
        <v/>
      </c>
      <c r="BK579" s="91">
        <f t="shared" si="76"/>
        <v>0</v>
      </c>
      <c r="BL579" s="92">
        <f t="shared" si="77"/>
        <v>0</v>
      </c>
      <c r="BM579" s="95"/>
    </row>
    <row r="580" spans="1:65">
      <c r="A580" s="61">
        <f t="shared" si="78"/>
        <v>0</v>
      </c>
      <c r="B580" s="62"/>
      <c r="C580" s="62"/>
      <c r="D580" s="63"/>
      <c r="E580" s="64"/>
      <c r="F580" s="64"/>
      <c r="G580" s="65"/>
      <c r="H580" s="66" t="str">
        <f t="shared" si="55"/>
        <v/>
      </c>
      <c r="I580" s="67" t="str">
        <f t="shared" si="56"/>
        <v/>
      </c>
      <c r="J580" s="68" t="str">
        <f t="shared" si="57"/>
        <v/>
      </c>
      <c r="K580" s="69" t="str">
        <f t="shared" si="58"/>
        <v/>
      </c>
      <c r="L580" s="70" t="str">
        <f t="shared" si="59"/>
        <v/>
      </c>
      <c r="M580" s="71"/>
      <c r="N580" s="71"/>
      <c r="O580" s="71"/>
      <c r="P580" s="71"/>
      <c r="Q580" s="61"/>
      <c r="R580" s="63"/>
      <c r="S580" s="72"/>
      <c r="T580" s="61"/>
      <c r="U580" s="73"/>
      <c r="V580" s="62"/>
      <c r="W580" s="62"/>
      <c r="X580" s="62"/>
      <c r="Y580" s="93"/>
      <c r="Z580" s="94"/>
      <c r="AA580" s="74"/>
      <c r="AB580" s="75"/>
      <c r="AC580" s="75"/>
      <c r="AD580" s="76"/>
      <c r="AE580" s="77"/>
      <c r="AF580" s="75"/>
      <c r="AG580" s="78"/>
      <c r="AH580" s="79"/>
      <c r="AI580" s="74"/>
      <c r="AJ580" s="75"/>
      <c r="AK580" s="75"/>
      <c r="AL580" s="80">
        <f t="shared" si="60"/>
        <v>0</v>
      </c>
      <c r="AM580" s="74"/>
      <c r="AN580" s="74"/>
      <c r="AO580" s="81" t="str">
        <f t="shared" si="61"/>
        <v/>
      </c>
      <c r="AP580" s="82"/>
      <c r="AQ580" s="75"/>
      <c r="AR580" s="75"/>
      <c r="AS580" s="80">
        <f t="shared" si="62"/>
        <v>0</v>
      </c>
      <c r="AT580" s="74"/>
      <c r="AU580" s="75"/>
      <c r="AV580" s="75"/>
      <c r="AW580" s="75"/>
      <c r="AX580" s="80">
        <f t="shared" si="63"/>
        <v>0</v>
      </c>
      <c r="AY580" s="81" t="str">
        <f t="shared" si="64"/>
        <v/>
      </c>
      <c r="AZ580" s="83" t="str">
        <f t="shared" si="65"/>
        <v/>
      </c>
      <c r="BA580" s="80" t="str">
        <f t="shared" si="66"/>
        <v/>
      </c>
      <c r="BB580" s="84">
        <f t="shared" si="67"/>
        <v>0</v>
      </c>
      <c r="BC580" s="85" t="str">
        <f t="shared" si="68"/>
        <v/>
      </c>
      <c r="BD580" s="86" t="str">
        <f t="shared" si="69"/>
        <v/>
      </c>
      <c r="BE580" s="84">
        <f t="shared" si="70"/>
        <v>0</v>
      </c>
      <c r="BF580" s="87" t="str">
        <f t="shared" si="71"/>
        <v/>
      </c>
      <c r="BG580" s="88" t="str">
        <f t="shared" si="72"/>
        <v/>
      </c>
      <c r="BH580" s="89" t="str">
        <f t="shared" si="73"/>
        <v/>
      </c>
      <c r="BI580" s="90" t="str">
        <f t="shared" si="74"/>
        <v/>
      </c>
      <c r="BJ580" s="90" t="str">
        <f t="shared" si="75"/>
        <v/>
      </c>
      <c r="BK580" s="91">
        <f t="shared" si="76"/>
        <v>0</v>
      </c>
      <c r="BL580" s="92">
        <f t="shared" si="77"/>
        <v>0</v>
      </c>
      <c r="BM580" s="95"/>
    </row>
    <row r="581" spans="1:65">
      <c r="A581" s="61">
        <f t="shared" si="78"/>
        <v>0</v>
      </c>
      <c r="B581" s="62"/>
      <c r="C581" s="62"/>
      <c r="D581" s="63"/>
      <c r="E581" s="64"/>
      <c r="F581" s="64"/>
      <c r="G581" s="65"/>
      <c r="H581" s="66" t="str">
        <f t="shared" si="55"/>
        <v/>
      </c>
      <c r="I581" s="67" t="str">
        <f t="shared" si="56"/>
        <v/>
      </c>
      <c r="J581" s="68" t="str">
        <f t="shared" si="57"/>
        <v/>
      </c>
      <c r="K581" s="69" t="str">
        <f t="shared" si="58"/>
        <v/>
      </c>
      <c r="L581" s="70" t="str">
        <f t="shared" si="59"/>
        <v/>
      </c>
      <c r="M581" s="71"/>
      <c r="N581" s="71"/>
      <c r="O581" s="71"/>
      <c r="P581" s="71"/>
      <c r="Q581" s="61"/>
      <c r="R581" s="63"/>
      <c r="S581" s="72"/>
      <c r="T581" s="61"/>
      <c r="U581" s="73"/>
      <c r="V581" s="62"/>
      <c r="W581" s="62"/>
      <c r="X581" s="62"/>
      <c r="Y581" s="93"/>
      <c r="Z581" s="94"/>
      <c r="AA581" s="74"/>
      <c r="AB581" s="75"/>
      <c r="AC581" s="75"/>
      <c r="AD581" s="76"/>
      <c r="AE581" s="77"/>
      <c r="AF581" s="75"/>
      <c r="AG581" s="78"/>
      <c r="AH581" s="79"/>
      <c r="AI581" s="74"/>
      <c r="AJ581" s="75"/>
      <c r="AK581" s="75"/>
      <c r="AL581" s="80">
        <f t="shared" si="60"/>
        <v>0</v>
      </c>
      <c r="AM581" s="74"/>
      <c r="AN581" s="74"/>
      <c r="AO581" s="81" t="str">
        <f t="shared" si="61"/>
        <v/>
      </c>
      <c r="AP581" s="82"/>
      <c r="AQ581" s="75"/>
      <c r="AR581" s="75"/>
      <c r="AS581" s="80">
        <f t="shared" si="62"/>
        <v>0</v>
      </c>
      <c r="AT581" s="74"/>
      <c r="AU581" s="75"/>
      <c r="AV581" s="75"/>
      <c r="AW581" s="75"/>
      <c r="AX581" s="80">
        <f t="shared" si="63"/>
        <v>0</v>
      </c>
      <c r="AY581" s="81" t="str">
        <f t="shared" si="64"/>
        <v/>
      </c>
      <c r="AZ581" s="83" t="str">
        <f t="shared" si="65"/>
        <v/>
      </c>
      <c r="BA581" s="80" t="str">
        <f t="shared" si="66"/>
        <v/>
      </c>
      <c r="BB581" s="84">
        <f t="shared" si="67"/>
        <v>0</v>
      </c>
      <c r="BC581" s="85" t="str">
        <f t="shared" si="68"/>
        <v/>
      </c>
      <c r="BD581" s="86" t="str">
        <f t="shared" si="69"/>
        <v/>
      </c>
      <c r="BE581" s="84">
        <f t="shared" si="70"/>
        <v>0</v>
      </c>
      <c r="BF581" s="87" t="str">
        <f t="shared" si="71"/>
        <v/>
      </c>
      <c r="BG581" s="88" t="str">
        <f t="shared" si="72"/>
        <v/>
      </c>
      <c r="BH581" s="89" t="str">
        <f t="shared" si="73"/>
        <v/>
      </c>
      <c r="BI581" s="90" t="str">
        <f t="shared" si="74"/>
        <v/>
      </c>
      <c r="BJ581" s="90" t="str">
        <f t="shared" si="75"/>
        <v/>
      </c>
      <c r="BK581" s="91">
        <f t="shared" si="76"/>
        <v>0</v>
      </c>
      <c r="BL581" s="92">
        <f t="shared" si="77"/>
        <v>0</v>
      </c>
      <c r="BM581" s="95"/>
    </row>
    <row r="582" spans="1:65">
      <c r="A582" s="61">
        <f t="shared" si="78"/>
        <v>0</v>
      </c>
      <c r="B582" s="62"/>
      <c r="C582" s="62"/>
      <c r="D582" s="63"/>
      <c r="E582" s="64"/>
      <c r="F582" s="64"/>
      <c r="G582" s="65"/>
      <c r="H582" s="66" t="str">
        <f t="shared" si="55"/>
        <v/>
      </c>
      <c r="I582" s="67" t="str">
        <f t="shared" si="56"/>
        <v/>
      </c>
      <c r="J582" s="68" t="str">
        <f t="shared" si="57"/>
        <v/>
      </c>
      <c r="K582" s="69" t="str">
        <f t="shared" si="58"/>
        <v/>
      </c>
      <c r="L582" s="70" t="str">
        <f t="shared" si="59"/>
        <v/>
      </c>
      <c r="M582" s="71"/>
      <c r="N582" s="71"/>
      <c r="O582" s="71"/>
      <c r="P582" s="71"/>
      <c r="Q582" s="61"/>
      <c r="R582" s="63"/>
      <c r="S582" s="72"/>
      <c r="T582" s="61"/>
      <c r="U582" s="73"/>
      <c r="V582" s="62"/>
      <c r="W582" s="62"/>
      <c r="X582" s="62"/>
      <c r="Y582" s="93"/>
      <c r="Z582" s="94"/>
      <c r="AA582" s="74"/>
      <c r="AB582" s="75"/>
      <c r="AC582" s="75"/>
      <c r="AD582" s="76"/>
      <c r="AE582" s="77"/>
      <c r="AF582" s="75"/>
      <c r="AG582" s="78"/>
      <c r="AH582" s="79"/>
      <c r="AI582" s="74"/>
      <c r="AJ582" s="75"/>
      <c r="AK582" s="75"/>
      <c r="AL582" s="80">
        <f t="shared" si="60"/>
        <v>0</v>
      </c>
      <c r="AM582" s="74"/>
      <c r="AN582" s="74"/>
      <c r="AO582" s="81" t="str">
        <f t="shared" si="61"/>
        <v/>
      </c>
      <c r="AP582" s="82"/>
      <c r="AQ582" s="75"/>
      <c r="AR582" s="75"/>
      <c r="AS582" s="80">
        <f t="shared" si="62"/>
        <v>0</v>
      </c>
      <c r="AT582" s="74"/>
      <c r="AU582" s="75"/>
      <c r="AV582" s="75"/>
      <c r="AW582" s="75"/>
      <c r="AX582" s="80">
        <f t="shared" si="63"/>
        <v>0</v>
      </c>
      <c r="AY582" s="81" t="str">
        <f t="shared" si="64"/>
        <v/>
      </c>
      <c r="AZ582" s="83" t="str">
        <f t="shared" si="65"/>
        <v/>
      </c>
      <c r="BA582" s="80" t="str">
        <f t="shared" si="66"/>
        <v/>
      </c>
      <c r="BB582" s="84">
        <f t="shared" si="67"/>
        <v>0</v>
      </c>
      <c r="BC582" s="85" t="str">
        <f t="shared" si="68"/>
        <v/>
      </c>
      <c r="BD582" s="86" t="str">
        <f t="shared" si="69"/>
        <v/>
      </c>
      <c r="BE582" s="84">
        <f t="shared" si="70"/>
        <v>0</v>
      </c>
      <c r="BF582" s="87" t="str">
        <f t="shared" si="71"/>
        <v/>
      </c>
      <c r="BG582" s="88" t="str">
        <f t="shared" si="72"/>
        <v/>
      </c>
      <c r="BH582" s="89" t="str">
        <f t="shared" si="73"/>
        <v/>
      </c>
      <c r="BI582" s="90" t="str">
        <f t="shared" si="74"/>
        <v/>
      </c>
      <c r="BJ582" s="90" t="str">
        <f t="shared" si="75"/>
        <v/>
      </c>
      <c r="BK582" s="91">
        <f t="shared" si="76"/>
        <v>0</v>
      </c>
      <c r="BL582" s="92">
        <f t="shared" si="77"/>
        <v>0</v>
      </c>
      <c r="BM582" s="95"/>
    </row>
    <row r="583" spans="1:65">
      <c r="A583" s="61">
        <f t="shared" si="78"/>
        <v>0</v>
      </c>
      <c r="B583" s="62"/>
      <c r="C583" s="62"/>
      <c r="D583" s="63"/>
      <c r="E583" s="64"/>
      <c r="F583" s="64"/>
      <c r="G583" s="65"/>
      <c r="H583" s="66" t="str">
        <f t="shared" si="55"/>
        <v/>
      </c>
      <c r="I583" s="67" t="str">
        <f t="shared" si="56"/>
        <v/>
      </c>
      <c r="J583" s="68" t="str">
        <f t="shared" si="57"/>
        <v/>
      </c>
      <c r="K583" s="69" t="str">
        <f t="shared" si="58"/>
        <v/>
      </c>
      <c r="L583" s="70" t="str">
        <f t="shared" si="59"/>
        <v/>
      </c>
      <c r="M583" s="71"/>
      <c r="N583" s="71"/>
      <c r="O583" s="71"/>
      <c r="P583" s="71"/>
      <c r="Q583" s="61"/>
      <c r="R583" s="63"/>
      <c r="S583" s="72"/>
      <c r="T583" s="61"/>
      <c r="U583" s="73"/>
      <c r="V583" s="62"/>
      <c r="W583" s="62"/>
      <c r="X583" s="62"/>
      <c r="Y583" s="93"/>
      <c r="Z583" s="94"/>
      <c r="AA583" s="74"/>
      <c r="AB583" s="75"/>
      <c r="AC583" s="75"/>
      <c r="AD583" s="76"/>
      <c r="AE583" s="77"/>
      <c r="AF583" s="75"/>
      <c r="AG583" s="78"/>
      <c r="AH583" s="79"/>
      <c r="AI583" s="74"/>
      <c r="AJ583" s="75"/>
      <c r="AK583" s="75"/>
      <c r="AL583" s="80">
        <f t="shared" si="60"/>
        <v>0</v>
      </c>
      <c r="AM583" s="74"/>
      <c r="AN583" s="74"/>
      <c r="AO583" s="81" t="str">
        <f t="shared" si="61"/>
        <v/>
      </c>
      <c r="AP583" s="82"/>
      <c r="AQ583" s="75"/>
      <c r="AR583" s="75"/>
      <c r="AS583" s="80">
        <f t="shared" si="62"/>
        <v>0</v>
      </c>
      <c r="AT583" s="74"/>
      <c r="AU583" s="75"/>
      <c r="AV583" s="75"/>
      <c r="AW583" s="75"/>
      <c r="AX583" s="80">
        <f t="shared" si="63"/>
        <v>0</v>
      </c>
      <c r="AY583" s="81" t="str">
        <f t="shared" si="64"/>
        <v/>
      </c>
      <c r="AZ583" s="83" t="str">
        <f t="shared" si="65"/>
        <v/>
      </c>
      <c r="BA583" s="80" t="str">
        <f t="shared" si="66"/>
        <v/>
      </c>
      <c r="BB583" s="84">
        <f t="shared" si="67"/>
        <v>0</v>
      </c>
      <c r="BC583" s="85" t="str">
        <f t="shared" si="68"/>
        <v/>
      </c>
      <c r="BD583" s="86" t="str">
        <f t="shared" si="69"/>
        <v/>
      </c>
      <c r="BE583" s="84">
        <f t="shared" si="70"/>
        <v>0</v>
      </c>
      <c r="BF583" s="87" t="str">
        <f t="shared" si="71"/>
        <v/>
      </c>
      <c r="BG583" s="88" t="str">
        <f t="shared" si="72"/>
        <v/>
      </c>
      <c r="BH583" s="89" t="str">
        <f t="shared" si="73"/>
        <v/>
      </c>
      <c r="BI583" s="90" t="str">
        <f t="shared" si="74"/>
        <v/>
      </c>
      <c r="BJ583" s="90" t="str">
        <f t="shared" si="75"/>
        <v/>
      </c>
      <c r="BK583" s="91">
        <f t="shared" si="76"/>
        <v>0</v>
      </c>
      <c r="BL583" s="92">
        <f t="shared" si="77"/>
        <v>0</v>
      </c>
      <c r="BM583" s="95"/>
    </row>
    <row r="584" spans="1:65">
      <c r="A584" s="61">
        <f t="shared" si="78"/>
        <v>0</v>
      </c>
      <c r="B584" s="62"/>
      <c r="C584" s="62"/>
      <c r="D584" s="63"/>
      <c r="E584" s="64"/>
      <c r="F584" s="64"/>
      <c r="G584" s="65"/>
      <c r="H584" s="66" t="str">
        <f t="shared" ref="H584:H647" si="79">IF(F584="","",IF(F584="","",IF((F584-E584+1)&gt;360,"Most Recently 12 Months","Year To Date")))</f>
        <v/>
      </c>
      <c r="I584" s="67" t="str">
        <f t="shared" ref="I584:I647" si="80">IF(F584="","",ROUND((F584-E584+1)/(((365*3+366)/4)/12),0))</f>
        <v/>
      </c>
      <c r="J584" s="68" t="str">
        <f t="shared" ref="J584:J647" si="81">IF(F584="","",YEAR(F584))</f>
        <v/>
      </c>
      <c r="K584" s="69" t="str">
        <f t="shared" ref="K584:K647" si="82">IF(F584="","",CEILING(L584/3,1))</f>
        <v/>
      </c>
      <c r="L584" s="70" t="str">
        <f t="shared" ref="L584:L647" si="83">IF(F584="","",MONTH(F584))</f>
        <v/>
      </c>
      <c r="M584" s="71"/>
      <c r="N584" s="71"/>
      <c r="O584" s="71"/>
      <c r="P584" s="71"/>
      <c r="Q584" s="61"/>
      <c r="R584" s="63"/>
      <c r="S584" s="72"/>
      <c r="T584" s="61"/>
      <c r="U584" s="73"/>
      <c r="V584" s="62"/>
      <c r="W584" s="62"/>
      <c r="X584" s="62"/>
      <c r="Y584" s="93"/>
      <c r="Z584" s="94"/>
      <c r="AA584" s="74"/>
      <c r="AB584" s="75"/>
      <c r="AC584" s="75"/>
      <c r="AD584" s="76"/>
      <c r="AE584" s="77"/>
      <c r="AF584" s="75"/>
      <c r="AG584" s="78"/>
      <c r="AH584" s="79"/>
      <c r="AI584" s="74"/>
      <c r="AJ584" s="75"/>
      <c r="AK584" s="75"/>
      <c r="AL584" s="80">
        <f t="shared" ref="AL584:AL647" si="84">SUM(AI584:AK584)</f>
        <v>0</v>
      </c>
      <c r="AM584" s="74"/>
      <c r="AN584" s="74"/>
      <c r="AO584" s="81" t="str">
        <f t="shared" ref="AO584:AO647" si="85">IFERROR(AN584/AM584,"")</f>
        <v/>
      </c>
      <c r="AP584" s="82"/>
      <c r="AQ584" s="75"/>
      <c r="AR584" s="75"/>
      <c r="AS584" s="80">
        <f t="shared" ref="AS584:AS647" si="86">SUM(AQ584:AR584)</f>
        <v>0</v>
      </c>
      <c r="AT584" s="74"/>
      <c r="AU584" s="75"/>
      <c r="AV584" s="75"/>
      <c r="AW584" s="75"/>
      <c r="AX584" s="80">
        <f t="shared" ref="AX584:AX647" si="87">SUM(AT584:AW584)</f>
        <v>0</v>
      </c>
      <c r="AY584" s="81" t="str">
        <f t="shared" ref="AY584:AY647" si="88">IFERROR(AP584/AF584,"")</f>
        <v/>
      </c>
      <c r="AZ584" s="83" t="str">
        <f t="shared" ref="AZ584:AZ647" si="89">IFERROR(AS584/AP584,"")</f>
        <v/>
      </c>
      <c r="BA584" s="80" t="str">
        <f t="shared" ref="BA584:BA647" si="90">IFERROR(AY584*AZ584,"")</f>
        <v/>
      </c>
      <c r="BB584" s="84">
        <f t="shared" ref="BB584:BB647" si="91">AG584-SUM(AL584,AS584:AU584,AW584)</f>
        <v>0</v>
      </c>
      <c r="BC584" s="85" t="str">
        <f t="shared" ref="BC584:BC647" si="92">IFERROR(BB584/AV584,"")</f>
        <v/>
      </c>
      <c r="BD584" s="86" t="str">
        <f t="shared" ref="BD584:BD647" si="93">IFERROR(BB584/AG584,"")</f>
        <v/>
      </c>
      <c r="BE584" s="84">
        <f t="shared" ref="BE584:BE647" si="94">AG584-SUM(AL584,AS584:AU584)</f>
        <v>0</v>
      </c>
      <c r="BF584" s="87" t="str">
        <f t="shared" ref="BF584:BF647" si="95">IFERROR(BE584/SUM(AV584:AW584),"")</f>
        <v/>
      </c>
      <c r="BG584" s="88" t="str">
        <f t="shared" ref="BG584:BG647" si="96">IFERROR(BE584/AG584,"")</f>
        <v/>
      </c>
      <c r="BH584" s="89" t="str">
        <f t="shared" ref="BH584:BH647" si="97">IFERROR(AS584/AG584,"")</f>
        <v/>
      </c>
      <c r="BI584" s="90" t="str">
        <f t="shared" ref="BI584:BI647" si="98">IFERROR(AL584/AG584,"")</f>
        <v/>
      </c>
      <c r="BJ584" s="90" t="str">
        <f t="shared" ref="BJ584:BJ647" si="99">IFERROR(AX584/AG584,"")</f>
        <v/>
      </c>
      <c r="BK584" s="91">
        <f t="shared" ref="BK584:BK647" si="100">SUM(BH584:BJ584)</f>
        <v>0</v>
      </c>
      <c r="BL584" s="92">
        <f t="shared" ref="BL584:BL647" si="101">AG584-SUM(AL584,AS584,AX584)</f>
        <v>0</v>
      </c>
      <c r="BM584" s="95"/>
    </row>
    <row r="585" spans="1:65">
      <c r="A585" s="61">
        <f t="shared" si="78"/>
        <v>0</v>
      </c>
      <c r="B585" s="62"/>
      <c r="C585" s="62"/>
      <c r="D585" s="63"/>
      <c r="E585" s="64"/>
      <c r="F585" s="64"/>
      <c r="G585" s="65"/>
      <c r="H585" s="66" t="str">
        <f t="shared" si="79"/>
        <v/>
      </c>
      <c r="I585" s="67" t="str">
        <f t="shared" si="80"/>
        <v/>
      </c>
      <c r="J585" s="68" t="str">
        <f t="shared" si="81"/>
        <v/>
      </c>
      <c r="K585" s="69" t="str">
        <f t="shared" si="82"/>
        <v/>
      </c>
      <c r="L585" s="70" t="str">
        <f t="shared" si="83"/>
        <v/>
      </c>
      <c r="M585" s="71"/>
      <c r="N585" s="71"/>
      <c r="O585" s="71"/>
      <c r="P585" s="71"/>
      <c r="Q585" s="61"/>
      <c r="R585" s="63"/>
      <c r="S585" s="72"/>
      <c r="T585" s="61"/>
      <c r="U585" s="73"/>
      <c r="V585" s="62"/>
      <c r="W585" s="62"/>
      <c r="X585" s="62"/>
      <c r="Y585" s="93"/>
      <c r="Z585" s="94"/>
      <c r="AA585" s="74"/>
      <c r="AB585" s="75"/>
      <c r="AC585" s="75"/>
      <c r="AD585" s="76"/>
      <c r="AE585" s="77"/>
      <c r="AF585" s="75"/>
      <c r="AG585" s="78"/>
      <c r="AH585" s="79"/>
      <c r="AI585" s="74"/>
      <c r="AJ585" s="75"/>
      <c r="AK585" s="75"/>
      <c r="AL585" s="80">
        <f t="shared" si="84"/>
        <v>0</v>
      </c>
      <c r="AM585" s="74"/>
      <c r="AN585" s="74"/>
      <c r="AO585" s="81" t="str">
        <f t="shared" si="85"/>
        <v/>
      </c>
      <c r="AP585" s="82"/>
      <c r="AQ585" s="75"/>
      <c r="AR585" s="75"/>
      <c r="AS585" s="80">
        <f t="shared" si="86"/>
        <v>0</v>
      </c>
      <c r="AT585" s="74"/>
      <c r="AU585" s="75"/>
      <c r="AV585" s="75"/>
      <c r="AW585" s="75"/>
      <c r="AX585" s="80">
        <f t="shared" si="87"/>
        <v>0</v>
      </c>
      <c r="AY585" s="81" t="str">
        <f t="shared" si="88"/>
        <v/>
      </c>
      <c r="AZ585" s="83" t="str">
        <f t="shared" si="89"/>
        <v/>
      </c>
      <c r="BA585" s="80" t="str">
        <f t="shared" si="90"/>
        <v/>
      </c>
      <c r="BB585" s="84">
        <f t="shared" si="91"/>
        <v>0</v>
      </c>
      <c r="BC585" s="85" t="str">
        <f t="shared" si="92"/>
        <v/>
      </c>
      <c r="BD585" s="86" t="str">
        <f t="shared" si="93"/>
        <v/>
      </c>
      <c r="BE585" s="84">
        <f t="shared" si="94"/>
        <v>0</v>
      </c>
      <c r="BF585" s="87" t="str">
        <f t="shared" si="95"/>
        <v/>
      </c>
      <c r="BG585" s="88" t="str">
        <f t="shared" si="96"/>
        <v/>
      </c>
      <c r="BH585" s="89" t="str">
        <f t="shared" si="97"/>
        <v/>
      </c>
      <c r="BI585" s="90" t="str">
        <f t="shared" si="98"/>
        <v/>
      </c>
      <c r="BJ585" s="90" t="str">
        <f t="shared" si="99"/>
        <v/>
      </c>
      <c r="BK585" s="91">
        <f t="shared" si="100"/>
        <v>0</v>
      </c>
      <c r="BL585" s="92">
        <f t="shared" si="101"/>
        <v>0</v>
      </c>
      <c r="BM585" s="95"/>
    </row>
    <row r="586" spans="1:65">
      <c r="A586" s="61">
        <f t="shared" si="78"/>
        <v>0</v>
      </c>
      <c r="B586" s="62"/>
      <c r="C586" s="62"/>
      <c r="D586" s="63"/>
      <c r="E586" s="64"/>
      <c r="F586" s="64"/>
      <c r="G586" s="65"/>
      <c r="H586" s="66" t="str">
        <f t="shared" si="79"/>
        <v/>
      </c>
      <c r="I586" s="67" t="str">
        <f t="shared" si="80"/>
        <v/>
      </c>
      <c r="J586" s="68" t="str">
        <f t="shared" si="81"/>
        <v/>
      </c>
      <c r="K586" s="69" t="str">
        <f t="shared" si="82"/>
        <v/>
      </c>
      <c r="L586" s="70" t="str">
        <f t="shared" si="83"/>
        <v/>
      </c>
      <c r="M586" s="71"/>
      <c r="N586" s="71"/>
      <c r="O586" s="71"/>
      <c r="P586" s="71"/>
      <c r="Q586" s="61"/>
      <c r="R586" s="63"/>
      <c r="S586" s="72"/>
      <c r="T586" s="61"/>
      <c r="U586" s="73"/>
      <c r="V586" s="62"/>
      <c r="W586" s="62"/>
      <c r="X586" s="62"/>
      <c r="Y586" s="93"/>
      <c r="Z586" s="94"/>
      <c r="AA586" s="74"/>
      <c r="AB586" s="75"/>
      <c r="AC586" s="75"/>
      <c r="AD586" s="76"/>
      <c r="AE586" s="77"/>
      <c r="AF586" s="75"/>
      <c r="AG586" s="78"/>
      <c r="AH586" s="79"/>
      <c r="AI586" s="74"/>
      <c r="AJ586" s="75"/>
      <c r="AK586" s="75"/>
      <c r="AL586" s="80">
        <f t="shared" si="84"/>
        <v>0</v>
      </c>
      <c r="AM586" s="74"/>
      <c r="AN586" s="74"/>
      <c r="AO586" s="81" t="str">
        <f t="shared" si="85"/>
        <v/>
      </c>
      <c r="AP586" s="82"/>
      <c r="AQ586" s="75"/>
      <c r="AR586" s="75"/>
      <c r="AS586" s="80">
        <f t="shared" si="86"/>
        <v>0</v>
      </c>
      <c r="AT586" s="74"/>
      <c r="AU586" s="75"/>
      <c r="AV586" s="75"/>
      <c r="AW586" s="75"/>
      <c r="AX586" s="80">
        <f t="shared" si="87"/>
        <v>0</v>
      </c>
      <c r="AY586" s="81" t="str">
        <f t="shared" si="88"/>
        <v/>
      </c>
      <c r="AZ586" s="83" t="str">
        <f t="shared" si="89"/>
        <v/>
      </c>
      <c r="BA586" s="80" t="str">
        <f t="shared" si="90"/>
        <v/>
      </c>
      <c r="BB586" s="84">
        <f t="shared" si="91"/>
        <v>0</v>
      </c>
      <c r="BC586" s="85" t="str">
        <f t="shared" si="92"/>
        <v/>
      </c>
      <c r="BD586" s="86" t="str">
        <f t="shared" si="93"/>
        <v/>
      </c>
      <c r="BE586" s="84">
        <f t="shared" si="94"/>
        <v>0</v>
      </c>
      <c r="BF586" s="87" t="str">
        <f t="shared" si="95"/>
        <v/>
      </c>
      <c r="BG586" s="88" t="str">
        <f t="shared" si="96"/>
        <v/>
      </c>
      <c r="BH586" s="89" t="str">
        <f t="shared" si="97"/>
        <v/>
      </c>
      <c r="BI586" s="90" t="str">
        <f t="shared" si="98"/>
        <v/>
      </c>
      <c r="BJ586" s="90" t="str">
        <f t="shared" si="99"/>
        <v/>
      </c>
      <c r="BK586" s="91">
        <f t="shared" si="100"/>
        <v>0</v>
      </c>
      <c r="BL586" s="92">
        <f t="shared" si="101"/>
        <v>0</v>
      </c>
      <c r="BM586" s="95"/>
    </row>
    <row r="587" spans="1:65">
      <c r="A587" s="61">
        <f t="shared" si="78"/>
        <v>0</v>
      </c>
      <c r="B587" s="62"/>
      <c r="C587" s="62"/>
      <c r="D587" s="63"/>
      <c r="E587" s="64"/>
      <c r="F587" s="64"/>
      <c r="G587" s="65"/>
      <c r="H587" s="66" t="str">
        <f t="shared" si="79"/>
        <v/>
      </c>
      <c r="I587" s="67" t="str">
        <f t="shared" si="80"/>
        <v/>
      </c>
      <c r="J587" s="68" t="str">
        <f t="shared" si="81"/>
        <v/>
      </c>
      <c r="K587" s="69" t="str">
        <f t="shared" si="82"/>
        <v/>
      </c>
      <c r="L587" s="70" t="str">
        <f t="shared" si="83"/>
        <v/>
      </c>
      <c r="M587" s="71"/>
      <c r="N587" s="71"/>
      <c r="O587" s="71"/>
      <c r="P587" s="71"/>
      <c r="Q587" s="61"/>
      <c r="R587" s="63"/>
      <c r="S587" s="72"/>
      <c r="T587" s="61"/>
      <c r="U587" s="73"/>
      <c r="V587" s="62"/>
      <c r="W587" s="62"/>
      <c r="X587" s="62"/>
      <c r="Y587" s="93"/>
      <c r="Z587" s="94"/>
      <c r="AA587" s="74"/>
      <c r="AB587" s="75"/>
      <c r="AC587" s="75"/>
      <c r="AD587" s="76"/>
      <c r="AE587" s="77"/>
      <c r="AF587" s="75"/>
      <c r="AG587" s="78"/>
      <c r="AH587" s="79"/>
      <c r="AI587" s="74"/>
      <c r="AJ587" s="75"/>
      <c r="AK587" s="75"/>
      <c r="AL587" s="80">
        <f t="shared" si="84"/>
        <v>0</v>
      </c>
      <c r="AM587" s="74"/>
      <c r="AN587" s="74"/>
      <c r="AO587" s="81" t="str">
        <f t="shared" si="85"/>
        <v/>
      </c>
      <c r="AP587" s="82"/>
      <c r="AQ587" s="75"/>
      <c r="AR587" s="75"/>
      <c r="AS587" s="80">
        <f t="shared" si="86"/>
        <v>0</v>
      </c>
      <c r="AT587" s="74"/>
      <c r="AU587" s="75"/>
      <c r="AV587" s="75"/>
      <c r="AW587" s="75"/>
      <c r="AX587" s="80">
        <f t="shared" si="87"/>
        <v>0</v>
      </c>
      <c r="AY587" s="81" t="str">
        <f t="shared" si="88"/>
        <v/>
      </c>
      <c r="AZ587" s="83" t="str">
        <f t="shared" si="89"/>
        <v/>
      </c>
      <c r="BA587" s="80" t="str">
        <f t="shared" si="90"/>
        <v/>
      </c>
      <c r="BB587" s="84">
        <f t="shared" si="91"/>
        <v>0</v>
      </c>
      <c r="BC587" s="85" t="str">
        <f t="shared" si="92"/>
        <v/>
      </c>
      <c r="BD587" s="86" t="str">
        <f t="shared" si="93"/>
        <v/>
      </c>
      <c r="BE587" s="84">
        <f t="shared" si="94"/>
        <v>0</v>
      </c>
      <c r="BF587" s="87" t="str">
        <f t="shared" si="95"/>
        <v/>
      </c>
      <c r="BG587" s="88" t="str">
        <f t="shared" si="96"/>
        <v/>
      </c>
      <c r="BH587" s="89" t="str">
        <f t="shared" si="97"/>
        <v/>
      </c>
      <c r="BI587" s="90" t="str">
        <f t="shared" si="98"/>
        <v/>
      </c>
      <c r="BJ587" s="90" t="str">
        <f t="shared" si="99"/>
        <v/>
      </c>
      <c r="BK587" s="91">
        <f t="shared" si="100"/>
        <v>0</v>
      </c>
      <c r="BL587" s="92">
        <f t="shared" si="101"/>
        <v>0</v>
      </c>
      <c r="BM587" s="95"/>
    </row>
    <row r="588" spans="1:65">
      <c r="A588" s="61">
        <f t="shared" si="78"/>
        <v>0</v>
      </c>
      <c r="B588" s="62"/>
      <c r="C588" s="62"/>
      <c r="D588" s="63"/>
      <c r="E588" s="64"/>
      <c r="F588" s="64"/>
      <c r="G588" s="65"/>
      <c r="H588" s="66" t="str">
        <f t="shared" si="79"/>
        <v/>
      </c>
      <c r="I588" s="67" t="str">
        <f t="shared" si="80"/>
        <v/>
      </c>
      <c r="J588" s="68" t="str">
        <f t="shared" si="81"/>
        <v/>
      </c>
      <c r="K588" s="69" t="str">
        <f t="shared" si="82"/>
        <v/>
      </c>
      <c r="L588" s="70" t="str">
        <f t="shared" si="83"/>
        <v/>
      </c>
      <c r="M588" s="71"/>
      <c r="N588" s="71"/>
      <c r="O588" s="71"/>
      <c r="P588" s="71"/>
      <c r="Q588" s="61"/>
      <c r="R588" s="63"/>
      <c r="S588" s="72"/>
      <c r="T588" s="61"/>
      <c r="U588" s="73"/>
      <c r="V588" s="62"/>
      <c r="W588" s="62"/>
      <c r="X588" s="62"/>
      <c r="Y588" s="93"/>
      <c r="Z588" s="94"/>
      <c r="AA588" s="74"/>
      <c r="AB588" s="75"/>
      <c r="AC588" s="75"/>
      <c r="AD588" s="76"/>
      <c r="AE588" s="77"/>
      <c r="AF588" s="75"/>
      <c r="AG588" s="78"/>
      <c r="AH588" s="79"/>
      <c r="AI588" s="74"/>
      <c r="AJ588" s="75"/>
      <c r="AK588" s="75"/>
      <c r="AL588" s="80">
        <f t="shared" si="84"/>
        <v>0</v>
      </c>
      <c r="AM588" s="74"/>
      <c r="AN588" s="74"/>
      <c r="AO588" s="81" t="str">
        <f t="shared" si="85"/>
        <v/>
      </c>
      <c r="AP588" s="82"/>
      <c r="AQ588" s="75"/>
      <c r="AR588" s="75"/>
      <c r="AS588" s="80">
        <f t="shared" si="86"/>
        <v>0</v>
      </c>
      <c r="AT588" s="74"/>
      <c r="AU588" s="75"/>
      <c r="AV588" s="75"/>
      <c r="AW588" s="75"/>
      <c r="AX588" s="80">
        <f t="shared" si="87"/>
        <v>0</v>
      </c>
      <c r="AY588" s="81" t="str">
        <f t="shared" si="88"/>
        <v/>
      </c>
      <c r="AZ588" s="83" t="str">
        <f t="shared" si="89"/>
        <v/>
      </c>
      <c r="BA588" s="80" t="str">
        <f t="shared" si="90"/>
        <v/>
      </c>
      <c r="BB588" s="84">
        <f t="shared" si="91"/>
        <v>0</v>
      </c>
      <c r="BC588" s="85" t="str">
        <f t="shared" si="92"/>
        <v/>
      </c>
      <c r="BD588" s="86" t="str">
        <f t="shared" si="93"/>
        <v/>
      </c>
      <c r="BE588" s="84">
        <f t="shared" si="94"/>
        <v>0</v>
      </c>
      <c r="BF588" s="87" t="str">
        <f t="shared" si="95"/>
        <v/>
      </c>
      <c r="BG588" s="88" t="str">
        <f t="shared" si="96"/>
        <v/>
      </c>
      <c r="BH588" s="89" t="str">
        <f t="shared" si="97"/>
        <v/>
      </c>
      <c r="BI588" s="90" t="str">
        <f t="shared" si="98"/>
        <v/>
      </c>
      <c r="BJ588" s="90" t="str">
        <f t="shared" si="99"/>
        <v/>
      </c>
      <c r="BK588" s="91">
        <f t="shared" si="100"/>
        <v>0</v>
      </c>
      <c r="BL588" s="92">
        <f t="shared" si="101"/>
        <v>0</v>
      </c>
      <c r="BM588" s="95"/>
    </row>
    <row r="589" spans="1:65">
      <c r="A589" s="61">
        <f t="shared" si="78"/>
        <v>0</v>
      </c>
      <c r="B589" s="62"/>
      <c r="C589" s="62"/>
      <c r="D589" s="63"/>
      <c r="E589" s="64"/>
      <c r="F589" s="64"/>
      <c r="G589" s="65"/>
      <c r="H589" s="66" t="str">
        <f t="shared" si="79"/>
        <v/>
      </c>
      <c r="I589" s="67" t="str">
        <f t="shared" si="80"/>
        <v/>
      </c>
      <c r="J589" s="68" t="str">
        <f t="shared" si="81"/>
        <v/>
      </c>
      <c r="K589" s="69" t="str">
        <f t="shared" si="82"/>
        <v/>
      </c>
      <c r="L589" s="70" t="str">
        <f t="shared" si="83"/>
        <v/>
      </c>
      <c r="M589" s="71"/>
      <c r="N589" s="71"/>
      <c r="O589" s="71"/>
      <c r="P589" s="71"/>
      <c r="Q589" s="61"/>
      <c r="R589" s="63"/>
      <c r="S589" s="72"/>
      <c r="T589" s="61"/>
      <c r="U589" s="73"/>
      <c r="V589" s="62"/>
      <c r="W589" s="62"/>
      <c r="X589" s="62"/>
      <c r="Y589" s="93"/>
      <c r="Z589" s="94"/>
      <c r="AA589" s="74"/>
      <c r="AB589" s="75"/>
      <c r="AC589" s="75"/>
      <c r="AD589" s="76"/>
      <c r="AE589" s="77"/>
      <c r="AF589" s="75"/>
      <c r="AG589" s="78"/>
      <c r="AH589" s="79"/>
      <c r="AI589" s="74"/>
      <c r="AJ589" s="75"/>
      <c r="AK589" s="75"/>
      <c r="AL589" s="80">
        <f t="shared" si="84"/>
        <v>0</v>
      </c>
      <c r="AM589" s="74"/>
      <c r="AN589" s="74"/>
      <c r="AO589" s="81" t="str">
        <f t="shared" si="85"/>
        <v/>
      </c>
      <c r="AP589" s="82"/>
      <c r="AQ589" s="75"/>
      <c r="AR589" s="75"/>
      <c r="AS589" s="80">
        <f t="shared" si="86"/>
        <v>0</v>
      </c>
      <c r="AT589" s="74"/>
      <c r="AU589" s="75"/>
      <c r="AV589" s="75"/>
      <c r="AW589" s="75"/>
      <c r="AX589" s="80">
        <f t="shared" si="87"/>
        <v>0</v>
      </c>
      <c r="AY589" s="81" t="str">
        <f t="shared" si="88"/>
        <v/>
      </c>
      <c r="AZ589" s="83" t="str">
        <f t="shared" si="89"/>
        <v/>
      </c>
      <c r="BA589" s="80" t="str">
        <f t="shared" si="90"/>
        <v/>
      </c>
      <c r="BB589" s="84">
        <f t="shared" si="91"/>
        <v>0</v>
      </c>
      <c r="BC589" s="85" t="str">
        <f t="shared" si="92"/>
        <v/>
      </c>
      <c r="BD589" s="86" t="str">
        <f t="shared" si="93"/>
        <v/>
      </c>
      <c r="BE589" s="84">
        <f t="shared" si="94"/>
        <v>0</v>
      </c>
      <c r="BF589" s="87" t="str">
        <f t="shared" si="95"/>
        <v/>
      </c>
      <c r="BG589" s="88" t="str">
        <f t="shared" si="96"/>
        <v/>
      </c>
      <c r="BH589" s="89" t="str">
        <f t="shared" si="97"/>
        <v/>
      </c>
      <c r="BI589" s="90" t="str">
        <f t="shared" si="98"/>
        <v/>
      </c>
      <c r="BJ589" s="90" t="str">
        <f t="shared" si="99"/>
        <v/>
      </c>
      <c r="BK589" s="91">
        <f t="shared" si="100"/>
        <v>0</v>
      </c>
      <c r="BL589" s="92">
        <f t="shared" si="101"/>
        <v>0</v>
      </c>
      <c r="BM589" s="95"/>
    </row>
    <row r="590" spans="1:65">
      <c r="A590" s="61">
        <f t="shared" si="78"/>
        <v>0</v>
      </c>
      <c r="B590" s="62"/>
      <c r="C590" s="62"/>
      <c r="D590" s="63"/>
      <c r="E590" s="64"/>
      <c r="F590" s="64"/>
      <c r="G590" s="65"/>
      <c r="H590" s="66" t="str">
        <f t="shared" si="79"/>
        <v/>
      </c>
      <c r="I590" s="67" t="str">
        <f t="shared" si="80"/>
        <v/>
      </c>
      <c r="J590" s="68" t="str">
        <f t="shared" si="81"/>
        <v/>
      </c>
      <c r="K590" s="69" t="str">
        <f t="shared" si="82"/>
        <v/>
      </c>
      <c r="L590" s="70" t="str">
        <f t="shared" si="83"/>
        <v/>
      </c>
      <c r="M590" s="71"/>
      <c r="N590" s="71"/>
      <c r="O590" s="71"/>
      <c r="P590" s="71"/>
      <c r="Q590" s="61"/>
      <c r="R590" s="63"/>
      <c r="S590" s="72"/>
      <c r="T590" s="61"/>
      <c r="U590" s="73"/>
      <c r="V590" s="62"/>
      <c r="W590" s="62"/>
      <c r="X590" s="62"/>
      <c r="Y590" s="93"/>
      <c r="Z590" s="94"/>
      <c r="AA590" s="74"/>
      <c r="AB590" s="75"/>
      <c r="AC590" s="75"/>
      <c r="AD590" s="76"/>
      <c r="AE590" s="77"/>
      <c r="AF590" s="75"/>
      <c r="AG590" s="78"/>
      <c r="AH590" s="79"/>
      <c r="AI590" s="74"/>
      <c r="AJ590" s="75"/>
      <c r="AK590" s="75"/>
      <c r="AL590" s="80">
        <f t="shared" si="84"/>
        <v>0</v>
      </c>
      <c r="AM590" s="74"/>
      <c r="AN590" s="74"/>
      <c r="AO590" s="81" t="str">
        <f t="shared" si="85"/>
        <v/>
      </c>
      <c r="AP590" s="82"/>
      <c r="AQ590" s="75"/>
      <c r="AR590" s="75"/>
      <c r="AS590" s="80">
        <f t="shared" si="86"/>
        <v>0</v>
      </c>
      <c r="AT590" s="74"/>
      <c r="AU590" s="75"/>
      <c r="AV590" s="75"/>
      <c r="AW590" s="75"/>
      <c r="AX590" s="80">
        <f t="shared" si="87"/>
        <v>0</v>
      </c>
      <c r="AY590" s="81" t="str">
        <f t="shared" si="88"/>
        <v/>
      </c>
      <c r="AZ590" s="83" t="str">
        <f t="shared" si="89"/>
        <v/>
      </c>
      <c r="BA590" s="80" t="str">
        <f t="shared" si="90"/>
        <v/>
      </c>
      <c r="BB590" s="84">
        <f t="shared" si="91"/>
        <v>0</v>
      </c>
      <c r="BC590" s="85" t="str">
        <f t="shared" si="92"/>
        <v/>
      </c>
      <c r="BD590" s="86" t="str">
        <f t="shared" si="93"/>
        <v/>
      </c>
      <c r="BE590" s="84">
        <f t="shared" si="94"/>
        <v>0</v>
      </c>
      <c r="BF590" s="87" t="str">
        <f t="shared" si="95"/>
        <v/>
      </c>
      <c r="BG590" s="88" t="str">
        <f t="shared" si="96"/>
        <v/>
      </c>
      <c r="BH590" s="89" t="str">
        <f t="shared" si="97"/>
        <v/>
      </c>
      <c r="BI590" s="90" t="str">
        <f t="shared" si="98"/>
        <v/>
      </c>
      <c r="BJ590" s="90" t="str">
        <f t="shared" si="99"/>
        <v/>
      </c>
      <c r="BK590" s="91">
        <f t="shared" si="100"/>
        <v>0</v>
      </c>
      <c r="BL590" s="92">
        <f t="shared" si="101"/>
        <v>0</v>
      </c>
      <c r="BM590" s="95"/>
    </row>
    <row r="591" spans="1:65">
      <c r="A591" s="61">
        <f t="shared" si="78"/>
        <v>0</v>
      </c>
      <c r="B591" s="62"/>
      <c r="C591" s="62"/>
      <c r="D591" s="63"/>
      <c r="E591" s="64"/>
      <c r="F591" s="64"/>
      <c r="G591" s="65"/>
      <c r="H591" s="66" t="str">
        <f t="shared" si="79"/>
        <v/>
      </c>
      <c r="I591" s="67" t="str">
        <f t="shared" si="80"/>
        <v/>
      </c>
      <c r="J591" s="68" t="str">
        <f t="shared" si="81"/>
        <v/>
      </c>
      <c r="K591" s="69" t="str">
        <f t="shared" si="82"/>
        <v/>
      </c>
      <c r="L591" s="70" t="str">
        <f t="shared" si="83"/>
        <v/>
      </c>
      <c r="M591" s="71"/>
      <c r="N591" s="71"/>
      <c r="O591" s="71"/>
      <c r="P591" s="71"/>
      <c r="Q591" s="61"/>
      <c r="R591" s="63"/>
      <c r="S591" s="72"/>
      <c r="T591" s="61"/>
      <c r="U591" s="73"/>
      <c r="V591" s="62"/>
      <c r="W591" s="62"/>
      <c r="X591" s="62"/>
      <c r="Y591" s="93"/>
      <c r="Z591" s="94"/>
      <c r="AA591" s="74"/>
      <c r="AB591" s="75"/>
      <c r="AC591" s="75"/>
      <c r="AD591" s="76"/>
      <c r="AE591" s="77"/>
      <c r="AF591" s="75"/>
      <c r="AG591" s="78"/>
      <c r="AH591" s="79"/>
      <c r="AI591" s="74"/>
      <c r="AJ591" s="75"/>
      <c r="AK591" s="75"/>
      <c r="AL591" s="80">
        <f t="shared" si="84"/>
        <v>0</v>
      </c>
      <c r="AM591" s="74"/>
      <c r="AN591" s="74"/>
      <c r="AO591" s="81" t="str">
        <f t="shared" si="85"/>
        <v/>
      </c>
      <c r="AP591" s="82"/>
      <c r="AQ591" s="75"/>
      <c r="AR591" s="75"/>
      <c r="AS591" s="80">
        <f t="shared" si="86"/>
        <v>0</v>
      </c>
      <c r="AT591" s="74"/>
      <c r="AU591" s="75"/>
      <c r="AV591" s="75"/>
      <c r="AW591" s="75"/>
      <c r="AX591" s="80">
        <f t="shared" si="87"/>
        <v>0</v>
      </c>
      <c r="AY591" s="81" t="str">
        <f t="shared" si="88"/>
        <v/>
      </c>
      <c r="AZ591" s="83" t="str">
        <f t="shared" si="89"/>
        <v/>
      </c>
      <c r="BA591" s="80" t="str">
        <f t="shared" si="90"/>
        <v/>
      </c>
      <c r="BB591" s="84">
        <f t="shared" si="91"/>
        <v>0</v>
      </c>
      <c r="BC591" s="85" t="str">
        <f t="shared" si="92"/>
        <v/>
      </c>
      <c r="BD591" s="86" t="str">
        <f t="shared" si="93"/>
        <v/>
      </c>
      <c r="BE591" s="84">
        <f t="shared" si="94"/>
        <v>0</v>
      </c>
      <c r="BF591" s="87" t="str">
        <f t="shared" si="95"/>
        <v/>
      </c>
      <c r="BG591" s="88" t="str">
        <f t="shared" si="96"/>
        <v/>
      </c>
      <c r="BH591" s="89" t="str">
        <f t="shared" si="97"/>
        <v/>
      </c>
      <c r="BI591" s="90" t="str">
        <f t="shared" si="98"/>
        <v/>
      </c>
      <c r="BJ591" s="90" t="str">
        <f t="shared" si="99"/>
        <v/>
      </c>
      <c r="BK591" s="91">
        <f t="shared" si="100"/>
        <v>0</v>
      </c>
      <c r="BL591" s="92">
        <f t="shared" si="101"/>
        <v>0</v>
      </c>
      <c r="BM591" s="95"/>
    </row>
    <row r="592" spans="1:65">
      <c r="A592" s="61">
        <f t="shared" si="78"/>
        <v>0</v>
      </c>
      <c r="B592" s="62"/>
      <c r="C592" s="62"/>
      <c r="D592" s="63"/>
      <c r="E592" s="64"/>
      <c r="F592" s="64"/>
      <c r="G592" s="65"/>
      <c r="H592" s="66" t="str">
        <f t="shared" si="79"/>
        <v/>
      </c>
      <c r="I592" s="67" t="str">
        <f t="shared" si="80"/>
        <v/>
      </c>
      <c r="J592" s="68" t="str">
        <f t="shared" si="81"/>
        <v/>
      </c>
      <c r="K592" s="69" t="str">
        <f t="shared" si="82"/>
        <v/>
      </c>
      <c r="L592" s="70" t="str">
        <f t="shared" si="83"/>
        <v/>
      </c>
      <c r="M592" s="71"/>
      <c r="N592" s="71"/>
      <c r="O592" s="71"/>
      <c r="P592" s="71"/>
      <c r="Q592" s="61"/>
      <c r="R592" s="63"/>
      <c r="S592" s="72"/>
      <c r="T592" s="61"/>
      <c r="U592" s="73"/>
      <c r="V592" s="62"/>
      <c r="W592" s="62"/>
      <c r="X592" s="62"/>
      <c r="Y592" s="93"/>
      <c r="Z592" s="94"/>
      <c r="AA592" s="74"/>
      <c r="AB592" s="75"/>
      <c r="AC592" s="75"/>
      <c r="AD592" s="76"/>
      <c r="AE592" s="77"/>
      <c r="AF592" s="75"/>
      <c r="AG592" s="78"/>
      <c r="AH592" s="79"/>
      <c r="AI592" s="74"/>
      <c r="AJ592" s="75"/>
      <c r="AK592" s="75"/>
      <c r="AL592" s="80">
        <f t="shared" si="84"/>
        <v>0</v>
      </c>
      <c r="AM592" s="74"/>
      <c r="AN592" s="74"/>
      <c r="AO592" s="81" t="str">
        <f t="shared" si="85"/>
        <v/>
      </c>
      <c r="AP592" s="82"/>
      <c r="AQ592" s="75"/>
      <c r="AR592" s="75"/>
      <c r="AS592" s="80">
        <f t="shared" si="86"/>
        <v>0</v>
      </c>
      <c r="AT592" s="74"/>
      <c r="AU592" s="75"/>
      <c r="AV592" s="75"/>
      <c r="AW592" s="75"/>
      <c r="AX592" s="80">
        <f t="shared" si="87"/>
        <v>0</v>
      </c>
      <c r="AY592" s="81" t="str">
        <f t="shared" si="88"/>
        <v/>
      </c>
      <c r="AZ592" s="83" t="str">
        <f t="shared" si="89"/>
        <v/>
      </c>
      <c r="BA592" s="80" t="str">
        <f t="shared" si="90"/>
        <v/>
      </c>
      <c r="BB592" s="84">
        <f t="shared" si="91"/>
        <v>0</v>
      </c>
      <c r="BC592" s="85" t="str">
        <f t="shared" si="92"/>
        <v/>
      </c>
      <c r="BD592" s="86" t="str">
        <f t="shared" si="93"/>
        <v/>
      </c>
      <c r="BE592" s="84">
        <f t="shared" si="94"/>
        <v>0</v>
      </c>
      <c r="BF592" s="87" t="str">
        <f t="shared" si="95"/>
        <v/>
      </c>
      <c r="BG592" s="88" t="str">
        <f t="shared" si="96"/>
        <v/>
      </c>
      <c r="BH592" s="89" t="str">
        <f t="shared" si="97"/>
        <v/>
      </c>
      <c r="BI592" s="90" t="str">
        <f t="shared" si="98"/>
        <v/>
      </c>
      <c r="BJ592" s="90" t="str">
        <f t="shared" si="99"/>
        <v/>
      </c>
      <c r="BK592" s="91">
        <f t="shared" si="100"/>
        <v>0</v>
      </c>
      <c r="BL592" s="92">
        <f t="shared" si="101"/>
        <v>0</v>
      </c>
      <c r="BM592" s="95"/>
    </row>
    <row r="593" spans="1:65">
      <c r="A593" s="61">
        <f t="shared" si="78"/>
        <v>0</v>
      </c>
      <c r="B593" s="62"/>
      <c r="C593" s="62"/>
      <c r="D593" s="63"/>
      <c r="E593" s="64"/>
      <c r="F593" s="64"/>
      <c r="G593" s="65"/>
      <c r="H593" s="66" t="str">
        <f t="shared" si="79"/>
        <v/>
      </c>
      <c r="I593" s="67" t="str">
        <f t="shared" si="80"/>
        <v/>
      </c>
      <c r="J593" s="68" t="str">
        <f t="shared" si="81"/>
        <v/>
      </c>
      <c r="K593" s="69" t="str">
        <f t="shared" si="82"/>
        <v/>
      </c>
      <c r="L593" s="70" t="str">
        <f t="shared" si="83"/>
        <v/>
      </c>
      <c r="M593" s="71"/>
      <c r="N593" s="71"/>
      <c r="O593" s="71"/>
      <c r="P593" s="71"/>
      <c r="Q593" s="61"/>
      <c r="R593" s="63"/>
      <c r="S593" s="72"/>
      <c r="T593" s="61"/>
      <c r="U593" s="73"/>
      <c r="V593" s="62"/>
      <c r="W593" s="62"/>
      <c r="X593" s="62"/>
      <c r="Y593" s="93"/>
      <c r="Z593" s="94"/>
      <c r="AA593" s="74"/>
      <c r="AB593" s="75"/>
      <c r="AC593" s="75"/>
      <c r="AD593" s="76"/>
      <c r="AE593" s="77"/>
      <c r="AF593" s="75"/>
      <c r="AG593" s="78"/>
      <c r="AH593" s="79"/>
      <c r="AI593" s="74"/>
      <c r="AJ593" s="75"/>
      <c r="AK593" s="75"/>
      <c r="AL593" s="80">
        <f t="shared" si="84"/>
        <v>0</v>
      </c>
      <c r="AM593" s="74"/>
      <c r="AN593" s="74"/>
      <c r="AO593" s="81" t="str">
        <f t="shared" si="85"/>
        <v/>
      </c>
      <c r="AP593" s="82"/>
      <c r="AQ593" s="75"/>
      <c r="AR593" s="75"/>
      <c r="AS593" s="80">
        <f t="shared" si="86"/>
        <v>0</v>
      </c>
      <c r="AT593" s="74"/>
      <c r="AU593" s="75"/>
      <c r="AV593" s="75"/>
      <c r="AW593" s="75"/>
      <c r="AX593" s="80">
        <f t="shared" si="87"/>
        <v>0</v>
      </c>
      <c r="AY593" s="81" t="str">
        <f t="shared" si="88"/>
        <v/>
      </c>
      <c r="AZ593" s="83" t="str">
        <f t="shared" si="89"/>
        <v/>
      </c>
      <c r="BA593" s="80" t="str">
        <f t="shared" si="90"/>
        <v/>
      </c>
      <c r="BB593" s="84">
        <f t="shared" si="91"/>
        <v>0</v>
      </c>
      <c r="BC593" s="85" t="str">
        <f t="shared" si="92"/>
        <v/>
      </c>
      <c r="BD593" s="86" t="str">
        <f t="shared" si="93"/>
        <v/>
      </c>
      <c r="BE593" s="84">
        <f t="shared" si="94"/>
        <v>0</v>
      </c>
      <c r="BF593" s="87" t="str">
        <f t="shared" si="95"/>
        <v/>
      </c>
      <c r="BG593" s="88" t="str">
        <f t="shared" si="96"/>
        <v/>
      </c>
      <c r="BH593" s="89" t="str">
        <f t="shared" si="97"/>
        <v/>
      </c>
      <c r="BI593" s="90" t="str">
        <f t="shared" si="98"/>
        <v/>
      </c>
      <c r="BJ593" s="90" t="str">
        <f t="shared" si="99"/>
        <v/>
      </c>
      <c r="BK593" s="91">
        <f t="shared" si="100"/>
        <v>0</v>
      </c>
      <c r="BL593" s="92">
        <f t="shared" si="101"/>
        <v>0</v>
      </c>
      <c r="BM593" s="95"/>
    </row>
    <row r="594" spans="1:65">
      <c r="A594" s="61">
        <f t="shared" si="78"/>
        <v>0</v>
      </c>
      <c r="B594" s="62"/>
      <c r="C594" s="62"/>
      <c r="D594" s="63"/>
      <c r="E594" s="64"/>
      <c r="F594" s="64"/>
      <c r="G594" s="65"/>
      <c r="H594" s="66" t="str">
        <f t="shared" si="79"/>
        <v/>
      </c>
      <c r="I594" s="67" t="str">
        <f t="shared" si="80"/>
        <v/>
      </c>
      <c r="J594" s="68" t="str">
        <f t="shared" si="81"/>
        <v/>
      </c>
      <c r="K594" s="69" t="str">
        <f t="shared" si="82"/>
        <v/>
      </c>
      <c r="L594" s="70" t="str">
        <f t="shared" si="83"/>
        <v/>
      </c>
      <c r="M594" s="71"/>
      <c r="N594" s="71"/>
      <c r="O594" s="71"/>
      <c r="P594" s="71"/>
      <c r="Q594" s="61"/>
      <c r="R594" s="63"/>
      <c r="S594" s="72"/>
      <c r="T594" s="61"/>
      <c r="U594" s="73"/>
      <c r="V594" s="62"/>
      <c r="W594" s="62"/>
      <c r="X594" s="62"/>
      <c r="Y594" s="93"/>
      <c r="Z594" s="94"/>
      <c r="AA594" s="74"/>
      <c r="AB594" s="75"/>
      <c r="AC594" s="75"/>
      <c r="AD594" s="76"/>
      <c r="AE594" s="77"/>
      <c r="AF594" s="75"/>
      <c r="AG594" s="78"/>
      <c r="AH594" s="79"/>
      <c r="AI594" s="74"/>
      <c r="AJ594" s="75"/>
      <c r="AK594" s="75"/>
      <c r="AL594" s="80">
        <f t="shared" si="84"/>
        <v>0</v>
      </c>
      <c r="AM594" s="74"/>
      <c r="AN594" s="74"/>
      <c r="AO594" s="81" t="str">
        <f t="shared" si="85"/>
        <v/>
      </c>
      <c r="AP594" s="82"/>
      <c r="AQ594" s="75"/>
      <c r="AR594" s="75"/>
      <c r="AS594" s="80">
        <f t="shared" si="86"/>
        <v>0</v>
      </c>
      <c r="AT594" s="74"/>
      <c r="AU594" s="75"/>
      <c r="AV594" s="75"/>
      <c r="AW594" s="75"/>
      <c r="AX594" s="80">
        <f t="shared" si="87"/>
        <v>0</v>
      </c>
      <c r="AY594" s="81" t="str">
        <f t="shared" si="88"/>
        <v/>
      </c>
      <c r="AZ594" s="83" t="str">
        <f t="shared" si="89"/>
        <v/>
      </c>
      <c r="BA594" s="80" t="str">
        <f t="shared" si="90"/>
        <v/>
      </c>
      <c r="BB594" s="84">
        <f t="shared" si="91"/>
        <v>0</v>
      </c>
      <c r="BC594" s="85" t="str">
        <f t="shared" si="92"/>
        <v/>
      </c>
      <c r="BD594" s="86" t="str">
        <f t="shared" si="93"/>
        <v/>
      </c>
      <c r="BE594" s="84">
        <f t="shared" si="94"/>
        <v>0</v>
      </c>
      <c r="BF594" s="87" t="str">
        <f t="shared" si="95"/>
        <v/>
      </c>
      <c r="BG594" s="88" t="str">
        <f t="shared" si="96"/>
        <v/>
      </c>
      <c r="BH594" s="89" t="str">
        <f t="shared" si="97"/>
        <v/>
      </c>
      <c r="BI594" s="90" t="str">
        <f t="shared" si="98"/>
        <v/>
      </c>
      <c r="BJ594" s="90" t="str">
        <f t="shared" si="99"/>
        <v/>
      </c>
      <c r="BK594" s="91">
        <f t="shared" si="100"/>
        <v>0</v>
      </c>
      <c r="BL594" s="92">
        <f t="shared" si="101"/>
        <v>0</v>
      </c>
      <c r="BM594" s="95"/>
    </row>
    <row r="595" spans="1:65">
      <c r="A595" s="61">
        <f t="shared" si="78"/>
        <v>0</v>
      </c>
      <c r="B595" s="62"/>
      <c r="C595" s="62"/>
      <c r="D595" s="63"/>
      <c r="E595" s="64"/>
      <c r="F595" s="64"/>
      <c r="G595" s="65"/>
      <c r="H595" s="66" t="str">
        <f t="shared" si="79"/>
        <v/>
      </c>
      <c r="I595" s="67" t="str">
        <f t="shared" si="80"/>
        <v/>
      </c>
      <c r="J595" s="68" t="str">
        <f t="shared" si="81"/>
        <v/>
      </c>
      <c r="K595" s="69" t="str">
        <f t="shared" si="82"/>
        <v/>
      </c>
      <c r="L595" s="70" t="str">
        <f t="shared" si="83"/>
        <v/>
      </c>
      <c r="M595" s="71"/>
      <c r="N595" s="71"/>
      <c r="O595" s="71"/>
      <c r="P595" s="71"/>
      <c r="Q595" s="61"/>
      <c r="R595" s="63"/>
      <c r="S595" s="72"/>
      <c r="T595" s="61"/>
      <c r="U595" s="73"/>
      <c r="V595" s="62"/>
      <c r="W595" s="62"/>
      <c r="X595" s="62"/>
      <c r="Y595" s="93"/>
      <c r="Z595" s="94"/>
      <c r="AA595" s="74"/>
      <c r="AB595" s="75"/>
      <c r="AC595" s="75"/>
      <c r="AD595" s="76"/>
      <c r="AE595" s="77"/>
      <c r="AF595" s="75"/>
      <c r="AG595" s="78"/>
      <c r="AH595" s="79"/>
      <c r="AI595" s="74"/>
      <c r="AJ595" s="75"/>
      <c r="AK595" s="75"/>
      <c r="AL595" s="80">
        <f t="shared" si="84"/>
        <v>0</v>
      </c>
      <c r="AM595" s="74"/>
      <c r="AN595" s="74"/>
      <c r="AO595" s="81" t="str">
        <f t="shared" si="85"/>
        <v/>
      </c>
      <c r="AP595" s="82"/>
      <c r="AQ595" s="75"/>
      <c r="AR595" s="75"/>
      <c r="AS595" s="80">
        <f t="shared" si="86"/>
        <v>0</v>
      </c>
      <c r="AT595" s="74"/>
      <c r="AU595" s="75"/>
      <c r="AV595" s="75"/>
      <c r="AW595" s="75"/>
      <c r="AX595" s="80">
        <f t="shared" si="87"/>
        <v>0</v>
      </c>
      <c r="AY595" s="81" t="str">
        <f t="shared" si="88"/>
        <v/>
      </c>
      <c r="AZ595" s="83" t="str">
        <f t="shared" si="89"/>
        <v/>
      </c>
      <c r="BA595" s="80" t="str">
        <f t="shared" si="90"/>
        <v/>
      </c>
      <c r="BB595" s="84">
        <f t="shared" si="91"/>
        <v>0</v>
      </c>
      <c r="BC595" s="85" t="str">
        <f t="shared" si="92"/>
        <v/>
      </c>
      <c r="BD595" s="86" t="str">
        <f t="shared" si="93"/>
        <v/>
      </c>
      <c r="BE595" s="84">
        <f t="shared" si="94"/>
        <v>0</v>
      </c>
      <c r="BF595" s="87" t="str">
        <f t="shared" si="95"/>
        <v/>
      </c>
      <c r="BG595" s="88" t="str">
        <f t="shared" si="96"/>
        <v/>
      </c>
      <c r="BH595" s="89" t="str">
        <f t="shared" si="97"/>
        <v/>
      </c>
      <c r="BI595" s="90" t="str">
        <f t="shared" si="98"/>
        <v/>
      </c>
      <c r="BJ595" s="90" t="str">
        <f t="shared" si="99"/>
        <v/>
      </c>
      <c r="BK595" s="91">
        <f t="shared" si="100"/>
        <v>0</v>
      </c>
      <c r="BL595" s="92">
        <f t="shared" si="101"/>
        <v>0</v>
      </c>
      <c r="BM595" s="95"/>
    </row>
    <row r="596" spans="1:65">
      <c r="A596" s="61">
        <f t="shared" si="78"/>
        <v>0</v>
      </c>
      <c r="B596" s="62"/>
      <c r="C596" s="62"/>
      <c r="D596" s="63"/>
      <c r="E596" s="64"/>
      <c r="F596" s="64"/>
      <c r="G596" s="65"/>
      <c r="H596" s="66" t="str">
        <f t="shared" si="79"/>
        <v/>
      </c>
      <c r="I596" s="67" t="str">
        <f t="shared" si="80"/>
        <v/>
      </c>
      <c r="J596" s="68" t="str">
        <f t="shared" si="81"/>
        <v/>
      </c>
      <c r="K596" s="69" t="str">
        <f t="shared" si="82"/>
        <v/>
      </c>
      <c r="L596" s="70" t="str">
        <f t="shared" si="83"/>
        <v/>
      </c>
      <c r="M596" s="71"/>
      <c r="N596" s="71"/>
      <c r="O596" s="71"/>
      <c r="P596" s="71"/>
      <c r="Q596" s="61"/>
      <c r="R596" s="63"/>
      <c r="S596" s="72"/>
      <c r="T596" s="61"/>
      <c r="U596" s="73"/>
      <c r="V596" s="62"/>
      <c r="W596" s="62"/>
      <c r="X596" s="62"/>
      <c r="Y596" s="93"/>
      <c r="Z596" s="94"/>
      <c r="AA596" s="74"/>
      <c r="AB596" s="75"/>
      <c r="AC596" s="75"/>
      <c r="AD596" s="76"/>
      <c r="AE596" s="77"/>
      <c r="AF596" s="75"/>
      <c r="AG596" s="78"/>
      <c r="AH596" s="79"/>
      <c r="AI596" s="74"/>
      <c r="AJ596" s="75"/>
      <c r="AK596" s="75"/>
      <c r="AL596" s="80">
        <f t="shared" si="84"/>
        <v>0</v>
      </c>
      <c r="AM596" s="74"/>
      <c r="AN596" s="74"/>
      <c r="AO596" s="81" t="str">
        <f t="shared" si="85"/>
        <v/>
      </c>
      <c r="AP596" s="82"/>
      <c r="AQ596" s="75"/>
      <c r="AR596" s="75"/>
      <c r="AS596" s="80">
        <f t="shared" si="86"/>
        <v>0</v>
      </c>
      <c r="AT596" s="74"/>
      <c r="AU596" s="75"/>
      <c r="AV596" s="75"/>
      <c r="AW596" s="75"/>
      <c r="AX596" s="80">
        <f t="shared" si="87"/>
        <v>0</v>
      </c>
      <c r="AY596" s="81" t="str">
        <f t="shared" si="88"/>
        <v/>
      </c>
      <c r="AZ596" s="83" t="str">
        <f t="shared" si="89"/>
        <v/>
      </c>
      <c r="BA596" s="80" t="str">
        <f t="shared" si="90"/>
        <v/>
      </c>
      <c r="BB596" s="84">
        <f t="shared" si="91"/>
        <v>0</v>
      </c>
      <c r="BC596" s="85" t="str">
        <f t="shared" si="92"/>
        <v/>
      </c>
      <c r="BD596" s="86" t="str">
        <f t="shared" si="93"/>
        <v/>
      </c>
      <c r="BE596" s="84">
        <f t="shared" si="94"/>
        <v>0</v>
      </c>
      <c r="BF596" s="87" t="str">
        <f t="shared" si="95"/>
        <v/>
      </c>
      <c r="BG596" s="88" t="str">
        <f t="shared" si="96"/>
        <v/>
      </c>
      <c r="BH596" s="89" t="str">
        <f t="shared" si="97"/>
        <v/>
      </c>
      <c r="BI596" s="90" t="str">
        <f t="shared" si="98"/>
        <v/>
      </c>
      <c r="BJ596" s="90" t="str">
        <f t="shared" si="99"/>
        <v/>
      </c>
      <c r="BK596" s="91">
        <f t="shared" si="100"/>
        <v>0</v>
      </c>
      <c r="BL596" s="92">
        <f t="shared" si="101"/>
        <v>0</v>
      </c>
      <c r="BM596" s="95"/>
    </row>
    <row r="597" spans="1:65">
      <c r="A597" s="61">
        <f t="shared" si="78"/>
        <v>0</v>
      </c>
      <c r="B597" s="62"/>
      <c r="C597" s="62"/>
      <c r="D597" s="63"/>
      <c r="E597" s="64"/>
      <c r="F597" s="64"/>
      <c r="G597" s="65"/>
      <c r="H597" s="66" t="str">
        <f t="shared" si="79"/>
        <v/>
      </c>
      <c r="I597" s="67" t="str">
        <f t="shared" si="80"/>
        <v/>
      </c>
      <c r="J597" s="68" t="str">
        <f t="shared" si="81"/>
        <v/>
      </c>
      <c r="K597" s="69" t="str">
        <f t="shared" si="82"/>
        <v/>
      </c>
      <c r="L597" s="70" t="str">
        <f t="shared" si="83"/>
        <v/>
      </c>
      <c r="M597" s="71"/>
      <c r="N597" s="71"/>
      <c r="O597" s="71"/>
      <c r="P597" s="71"/>
      <c r="Q597" s="61"/>
      <c r="R597" s="63"/>
      <c r="S597" s="72"/>
      <c r="T597" s="61"/>
      <c r="U597" s="73"/>
      <c r="V597" s="62"/>
      <c r="W597" s="62"/>
      <c r="X597" s="62"/>
      <c r="Y597" s="93"/>
      <c r="Z597" s="94"/>
      <c r="AA597" s="74"/>
      <c r="AB597" s="75"/>
      <c r="AC597" s="75"/>
      <c r="AD597" s="76"/>
      <c r="AE597" s="77"/>
      <c r="AF597" s="75"/>
      <c r="AG597" s="78"/>
      <c r="AH597" s="79"/>
      <c r="AI597" s="74"/>
      <c r="AJ597" s="75"/>
      <c r="AK597" s="75"/>
      <c r="AL597" s="80">
        <f t="shared" si="84"/>
        <v>0</v>
      </c>
      <c r="AM597" s="74"/>
      <c r="AN597" s="74"/>
      <c r="AO597" s="81" t="str">
        <f t="shared" si="85"/>
        <v/>
      </c>
      <c r="AP597" s="82"/>
      <c r="AQ597" s="75"/>
      <c r="AR597" s="75"/>
      <c r="AS597" s="80">
        <f t="shared" si="86"/>
        <v>0</v>
      </c>
      <c r="AT597" s="74"/>
      <c r="AU597" s="75"/>
      <c r="AV597" s="75"/>
      <c r="AW597" s="75"/>
      <c r="AX597" s="80">
        <f t="shared" si="87"/>
        <v>0</v>
      </c>
      <c r="AY597" s="81" t="str">
        <f t="shared" si="88"/>
        <v/>
      </c>
      <c r="AZ597" s="83" t="str">
        <f t="shared" si="89"/>
        <v/>
      </c>
      <c r="BA597" s="80" t="str">
        <f t="shared" si="90"/>
        <v/>
      </c>
      <c r="BB597" s="84">
        <f t="shared" si="91"/>
        <v>0</v>
      </c>
      <c r="BC597" s="85" t="str">
        <f t="shared" si="92"/>
        <v/>
      </c>
      <c r="BD597" s="86" t="str">
        <f t="shared" si="93"/>
        <v/>
      </c>
      <c r="BE597" s="84">
        <f t="shared" si="94"/>
        <v>0</v>
      </c>
      <c r="BF597" s="87" t="str">
        <f t="shared" si="95"/>
        <v/>
      </c>
      <c r="BG597" s="88" t="str">
        <f t="shared" si="96"/>
        <v/>
      </c>
      <c r="BH597" s="89" t="str">
        <f t="shared" si="97"/>
        <v/>
      </c>
      <c r="BI597" s="90" t="str">
        <f t="shared" si="98"/>
        <v/>
      </c>
      <c r="BJ597" s="90" t="str">
        <f t="shared" si="99"/>
        <v/>
      </c>
      <c r="BK597" s="91">
        <f t="shared" si="100"/>
        <v>0</v>
      </c>
      <c r="BL597" s="92">
        <f t="shared" si="101"/>
        <v>0</v>
      </c>
      <c r="BM597" s="95"/>
    </row>
    <row r="598" spans="1:65">
      <c r="A598" s="61">
        <f t="shared" si="78"/>
        <v>0</v>
      </c>
      <c r="B598" s="62"/>
      <c r="C598" s="62"/>
      <c r="D598" s="63"/>
      <c r="E598" s="64"/>
      <c r="F598" s="64"/>
      <c r="G598" s="65"/>
      <c r="H598" s="66" t="str">
        <f t="shared" si="79"/>
        <v/>
      </c>
      <c r="I598" s="67" t="str">
        <f t="shared" si="80"/>
        <v/>
      </c>
      <c r="J598" s="68" t="str">
        <f t="shared" si="81"/>
        <v/>
      </c>
      <c r="K598" s="69" t="str">
        <f t="shared" si="82"/>
        <v/>
      </c>
      <c r="L598" s="70" t="str">
        <f t="shared" si="83"/>
        <v/>
      </c>
      <c r="M598" s="71"/>
      <c r="N598" s="71"/>
      <c r="O598" s="71"/>
      <c r="P598" s="71"/>
      <c r="Q598" s="61"/>
      <c r="R598" s="63"/>
      <c r="S598" s="72"/>
      <c r="T598" s="61"/>
      <c r="U598" s="73"/>
      <c r="V598" s="62"/>
      <c r="W598" s="62"/>
      <c r="X598" s="62"/>
      <c r="Y598" s="93"/>
      <c r="Z598" s="94"/>
      <c r="AA598" s="74"/>
      <c r="AB598" s="75"/>
      <c r="AC598" s="75"/>
      <c r="AD598" s="76"/>
      <c r="AE598" s="77"/>
      <c r="AF598" s="75"/>
      <c r="AG598" s="78"/>
      <c r="AH598" s="79"/>
      <c r="AI598" s="74"/>
      <c r="AJ598" s="75"/>
      <c r="AK598" s="75"/>
      <c r="AL598" s="80">
        <f t="shared" si="84"/>
        <v>0</v>
      </c>
      <c r="AM598" s="74"/>
      <c r="AN598" s="74"/>
      <c r="AO598" s="81" t="str">
        <f t="shared" si="85"/>
        <v/>
      </c>
      <c r="AP598" s="82"/>
      <c r="AQ598" s="75"/>
      <c r="AR598" s="75"/>
      <c r="AS598" s="80">
        <f t="shared" si="86"/>
        <v>0</v>
      </c>
      <c r="AT598" s="74"/>
      <c r="AU598" s="75"/>
      <c r="AV598" s="75"/>
      <c r="AW598" s="75"/>
      <c r="AX598" s="80">
        <f t="shared" si="87"/>
        <v>0</v>
      </c>
      <c r="AY598" s="81" t="str">
        <f t="shared" si="88"/>
        <v/>
      </c>
      <c r="AZ598" s="83" t="str">
        <f t="shared" si="89"/>
        <v/>
      </c>
      <c r="BA598" s="80" t="str">
        <f t="shared" si="90"/>
        <v/>
      </c>
      <c r="BB598" s="84">
        <f t="shared" si="91"/>
        <v>0</v>
      </c>
      <c r="BC598" s="85" t="str">
        <f t="shared" si="92"/>
        <v/>
      </c>
      <c r="BD598" s="86" t="str">
        <f t="shared" si="93"/>
        <v/>
      </c>
      <c r="BE598" s="84">
        <f t="shared" si="94"/>
        <v>0</v>
      </c>
      <c r="BF598" s="87" t="str">
        <f t="shared" si="95"/>
        <v/>
      </c>
      <c r="BG598" s="88" t="str">
        <f t="shared" si="96"/>
        <v/>
      </c>
      <c r="BH598" s="89" t="str">
        <f t="shared" si="97"/>
        <v/>
      </c>
      <c r="BI598" s="90" t="str">
        <f t="shared" si="98"/>
        <v/>
      </c>
      <c r="BJ598" s="90" t="str">
        <f t="shared" si="99"/>
        <v/>
      </c>
      <c r="BK598" s="91">
        <f t="shared" si="100"/>
        <v>0</v>
      </c>
      <c r="BL598" s="92">
        <f t="shared" si="101"/>
        <v>0</v>
      </c>
      <c r="BM598" s="95"/>
    </row>
    <row r="599" spans="1:65">
      <c r="A599" s="61">
        <f t="shared" si="78"/>
        <v>0</v>
      </c>
      <c r="B599" s="62"/>
      <c r="C599" s="62"/>
      <c r="D599" s="63"/>
      <c r="E599" s="64"/>
      <c r="F599" s="64"/>
      <c r="G599" s="65"/>
      <c r="H599" s="66" t="str">
        <f t="shared" si="79"/>
        <v/>
      </c>
      <c r="I599" s="67" t="str">
        <f t="shared" si="80"/>
        <v/>
      </c>
      <c r="J599" s="68" t="str">
        <f t="shared" si="81"/>
        <v/>
      </c>
      <c r="K599" s="69" t="str">
        <f t="shared" si="82"/>
        <v/>
      </c>
      <c r="L599" s="70" t="str">
        <f t="shared" si="83"/>
        <v/>
      </c>
      <c r="M599" s="71"/>
      <c r="N599" s="71"/>
      <c r="O599" s="71"/>
      <c r="P599" s="71"/>
      <c r="Q599" s="61"/>
      <c r="R599" s="63"/>
      <c r="S599" s="72"/>
      <c r="T599" s="61"/>
      <c r="U599" s="73"/>
      <c r="V599" s="62"/>
      <c r="W599" s="62"/>
      <c r="X599" s="62"/>
      <c r="Y599" s="93"/>
      <c r="Z599" s="94"/>
      <c r="AA599" s="74"/>
      <c r="AB599" s="75"/>
      <c r="AC599" s="75"/>
      <c r="AD599" s="76"/>
      <c r="AE599" s="77"/>
      <c r="AF599" s="75"/>
      <c r="AG599" s="78"/>
      <c r="AH599" s="79"/>
      <c r="AI599" s="74"/>
      <c r="AJ599" s="75"/>
      <c r="AK599" s="75"/>
      <c r="AL599" s="80">
        <f t="shared" si="84"/>
        <v>0</v>
      </c>
      <c r="AM599" s="74"/>
      <c r="AN599" s="74"/>
      <c r="AO599" s="81" t="str">
        <f t="shared" si="85"/>
        <v/>
      </c>
      <c r="AP599" s="82"/>
      <c r="AQ599" s="75"/>
      <c r="AR599" s="75"/>
      <c r="AS599" s="80">
        <f t="shared" si="86"/>
        <v>0</v>
      </c>
      <c r="AT599" s="74"/>
      <c r="AU599" s="75"/>
      <c r="AV599" s="75"/>
      <c r="AW599" s="75"/>
      <c r="AX599" s="80">
        <f t="shared" si="87"/>
        <v>0</v>
      </c>
      <c r="AY599" s="81" t="str">
        <f t="shared" si="88"/>
        <v/>
      </c>
      <c r="AZ599" s="83" t="str">
        <f t="shared" si="89"/>
        <v/>
      </c>
      <c r="BA599" s="80" t="str">
        <f t="shared" si="90"/>
        <v/>
      </c>
      <c r="BB599" s="84">
        <f t="shared" si="91"/>
        <v>0</v>
      </c>
      <c r="BC599" s="85" t="str">
        <f t="shared" si="92"/>
        <v/>
      </c>
      <c r="BD599" s="86" t="str">
        <f t="shared" si="93"/>
        <v/>
      </c>
      <c r="BE599" s="84">
        <f t="shared" si="94"/>
        <v>0</v>
      </c>
      <c r="BF599" s="87" t="str">
        <f t="shared" si="95"/>
        <v/>
      </c>
      <c r="BG599" s="88" t="str">
        <f t="shared" si="96"/>
        <v/>
      </c>
      <c r="BH599" s="89" t="str">
        <f t="shared" si="97"/>
        <v/>
      </c>
      <c r="BI599" s="90" t="str">
        <f t="shared" si="98"/>
        <v/>
      </c>
      <c r="BJ599" s="90" t="str">
        <f t="shared" si="99"/>
        <v/>
      </c>
      <c r="BK599" s="91">
        <f t="shared" si="100"/>
        <v>0</v>
      </c>
      <c r="BL599" s="92">
        <f t="shared" si="101"/>
        <v>0</v>
      </c>
      <c r="BM599" s="95"/>
    </row>
    <row r="600" spans="1:65">
      <c r="A600" s="61">
        <f t="shared" si="78"/>
        <v>0</v>
      </c>
      <c r="B600" s="62"/>
      <c r="C600" s="62"/>
      <c r="D600" s="63"/>
      <c r="E600" s="64"/>
      <c r="F600" s="64"/>
      <c r="G600" s="65"/>
      <c r="H600" s="66" t="str">
        <f t="shared" si="79"/>
        <v/>
      </c>
      <c r="I600" s="67" t="str">
        <f t="shared" si="80"/>
        <v/>
      </c>
      <c r="J600" s="68" t="str">
        <f t="shared" si="81"/>
        <v/>
      </c>
      <c r="K600" s="69" t="str">
        <f t="shared" si="82"/>
        <v/>
      </c>
      <c r="L600" s="70" t="str">
        <f t="shared" si="83"/>
        <v/>
      </c>
      <c r="M600" s="71"/>
      <c r="N600" s="71"/>
      <c r="O600" s="71"/>
      <c r="P600" s="71"/>
      <c r="Q600" s="61"/>
      <c r="R600" s="63"/>
      <c r="S600" s="72"/>
      <c r="T600" s="61"/>
      <c r="U600" s="73"/>
      <c r="V600" s="62"/>
      <c r="W600" s="62"/>
      <c r="X600" s="62"/>
      <c r="Y600" s="93"/>
      <c r="Z600" s="94"/>
      <c r="AA600" s="74"/>
      <c r="AB600" s="75"/>
      <c r="AC600" s="75"/>
      <c r="AD600" s="76"/>
      <c r="AE600" s="77"/>
      <c r="AF600" s="75"/>
      <c r="AG600" s="78"/>
      <c r="AH600" s="79"/>
      <c r="AI600" s="74"/>
      <c r="AJ600" s="75"/>
      <c r="AK600" s="75"/>
      <c r="AL600" s="80">
        <f t="shared" si="84"/>
        <v>0</v>
      </c>
      <c r="AM600" s="74"/>
      <c r="AN600" s="74"/>
      <c r="AO600" s="81" t="str">
        <f t="shared" si="85"/>
        <v/>
      </c>
      <c r="AP600" s="82"/>
      <c r="AQ600" s="75"/>
      <c r="AR600" s="75"/>
      <c r="AS600" s="80">
        <f t="shared" si="86"/>
        <v>0</v>
      </c>
      <c r="AT600" s="74"/>
      <c r="AU600" s="75"/>
      <c r="AV600" s="75"/>
      <c r="AW600" s="75"/>
      <c r="AX600" s="80">
        <f t="shared" si="87"/>
        <v>0</v>
      </c>
      <c r="AY600" s="81" t="str">
        <f t="shared" si="88"/>
        <v/>
      </c>
      <c r="AZ600" s="83" t="str">
        <f t="shared" si="89"/>
        <v/>
      </c>
      <c r="BA600" s="80" t="str">
        <f t="shared" si="90"/>
        <v/>
      </c>
      <c r="BB600" s="84">
        <f t="shared" si="91"/>
        <v>0</v>
      </c>
      <c r="BC600" s="85" t="str">
        <f t="shared" si="92"/>
        <v/>
      </c>
      <c r="BD600" s="86" t="str">
        <f t="shared" si="93"/>
        <v/>
      </c>
      <c r="BE600" s="84">
        <f t="shared" si="94"/>
        <v>0</v>
      </c>
      <c r="BF600" s="87" t="str">
        <f t="shared" si="95"/>
        <v/>
      </c>
      <c r="BG600" s="88" t="str">
        <f t="shared" si="96"/>
        <v/>
      </c>
      <c r="BH600" s="89" t="str">
        <f t="shared" si="97"/>
        <v/>
      </c>
      <c r="BI600" s="90" t="str">
        <f t="shared" si="98"/>
        <v/>
      </c>
      <c r="BJ600" s="90" t="str">
        <f t="shared" si="99"/>
        <v/>
      </c>
      <c r="BK600" s="91">
        <f t="shared" si="100"/>
        <v>0</v>
      </c>
      <c r="BL600" s="92">
        <f t="shared" si="101"/>
        <v>0</v>
      </c>
      <c r="BM600" s="95"/>
    </row>
    <row r="601" spans="1:65">
      <c r="A601" s="61">
        <f t="shared" si="78"/>
        <v>0</v>
      </c>
      <c r="B601" s="62"/>
      <c r="C601" s="62"/>
      <c r="D601" s="63"/>
      <c r="E601" s="64"/>
      <c r="F601" s="64"/>
      <c r="G601" s="65"/>
      <c r="H601" s="66" t="str">
        <f t="shared" si="79"/>
        <v/>
      </c>
      <c r="I601" s="67" t="str">
        <f t="shared" si="80"/>
        <v/>
      </c>
      <c r="J601" s="68" t="str">
        <f t="shared" si="81"/>
        <v/>
      </c>
      <c r="K601" s="69" t="str">
        <f t="shared" si="82"/>
        <v/>
      </c>
      <c r="L601" s="70" t="str">
        <f t="shared" si="83"/>
        <v/>
      </c>
      <c r="M601" s="71"/>
      <c r="N601" s="71"/>
      <c r="O601" s="71"/>
      <c r="P601" s="71"/>
      <c r="Q601" s="61"/>
      <c r="R601" s="63"/>
      <c r="S601" s="72"/>
      <c r="T601" s="61"/>
      <c r="U601" s="73"/>
      <c r="V601" s="62"/>
      <c r="W601" s="62"/>
      <c r="X601" s="62"/>
      <c r="Y601" s="93"/>
      <c r="Z601" s="94"/>
      <c r="AA601" s="74"/>
      <c r="AB601" s="75"/>
      <c r="AC601" s="75"/>
      <c r="AD601" s="76"/>
      <c r="AE601" s="77"/>
      <c r="AF601" s="75"/>
      <c r="AG601" s="78"/>
      <c r="AH601" s="79"/>
      <c r="AI601" s="74"/>
      <c r="AJ601" s="75"/>
      <c r="AK601" s="75"/>
      <c r="AL601" s="80">
        <f t="shared" si="84"/>
        <v>0</v>
      </c>
      <c r="AM601" s="74"/>
      <c r="AN601" s="74"/>
      <c r="AO601" s="81" t="str">
        <f t="shared" si="85"/>
        <v/>
      </c>
      <c r="AP601" s="82"/>
      <c r="AQ601" s="75"/>
      <c r="AR601" s="75"/>
      <c r="AS601" s="80">
        <f t="shared" si="86"/>
        <v>0</v>
      </c>
      <c r="AT601" s="74"/>
      <c r="AU601" s="75"/>
      <c r="AV601" s="75"/>
      <c r="AW601" s="75"/>
      <c r="AX601" s="80">
        <f t="shared" si="87"/>
        <v>0</v>
      </c>
      <c r="AY601" s="81" t="str">
        <f t="shared" si="88"/>
        <v/>
      </c>
      <c r="AZ601" s="83" t="str">
        <f t="shared" si="89"/>
        <v/>
      </c>
      <c r="BA601" s="80" t="str">
        <f t="shared" si="90"/>
        <v/>
      </c>
      <c r="BB601" s="84">
        <f t="shared" si="91"/>
        <v>0</v>
      </c>
      <c r="BC601" s="85" t="str">
        <f t="shared" si="92"/>
        <v/>
      </c>
      <c r="BD601" s="86" t="str">
        <f t="shared" si="93"/>
        <v/>
      </c>
      <c r="BE601" s="84">
        <f t="shared" si="94"/>
        <v>0</v>
      </c>
      <c r="BF601" s="87" t="str">
        <f t="shared" si="95"/>
        <v/>
      </c>
      <c r="BG601" s="88" t="str">
        <f t="shared" si="96"/>
        <v/>
      </c>
      <c r="BH601" s="89" t="str">
        <f t="shared" si="97"/>
        <v/>
      </c>
      <c r="BI601" s="90" t="str">
        <f t="shared" si="98"/>
        <v/>
      </c>
      <c r="BJ601" s="90" t="str">
        <f t="shared" si="99"/>
        <v/>
      </c>
      <c r="BK601" s="91">
        <f t="shared" si="100"/>
        <v>0</v>
      </c>
      <c r="BL601" s="92">
        <f t="shared" si="101"/>
        <v>0</v>
      </c>
      <c r="BM601" s="95"/>
    </row>
    <row r="602" spans="1:65">
      <c r="A602" s="61">
        <f t="shared" si="78"/>
        <v>0</v>
      </c>
      <c r="B602" s="62"/>
      <c r="C602" s="62"/>
      <c r="D602" s="63"/>
      <c r="E602" s="64"/>
      <c r="F602" s="64"/>
      <c r="G602" s="65"/>
      <c r="H602" s="66" t="str">
        <f t="shared" si="79"/>
        <v/>
      </c>
      <c r="I602" s="67" t="str">
        <f t="shared" si="80"/>
        <v/>
      </c>
      <c r="J602" s="68" t="str">
        <f t="shared" si="81"/>
        <v/>
      </c>
      <c r="K602" s="69" t="str">
        <f t="shared" si="82"/>
        <v/>
      </c>
      <c r="L602" s="70" t="str">
        <f t="shared" si="83"/>
        <v/>
      </c>
      <c r="M602" s="71"/>
      <c r="N602" s="71"/>
      <c r="O602" s="71"/>
      <c r="P602" s="71"/>
      <c r="Q602" s="61"/>
      <c r="R602" s="63"/>
      <c r="S602" s="72"/>
      <c r="T602" s="61"/>
      <c r="U602" s="73"/>
      <c r="V602" s="62"/>
      <c r="W602" s="62"/>
      <c r="X602" s="62"/>
      <c r="Y602" s="93"/>
      <c r="Z602" s="94"/>
      <c r="AA602" s="74"/>
      <c r="AB602" s="75"/>
      <c r="AC602" s="75"/>
      <c r="AD602" s="76"/>
      <c r="AE602" s="77"/>
      <c r="AF602" s="75"/>
      <c r="AG602" s="78"/>
      <c r="AH602" s="79"/>
      <c r="AI602" s="74"/>
      <c r="AJ602" s="75"/>
      <c r="AK602" s="75"/>
      <c r="AL602" s="80">
        <f t="shared" si="84"/>
        <v>0</v>
      </c>
      <c r="AM602" s="74"/>
      <c r="AN602" s="74"/>
      <c r="AO602" s="81" t="str">
        <f t="shared" si="85"/>
        <v/>
      </c>
      <c r="AP602" s="82"/>
      <c r="AQ602" s="75"/>
      <c r="AR602" s="75"/>
      <c r="AS602" s="80">
        <f t="shared" si="86"/>
        <v>0</v>
      </c>
      <c r="AT602" s="74"/>
      <c r="AU602" s="75"/>
      <c r="AV602" s="75"/>
      <c r="AW602" s="75"/>
      <c r="AX602" s="80">
        <f t="shared" si="87"/>
        <v>0</v>
      </c>
      <c r="AY602" s="81" t="str">
        <f t="shared" si="88"/>
        <v/>
      </c>
      <c r="AZ602" s="83" t="str">
        <f t="shared" si="89"/>
        <v/>
      </c>
      <c r="BA602" s="80" t="str">
        <f t="shared" si="90"/>
        <v/>
      </c>
      <c r="BB602" s="84">
        <f t="shared" si="91"/>
        <v>0</v>
      </c>
      <c r="BC602" s="85" t="str">
        <f t="shared" si="92"/>
        <v/>
      </c>
      <c r="BD602" s="86" t="str">
        <f t="shared" si="93"/>
        <v/>
      </c>
      <c r="BE602" s="84">
        <f t="shared" si="94"/>
        <v>0</v>
      </c>
      <c r="BF602" s="87" t="str">
        <f t="shared" si="95"/>
        <v/>
      </c>
      <c r="BG602" s="88" t="str">
        <f t="shared" si="96"/>
        <v/>
      </c>
      <c r="BH602" s="89" t="str">
        <f t="shared" si="97"/>
        <v/>
      </c>
      <c r="BI602" s="90" t="str">
        <f t="shared" si="98"/>
        <v/>
      </c>
      <c r="BJ602" s="90" t="str">
        <f t="shared" si="99"/>
        <v/>
      </c>
      <c r="BK602" s="91">
        <f t="shared" si="100"/>
        <v>0</v>
      </c>
      <c r="BL602" s="92">
        <f t="shared" si="101"/>
        <v>0</v>
      </c>
      <c r="BM602" s="95"/>
    </row>
    <row r="603" spans="1:65">
      <c r="A603" s="61">
        <f t="shared" si="78"/>
        <v>0</v>
      </c>
      <c r="B603" s="62"/>
      <c r="C603" s="62"/>
      <c r="D603" s="63"/>
      <c r="E603" s="64"/>
      <c r="F603" s="64"/>
      <c r="G603" s="65"/>
      <c r="H603" s="66" t="str">
        <f t="shared" si="79"/>
        <v/>
      </c>
      <c r="I603" s="67" t="str">
        <f t="shared" si="80"/>
        <v/>
      </c>
      <c r="J603" s="68" t="str">
        <f t="shared" si="81"/>
        <v/>
      </c>
      <c r="K603" s="69" t="str">
        <f t="shared" si="82"/>
        <v/>
      </c>
      <c r="L603" s="70" t="str">
        <f t="shared" si="83"/>
        <v/>
      </c>
      <c r="M603" s="71"/>
      <c r="N603" s="71"/>
      <c r="O603" s="71"/>
      <c r="P603" s="71"/>
      <c r="Q603" s="61"/>
      <c r="R603" s="63"/>
      <c r="S603" s="72"/>
      <c r="T603" s="61"/>
      <c r="U603" s="73"/>
      <c r="V603" s="62"/>
      <c r="W603" s="62"/>
      <c r="X603" s="62"/>
      <c r="Y603" s="93"/>
      <c r="Z603" s="94"/>
      <c r="AA603" s="74"/>
      <c r="AB603" s="75"/>
      <c r="AC603" s="75"/>
      <c r="AD603" s="76"/>
      <c r="AE603" s="77"/>
      <c r="AF603" s="75"/>
      <c r="AG603" s="78"/>
      <c r="AH603" s="79"/>
      <c r="AI603" s="74"/>
      <c r="AJ603" s="75"/>
      <c r="AK603" s="75"/>
      <c r="AL603" s="80">
        <f t="shared" si="84"/>
        <v>0</v>
      </c>
      <c r="AM603" s="74"/>
      <c r="AN603" s="74"/>
      <c r="AO603" s="81" t="str">
        <f t="shared" si="85"/>
        <v/>
      </c>
      <c r="AP603" s="82"/>
      <c r="AQ603" s="75"/>
      <c r="AR603" s="75"/>
      <c r="AS603" s="80">
        <f t="shared" si="86"/>
        <v>0</v>
      </c>
      <c r="AT603" s="74"/>
      <c r="AU603" s="75"/>
      <c r="AV603" s="75"/>
      <c r="AW603" s="75"/>
      <c r="AX603" s="80">
        <f t="shared" si="87"/>
        <v>0</v>
      </c>
      <c r="AY603" s="81" t="str">
        <f t="shared" si="88"/>
        <v/>
      </c>
      <c r="AZ603" s="83" t="str">
        <f t="shared" si="89"/>
        <v/>
      </c>
      <c r="BA603" s="80" t="str">
        <f t="shared" si="90"/>
        <v/>
      </c>
      <c r="BB603" s="84">
        <f t="shared" si="91"/>
        <v>0</v>
      </c>
      <c r="BC603" s="85" t="str">
        <f t="shared" si="92"/>
        <v/>
      </c>
      <c r="BD603" s="86" t="str">
        <f t="shared" si="93"/>
        <v/>
      </c>
      <c r="BE603" s="84">
        <f t="shared" si="94"/>
        <v>0</v>
      </c>
      <c r="BF603" s="87" t="str">
        <f t="shared" si="95"/>
        <v/>
      </c>
      <c r="BG603" s="88" t="str">
        <f t="shared" si="96"/>
        <v/>
      </c>
      <c r="BH603" s="89" t="str">
        <f t="shared" si="97"/>
        <v/>
      </c>
      <c r="BI603" s="90" t="str">
        <f t="shared" si="98"/>
        <v/>
      </c>
      <c r="BJ603" s="90" t="str">
        <f t="shared" si="99"/>
        <v/>
      </c>
      <c r="BK603" s="91">
        <f t="shared" si="100"/>
        <v>0</v>
      </c>
      <c r="BL603" s="92">
        <f t="shared" si="101"/>
        <v>0</v>
      </c>
      <c r="BM603" s="95"/>
    </row>
    <row r="604" spans="1:65">
      <c r="A604" s="61">
        <f t="shared" si="78"/>
        <v>0</v>
      </c>
      <c r="B604" s="62"/>
      <c r="C604" s="62"/>
      <c r="D604" s="63"/>
      <c r="E604" s="64"/>
      <c r="F604" s="64"/>
      <c r="G604" s="65"/>
      <c r="H604" s="66" t="str">
        <f t="shared" si="79"/>
        <v/>
      </c>
      <c r="I604" s="67" t="str">
        <f t="shared" si="80"/>
        <v/>
      </c>
      <c r="J604" s="68" t="str">
        <f t="shared" si="81"/>
        <v/>
      </c>
      <c r="K604" s="69" t="str">
        <f t="shared" si="82"/>
        <v/>
      </c>
      <c r="L604" s="70" t="str">
        <f t="shared" si="83"/>
        <v/>
      </c>
      <c r="M604" s="71"/>
      <c r="N604" s="71"/>
      <c r="O604" s="71"/>
      <c r="P604" s="71"/>
      <c r="Q604" s="61"/>
      <c r="R604" s="63"/>
      <c r="S604" s="72"/>
      <c r="T604" s="61"/>
      <c r="U604" s="73"/>
      <c r="V604" s="62"/>
      <c r="W604" s="62"/>
      <c r="X604" s="62"/>
      <c r="Y604" s="93"/>
      <c r="Z604" s="94"/>
      <c r="AA604" s="74"/>
      <c r="AB604" s="75"/>
      <c r="AC604" s="75"/>
      <c r="AD604" s="76"/>
      <c r="AE604" s="77"/>
      <c r="AF604" s="75"/>
      <c r="AG604" s="78"/>
      <c r="AH604" s="79"/>
      <c r="AI604" s="74"/>
      <c r="AJ604" s="75"/>
      <c r="AK604" s="75"/>
      <c r="AL604" s="80">
        <f t="shared" si="84"/>
        <v>0</v>
      </c>
      <c r="AM604" s="74"/>
      <c r="AN604" s="74"/>
      <c r="AO604" s="81" t="str">
        <f t="shared" si="85"/>
        <v/>
      </c>
      <c r="AP604" s="82"/>
      <c r="AQ604" s="75"/>
      <c r="AR604" s="75"/>
      <c r="AS604" s="80">
        <f t="shared" si="86"/>
        <v>0</v>
      </c>
      <c r="AT604" s="74"/>
      <c r="AU604" s="75"/>
      <c r="AV604" s="75"/>
      <c r="AW604" s="75"/>
      <c r="AX604" s="80">
        <f t="shared" si="87"/>
        <v>0</v>
      </c>
      <c r="AY604" s="81" t="str">
        <f t="shared" si="88"/>
        <v/>
      </c>
      <c r="AZ604" s="83" t="str">
        <f t="shared" si="89"/>
        <v/>
      </c>
      <c r="BA604" s="80" t="str">
        <f t="shared" si="90"/>
        <v/>
      </c>
      <c r="BB604" s="84">
        <f t="shared" si="91"/>
        <v>0</v>
      </c>
      <c r="BC604" s="85" t="str">
        <f t="shared" si="92"/>
        <v/>
      </c>
      <c r="BD604" s="86" t="str">
        <f t="shared" si="93"/>
        <v/>
      </c>
      <c r="BE604" s="84">
        <f t="shared" si="94"/>
        <v>0</v>
      </c>
      <c r="BF604" s="87" t="str">
        <f t="shared" si="95"/>
        <v/>
      </c>
      <c r="BG604" s="88" t="str">
        <f t="shared" si="96"/>
        <v/>
      </c>
      <c r="BH604" s="89" t="str">
        <f t="shared" si="97"/>
        <v/>
      </c>
      <c r="BI604" s="90" t="str">
        <f t="shared" si="98"/>
        <v/>
      </c>
      <c r="BJ604" s="90" t="str">
        <f t="shared" si="99"/>
        <v/>
      </c>
      <c r="BK604" s="91">
        <f t="shared" si="100"/>
        <v>0</v>
      </c>
      <c r="BL604" s="92">
        <f t="shared" si="101"/>
        <v>0</v>
      </c>
      <c r="BM604" s="95"/>
    </row>
    <row r="605" spans="1:65">
      <c r="A605" s="61">
        <f t="shared" si="78"/>
        <v>0</v>
      </c>
      <c r="B605" s="62"/>
      <c r="C605" s="62"/>
      <c r="D605" s="63"/>
      <c r="E605" s="64"/>
      <c r="F605" s="64"/>
      <c r="G605" s="65"/>
      <c r="H605" s="66" t="str">
        <f t="shared" si="79"/>
        <v/>
      </c>
      <c r="I605" s="67" t="str">
        <f t="shared" si="80"/>
        <v/>
      </c>
      <c r="J605" s="68" t="str">
        <f t="shared" si="81"/>
        <v/>
      </c>
      <c r="K605" s="69" t="str">
        <f t="shared" si="82"/>
        <v/>
      </c>
      <c r="L605" s="70" t="str">
        <f t="shared" si="83"/>
        <v/>
      </c>
      <c r="M605" s="71"/>
      <c r="N605" s="71"/>
      <c r="O605" s="71"/>
      <c r="P605" s="71"/>
      <c r="Q605" s="61"/>
      <c r="R605" s="63"/>
      <c r="S605" s="72"/>
      <c r="T605" s="61"/>
      <c r="U605" s="73"/>
      <c r="V605" s="62"/>
      <c r="W605" s="62"/>
      <c r="X605" s="62"/>
      <c r="Y605" s="93"/>
      <c r="Z605" s="94"/>
      <c r="AA605" s="74"/>
      <c r="AB605" s="75"/>
      <c r="AC605" s="75"/>
      <c r="AD605" s="76"/>
      <c r="AE605" s="77"/>
      <c r="AF605" s="75"/>
      <c r="AG605" s="78"/>
      <c r="AH605" s="79"/>
      <c r="AI605" s="74"/>
      <c r="AJ605" s="75"/>
      <c r="AK605" s="75"/>
      <c r="AL605" s="80">
        <f t="shared" si="84"/>
        <v>0</v>
      </c>
      <c r="AM605" s="74"/>
      <c r="AN605" s="74"/>
      <c r="AO605" s="81" t="str">
        <f t="shared" si="85"/>
        <v/>
      </c>
      <c r="AP605" s="82"/>
      <c r="AQ605" s="75"/>
      <c r="AR605" s="75"/>
      <c r="AS605" s="80">
        <f t="shared" si="86"/>
        <v>0</v>
      </c>
      <c r="AT605" s="74"/>
      <c r="AU605" s="75"/>
      <c r="AV605" s="75"/>
      <c r="AW605" s="75"/>
      <c r="AX605" s="80">
        <f t="shared" si="87"/>
        <v>0</v>
      </c>
      <c r="AY605" s="81" t="str">
        <f t="shared" si="88"/>
        <v/>
      </c>
      <c r="AZ605" s="83" t="str">
        <f t="shared" si="89"/>
        <v/>
      </c>
      <c r="BA605" s="80" t="str">
        <f t="shared" si="90"/>
        <v/>
      </c>
      <c r="BB605" s="84">
        <f t="shared" si="91"/>
        <v>0</v>
      </c>
      <c r="BC605" s="85" t="str">
        <f t="shared" si="92"/>
        <v/>
      </c>
      <c r="BD605" s="86" t="str">
        <f t="shared" si="93"/>
        <v/>
      </c>
      <c r="BE605" s="84">
        <f t="shared" si="94"/>
        <v>0</v>
      </c>
      <c r="BF605" s="87" t="str">
        <f t="shared" si="95"/>
        <v/>
      </c>
      <c r="BG605" s="88" t="str">
        <f t="shared" si="96"/>
        <v/>
      </c>
      <c r="BH605" s="89" t="str">
        <f t="shared" si="97"/>
        <v/>
      </c>
      <c r="BI605" s="90" t="str">
        <f t="shared" si="98"/>
        <v/>
      </c>
      <c r="BJ605" s="90" t="str">
        <f t="shared" si="99"/>
        <v/>
      </c>
      <c r="BK605" s="91">
        <f t="shared" si="100"/>
        <v>0</v>
      </c>
      <c r="BL605" s="92">
        <f t="shared" si="101"/>
        <v>0</v>
      </c>
      <c r="BM605" s="95"/>
    </row>
    <row r="606" spans="1:65">
      <c r="A606" s="61">
        <f t="shared" si="78"/>
        <v>0</v>
      </c>
      <c r="B606" s="62"/>
      <c r="C606" s="62"/>
      <c r="D606" s="63"/>
      <c r="E606" s="64"/>
      <c r="F606" s="64"/>
      <c r="G606" s="65"/>
      <c r="H606" s="66" t="str">
        <f t="shared" si="79"/>
        <v/>
      </c>
      <c r="I606" s="67" t="str">
        <f t="shared" si="80"/>
        <v/>
      </c>
      <c r="J606" s="68" t="str">
        <f t="shared" si="81"/>
        <v/>
      </c>
      <c r="K606" s="69" t="str">
        <f t="shared" si="82"/>
        <v/>
      </c>
      <c r="L606" s="70" t="str">
        <f t="shared" si="83"/>
        <v/>
      </c>
      <c r="M606" s="71"/>
      <c r="N606" s="71"/>
      <c r="O606" s="71"/>
      <c r="P606" s="71"/>
      <c r="Q606" s="61"/>
      <c r="R606" s="63"/>
      <c r="S606" s="72"/>
      <c r="T606" s="61"/>
      <c r="U606" s="73"/>
      <c r="V606" s="62"/>
      <c r="W606" s="62"/>
      <c r="X606" s="62"/>
      <c r="Y606" s="93"/>
      <c r="Z606" s="94"/>
      <c r="AA606" s="74"/>
      <c r="AB606" s="75"/>
      <c r="AC606" s="75"/>
      <c r="AD606" s="76"/>
      <c r="AE606" s="77"/>
      <c r="AF606" s="75"/>
      <c r="AG606" s="78"/>
      <c r="AH606" s="79"/>
      <c r="AI606" s="74"/>
      <c r="AJ606" s="75"/>
      <c r="AK606" s="75"/>
      <c r="AL606" s="80">
        <f t="shared" si="84"/>
        <v>0</v>
      </c>
      <c r="AM606" s="74"/>
      <c r="AN606" s="74"/>
      <c r="AO606" s="81" t="str">
        <f t="shared" si="85"/>
        <v/>
      </c>
      <c r="AP606" s="82"/>
      <c r="AQ606" s="75"/>
      <c r="AR606" s="75"/>
      <c r="AS606" s="80">
        <f t="shared" si="86"/>
        <v>0</v>
      </c>
      <c r="AT606" s="74"/>
      <c r="AU606" s="75"/>
      <c r="AV606" s="75"/>
      <c r="AW606" s="75"/>
      <c r="AX606" s="80">
        <f t="shared" si="87"/>
        <v>0</v>
      </c>
      <c r="AY606" s="81" t="str">
        <f t="shared" si="88"/>
        <v/>
      </c>
      <c r="AZ606" s="83" t="str">
        <f t="shared" si="89"/>
        <v/>
      </c>
      <c r="BA606" s="80" t="str">
        <f t="shared" si="90"/>
        <v/>
      </c>
      <c r="BB606" s="84">
        <f t="shared" si="91"/>
        <v>0</v>
      </c>
      <c r="BC606" s="85" t="str">
        <f t="shared" si="92"/>
        <v/>
      </c>
      <c r="BD606" s="86" t="str">
        <f t="shared" si="93"/>
        <v/>
      </c>
      <c r="BE606" s="84">
        <f t="shared" si="94"/>
        <v>0</v>
      </c>
      <c r="BF606" s="87" t="str">
        <f t="shared" si="95"/>
        <v/>
      </c>
      <c r="BG606" s="88" t="str">
        <f t="shared" si="96"/>
        <v/>
      </c>
      <c r="BH606" s="89" t="str">
        <f t="shared" si="97"/>
        <v/>
      </c>
      <c r="BI606" s="90" t="str">
        <f t="shared" si="98"/>
        <v/>
      </c>
      <c r="BJ606" s="90" t="str">
        <f t="shared" si="99"/>
        <v/>
      </c>
      <c r="BK606" s="91">
        <f t="shared" si="100"/>
        <v>0</v>
      </c>
      <c r="BL606" s="92">
        <f t="shared" si="101"/>
        <v>0</v>
      </c>
      <c r="BM606" s="95"/>
    </row>
    <row r="607" spans="1:65">
      <c r="A607" s="61">
        <f t="shared" si="78"/>
        <v>0</v>
      </c>
      <c r="B607" s="62"/>
      <c r="C607" s="62"/>
      <c r="D607" s="63"/>
      <c r="E607" s="64"/>
      <c r="F607" s="64"/>
      <c r="G607" s="65"/>
      <c r="H607" s="66" t="str">
        <f t="shared" si="79"/>
        <v/>
      </c>
      <c r="I607" s="67" t="str">
        <f t="shared" si="80"/>
        <v/>
      </c>
      <c r="J607" s="68" t="str">
        <f t="shared" si="81"/>
        <v/>
      </c>
      <c r="K607" s="69" t="str">
        <f t="shared" si="82"/>
        <v/>
      </c>
      <c r="L607" s="70" t="str">
        <f t="shared" si="83"/>
        <v/>
      </c>
      <c r="M607" s="71"/>
      <c r="N607" s="71"/>
      <c r="O607" s="71"/>
      <c r="P607" s="71"/>
      <c r="Q607" s="61"/>
      <c r="R607" s="63"/>
      <c r="S607" s="72"/>
      <c r="T607" s="61"/>
      <c r="U607" s="73"/>
      <c r="V607" s="62"/>
      <c r="W607" s="62"/>
      <c r="X607" s="62"/>
      <c r="Y607" s="93"/>
      <c r="Z607" s="94"/>
      <c r="AA607" s="74"/>
      <c r="AB607" s="75"/>
      <c r="AC607" s="75"/>
      <c r="AD607" s="76"/>
      <c r="AE607" s="77"/>
      <c r="AF607" s="75"/>
      <c r="AG607" s="78"/>
      <c r="AH607" s="79"/>
      <c r="AI607" s="74"/>
      <c r="AJ607" s="75"/>
      <c r="AK607" s="75"/>
      <c r="AL607" s="80">
        <f t="shared" si="84"/>
        <v>0</v>
      </c>
      <c r="AM607" s="74"/>
      <c r="AN607" s="74"/>
      <c r="AO607" s="81" t="str">
        <f t="shared" si="85"/>
        <v/>
      </c>
      <c r="AP607" s="82"/>
      <c r="AQ607" s="75"/>
      <c r="AR607" s="75"/>
      <c r="AS607" s="80">
        <f t="shared" si="86"/>
        <v>0</v>
      </c>
      <c r="AT607" s="74"/>
      <c r="AU607" s="75"/>
      <c r="AV607" s="75"/>
      <c r="AW607" s="75"/>
      <c r="AX607" s="80">
        <f t="shared" si="87"/>
        <v>0</v>
      </c>
      <c r="AY607" s="81" t="str">
        <f t="shared" si="88"/>
        <v/>
      </c>
      <c r="AZ607" s="83" t="str">
        <f t="shared" si="89"/>
        <v/>
      </c>
      <c r="BA607" s="80" t="str">
        <f t="shared" si="90"/>
        <v/>
      </c>
      <c r="BB607" s="84">
        <f t="shared" si="91"/>
        <v>0</v>
      </c>
      <c r="BC607" s="85" t="str">
        <f t="shared" si="92"/>
        <v/>
      </c>
      <c r="BD607" s="86" t="str">
        <f t="shared" si="93"/>
        <v/>
      </c>
      <c r="BE607" s="84">
        <f t="shared" si="94"/>
        <v>0</v>
      </c>
      <c r="BF607" s="87" t="str">
        <f t="shared" si="95"/>
        <v/>
      </c>
      <c r="BG607" s="88" t="str">
        <f t="shared" si="96"/>
        <v/>
      </c>
      <c r="BH607" s="89" t="str">
        <f t="shared" si="97"/>
        <v/>
      </c>
      <c r="BI607" s="90" t="str">
        <f t="shared" si="98"/>
        <v/>
      </c>
      <c r="BJ607" s="90" t="str">
        <f t="shared" si="99"/>
        <v/>
      </c>
      <c r="BK607" s="91">
        <f t="shared" si="100"/>
        <v>0</v>
      </c>
      <c r="BL607" s="92">
        <f t="shared" si="101"/>
        <v>0</v>
      </c>
      <c r="BM607" s="95"/>
    </row>
    <row r="608" spans="1:65">
      <c r="A608" s="61">
        <f t="shared" si="78"/>
        <v>0</v>
      </c>
      <c r="B608" s="62"/>
      <c r="C608" s="62"/>
      <c r="D608" s="63"/>
      <c r="E608" s="64"/>
      <c r="F608" s="64"/>
      <c r="G608" s="65"/>
      <c r="H608" s="66" t="str">
        <f t="shared" si="79"/>
        <v/>
      </c>
      <c r="I608" s="67" t="str">
        <f t="shared" si="80"/>
        <v/>
      </c>
      <c r="J608" s="68" t="str">
        <f t="shared" si="81"/>
        <v/>
      </c>
      <c r="K608" s="69" t="str">
        <f t="shared" si="82"/>
        <v/>
      </c>
      <c r="L608" s="70" t="str">
        <f t="shared" si="83"/>
        <v/>
      </c>
      <c r="M608" s="71"/>
      <c r="N608" s="71"/>
      <c r="O608" s="71"/>
      <c r="P608" s="71"/>
      <c r="Q608" s="61"/>
      <c r="R608" s="63"/>
      <c r="S608" s="72"/>
      <c r="T608" s="61"/>
      <c r="U608" s="73"/>
      <c r="V608" s="62"/>
      <c r="W608" s="62"/>
      <c r="X608" s="62"/>
      <c r="Y608" s="93"/>
      <c r="Z608" s="94"/>
      <c r="AA608" s="74"/>
      <c r="AB608" s="75"/>
      <c r="AC608" s="75"/>
      <c r="AD608" s="76"/>
      <c r="AE608" s="77"/>
      <c r="AF608" s="75"/>
      <c r="AG608" s="78"/>
      <c r="AH608" s="79"/>
      <c r="AI608" s="74"/>
      <c r="AJ608" s="75"/>
      <c r="AK608" s="75"/>
      <c r="AL608" s="80">
        <f t="shared" si="84"/>
        <v>0</v>
      </c>
      <c r="AM608" s="74"/>
      <c r="AN608" s="74"/>
      <c r="AO608" s="81" t="str">
        <f t="shared" si="85"/>
        <v/>
      </c>
      <c r="AP608" s="82"/>
      <c r="AQ608" s="75"/>
      <c r="AR608" s="75"/>
      <c r="AS608" s="80">
        <f t="shared" si="86"/>
        <v>0</v>
      </c>
      <c r="AT608" s="74"/>
      <c r="AU608" s="75"/>
      <c r="AV608" s="75"/>
      <c r="AW608" s="75"/>
      <c r="AX608" s="80">
        <f t="shared" si="87"/>
        <v>0</v>
      </c>
      <c r="AY608" s="81" t="str">
        <f t="shared" si="88"/>
        <v/>
      </c>
      <c r="AZ608" s="83" t="str">
        <f t="shared" si="89"/>
        <v/>
      </c>
      <c r="BA608" s="80" t="str">
        <f t="shared" si="90"/>
        <v/>
      </c>
      <c r="BB608" s="84">
        <f t="shared" si="91"/>
        <v>0</v>
      </c>
      <c r="BC608" s="85" t="str">
        <f t="shared" si="92"/>
        <v/>
      </c>
      <c r="BD608" s="86" t="str">
        <f t="shared" si="93"/>
        <v/>
      </c>
      <c r="BE608" s="84">
        <f t="shared" si="94"/>
        <v>0</v>
      </c>
      <c r="BF608" s="87" t="str">
        <f t="shared" si="95"/>
        <v/>
      </c>
      <c r="BG608" s="88" t="str">
        <f t="shared" si="96"/>
        <v/>
      </c>
      <c r="BH608" s="89" t="str">
        <f t="shared" si="97"/>
        <v/>
      </c>
      <c r="BI608" s="90" t="str">
        <f t="shared" si="98"/>
        <v/>
      </c>
      <c r="BJ608" s="90" t="str">
        <f t="shared" si="99"/>
        <v/>
      </c>
      <c r="BK608" s="91">
        <f t="shared" si="100"/>
        <v>0</v>
      </c>
      <c r="BL608" s="92">
        <f t="shared" si="101"/>
        <v>0</v>
      </c>
      <c r="BM608" s="95"/>
    </row>
    <row r="609" spans="1:65">
      <c r="A609" s="61">
        <f t="shared" si="78"/>
        <v>0</v>
      </c>
      <c r="B609" s="62"/>
      <c r="C609" s="62"/>
      <c r="D609" s="63"/>
      <c r="E609" s="64"/>
      <c r="F609" s="64"/>
      <c r="G609" s="65"/>
      <c r="H609" s="66" t="str">
        <f t="shared" si="79"/>
        <v/>
      </c>
      <c r="I609" s="67" t="str">
        <f t="shared" si="80"/>
        <v/>
      </c>
      <c r="J609" s="68" t="str">
        <f t="shared" si="81"/>
        <v/>
      </c>
      <c r="K609" s="69" t="str">
        <f t="shared" si="82"/>
        <v/>
      </c>
      <c r="L609" s="70" t="str">
        <f t="shared" si="83"/>
        <v/>
      </c>
      <c r="M609" s="71"/>
      <c r="N609" s="71"/>
      <c r="O609" s="71"/>
      <c r="P609" s="71"/>
      <c r="Q609" s="61"/>
      <c r="R609" s="63"/>
      <c r="S609" s="72"/>
      <c r="T609" s="61"/>
      <c r="U609" s="73"/>
      <c r="V609" s="62"/>
      <c r="W609" s="62"/>
      <c r="X609" s="62"/>
      <c r="Y609" s="93"/>
      <c r="Z609" s="94"/>
      <c r="AA609" s="74"/>
      <c r="AB609" s="75"/>
      <c r="AC609" s="75"/>
      <c r="AD609" s="76"/>
      <c r="AE609" s="77"/>
      <c r="AF609" s="75"/>
      <c r="AG609" s="78"/>
      <c r="AH609" s="79"/>
      <c r="AI609" s="74"/>
      <c r="AJ609" s="75"/>
      <c r="AK609" s="75"/>
      <c r="AL609" s="80">
        <f t="shared" si="84"/>
        <v>0</v>
      </c>
      <c r="AM609" s="74"/>
      <c r="AN609" s="74"/>
      <c r="AO609" s="81" t="str">
        <f t="shared" si="85"/>
        <v/>
      </c>
      <c r="AP609" s="82"/>
      <c r="AQ609" s="75"/>
      <c r="AR609" s="75"/>
      <c r="AS609" s="80">
        <f t="shared" si="86"/>
        <v>0</v>
      </c>
      <c r="AT609" s="74"/>
      <c r="AU609" s="75"/>
      <c r="AV609" s="75"/>
      <c r="AW609" s="75"/>
      <c r="AX609" s="80">
        <f t="shared" si="87"/>
        <v>0</v>
      </c>
      <c r="AY609" s="81" t="str">
        <f t="shared" si="88"/>
        <v/>
      </c>
      <c r="AZ609" s="83" t="str">
        <f t="shared" si="89"/>
        <v/>
      </c>
      <c r="BA609" s="80" t="str">
        <f t="shared" si="90"/>
        <v/>
      </c>
      <c r="BB609" s="84">
        <f t="shared" si="91"/>
        <v>0</v>
      </c>
      <c r="BC609" s="85" t="str">
        <f t="shared" si="92"/>
        <v/>
      </c>
      <c r="BD609" s="86" t="str">
        <f t="shared" si="93"/>
        <v/>
      </c>
      <c r="BE609" s="84">
        <f t="shared" si="94"/>
        <v>0</v>
      </c>
      <c r="BF609" s="87" t="str">
        <f t="shared" si="95"/>
        <v/>
      </c>
      <c r="BG609" s="88" t="str">
        <f t="shared" si="96"/>
        <v/>
      </c>
      <c r="BH609" s="89" t="str">
        <f t="shared" si="97"/>
        <v/>
      </c>
      <c r="BI609" s="90" t="str">
        <f t="shared" si="98"/>
        <v/>
      </c>
      <c r="BJ609" s="90" t="str">
        <f t="shared" si="99"/>
        <v/>
      </c>
      <c r="BK609" s="91">
        <f t="shared" si="100"/>
        <v>0</v>
      </c>
      <c r="BL609" s="92">
        <f t="shared" si="101"/>
        <v>0</v>
      </c>
      <c r="BM609" s="95"/>
    </row>
    <row r="610" spans="1:65">
      <c r="A610" s="61">
        <f t="shared" ref="A610:A673" si="102">B610</f>
        <v>0</v>
      </c>
      <c r="B610" s="62"/>
      <c r="C610" s="62"/>
      <c r="D610" s="63"/>
      <c r="E610" s="64"/>
      <c r="F610" s="64"/>
      <c r="G610" s="65"/>
      <c r="H610" s="66" t="str">
        <f t="shared" si="79"/>
        <v/>
      </c>
      <c r="I610" s="67" t="str">
        <f t="shared" si="80"/>
        <v/>
      </c>
      <c r="J610" s="68" t="str">
        <f t="shared" si="81"/>
        <v/>
      </c>
      <c r="K610" s="69" t="str">
        <f t="shared" si="82"/>
        <v/>
      </c>
      <c r="L610" s="70" t="str">
        <f t="shared" si="83"/>
        <v/>
      </c>
      <c r="M610" s="71"/>
      <c r="N610" s="71"/>
      <c r="O610" s="71"/>
      <c r="P610" s="71"/>
      <c r="Q610" s="61"/>
      <c r="R610" s="63"/>
      <c r="S610" s="72"/>
      <c r="T610" s="61"/>
      <c r="U610" s="73"/>
      <c r="V610" s="62"/>
      <c r="W610" s="62"/>
      <c r="X610" s="62"/>
      <c r="Y610" s="93"/>
      <c r="Z610" s="94"/>
      <c r="AA610" s="74"/>
      <c r="AB610" s="75"/>
      <c r="AC610" s="75"/>
      <c r="AD610" s="76"/>
      <c r="AE610" s="77"/>
      <c r="AF610" s="75"/>
      <c r="AG610" s="78"/>
      <c r="AH610" s="79"/>
      <c r="AI610" s="74"/>
      <c r="AJ610" s="75"/>
      <c r="AK610" s="75"/>
      <c r="AL610" s="80">
        <f t="shared" si="84"/>
        <v>0</v>
      </c>
      <c r="AM610" s="74"/>
      <c r="AN610" s="74"/>
      <c r="AO610" s="81" t="str">
        <f t="shared" si="85"/>
        <v/>
      </c>
      <c r="AP610" s="82"/>
      <c r="AQ610" s="75"/>
      <c r="AR610" s="75"/>
      <c r="AS610" s="80">
        <f t="shared" si="86"/>
        <v>0</v>
      </c>
      <c r="AT610" s="74"/>
      <c r="AU610" s="75"/>
      <c r="AV610" s="75"/>
      <c r="AW610" s="75"/>
      <c r="AX610" s="80">
        <f t="shared" si="87"/>
        <v>0</v>
      </c>
      <c r="AY610" s="81" t="str">
        <f t="shared" si="88"/>
        <v/>
      </c>
      <c r="AZ610" s="83" t="str">
        <f t="shared" si="89"/>
        <v/>
      </c>
      <c r="BA610" s="80" t="str">
        <f t="shared" si="90"/>
        <v/>
      </c>
      <c r="BB610" s="84">
        <f t="shared" si="91"/>
        <v>0</v>
      </c>
      <c r="BC610" s="85" t="str">
        <f t="shared" si="92"/>
        <v/>
      </c>
      <c r="BD610" s="86" t="str">
        <f t="shared" si="93"/>
        <v/>
      </c>
      <c r="BE610" s="84">
        <f t="shared" si="94"/>
        <v>0</v>
      </c>
      <c r="BF610" s="87" t="str">
        <f t="shared" si="95"/>
        <v/>
      </c>
      <c r="BG610" s="88" t="str">
        <f t="shared" si="96"/>
        <v/>
      </c>
      <c r="BH610" s="89" t="str">
        <f t="shared" si="97"/>
        <v/>
      </c>
      <c r="BI610" s="90" t="str">
        <f t="shared" si="98"/>
        <v/>
      </c>
      <c r="BJ610" s="90" t="str">
        <f t="shared" si="99"/>
        <v/>
      </c>
      <c r="BK610" s="91">
        <f t="shared" si="100"/>
        <v>0</v>
      </c>
      <c r="BL610" s="92">
        <f t="shared" si="101"/>
        <v>0</v>
      </c>
      <c r="BM610" s="95"/>
    </row>
    <row r="611" spans="1:65">
      <c r="A611" s="61">
        <f t="shared" si="102"/>
        <v>0</v>
      </c>
      <c r="B611" s="62"/>
      <c r="C611" s="62"/>
      <c r="D611" s="63"/>
      <c r="E611" s="64"/>
      <c r="F611" s="64"/>
      <c r="G611" s="65"/>
      <c r="H611" s="66" t="str">
        <f t="shared" si="79"/>
        <v/>
      </c>
      <c r="I611" s="67" t="str">
        <f t="shared" si="80"/>
        <v/>
      </c>
      <c r="J611" s="68" t="str">
        <f t="shared" si="81"/>
        <v/>
      </c>
      <c r="K611" s="69" t="str">
        <f t="shared" si="82"/>
        <v/>
      </c>
      <c r="L611" s="70" t="str">
        <f t="shared" si="83"/>
        <v/>
      </c>
      <c r="M611" s="71"/>
      <c r="N611" s="71"/>
      <c r="O611" s="71"/>
      <c r="P611" s="71"/>
      <c r="Q611" s="61"/>
      <c r="R611" s="63"/>
      <c r="S611" s="72"/>
      <c r="T611" s="61"/>
      <c r="U611" s="73"/>
      <c r="V611" s="62"/>
      <c r="W611" s="62"/>
      <c r="X611" s="62"/>
      <c r="Y611" s="93"/>
      <c r="Z611" s="94"/>
      <c r="AA611" s="74"/>
      <c r="AB611" s="75"/>
      <c r="AC611" s="75"/>
      <c r="AD611" s="76"/>
      <c r="AE611" s="77"/>
      <c r="AF611" s="75"/>
      <c r="AG611" s="78"/>
      <c r="AH611" s="79"/>
      <c r="AI611" s="74"/>
      <c r="AJ611" s="75"/>
      <c r="AK611" s="75"/>
      <c r="AL611" s="80">
        <f t="shared" si="84"/>
        <v>0</v>
      </c>
      <c r="AM611" s="74"/>
      <c r="AN611" s="74"/>
      <c r="AO611" s="81" t="str">
        <f t="shared" si="85"/>
        <v/>
      </c>
      <c r="AP611" s="82"/>
      <c r="AQ611" s="75"/>
      <c r="AR611" s="75"/>
      <c r="AS611" s="80">
        <f t="shared" si="86"/>
        <v>0</v>
      </c>
      <c r="AT611" s="74"/>
      <c r="AU611" s="75"/>
      <c r="AV611" s="75"/>
      <c r="AW611" s="75"/>
      <c r="AX611" s="80">
        <f t="shared" si="87"/>
        <v>0</v>
      </c>
      <c r="AY611" s="81" t="str">
        <f t="shared" si="88"/>
        <v/>
      </c>
      <c r="AZ611" s="83" t="str">
        <f t="shared" si="89"/>
        <v/>
      </c>
      <c r="BA611" s="80" t="str">
        <f t="shared" si="90"/>
        <v/>
      </c>
      <c r="BB611" s="84">
        <f t="shared" si="91"/>
        <v>0</v>
      </c>
      <c r="BC611" s="85" t="str">
        <f t="shared" si="92"/>
        <v/>
      </c>
      <c r="BD611" s="86" t="str">
        <f t="shared" si="93"/>
        <v/>
      </c>
      <c r="BE611" s="84">
        <f t="shared" si="94"/>
        <v>0</v>
      </c>
      <c r="BF611" s="87" t="str">
        <f t="shared" si="95"/>
        <v/>
      </c>
      <c r="BG611" s="88" t="str">
        <f t="shared" si="96"/>
        <v/>
      </c>
      <c r="BH611" s="89" t="str">
        <f t="shared" si="97"/>
        <v/>
      </c>
      <c r="BI611" s="90" t="str">
        <f t="shared" si="98"/>
        <v/>
      </c>
      <c r="BJ611" s="90" t="str">
        <f t="shared" si="99"/>
        <v/>
      </c>
      <c r="BK611" s="91">
        <f t="shared" si="100"/>
        <v>0</v>
      </c>
      <c r="BL611" s="92">
        <f t="shared" si="101"/>
        <v>0</v>
      </c>
      <c r="BM611" s="95"/>
    </row>
    <row r="612" spans="1:65">
      <c r="A612" s="61">
        <f t="shared" si="102"/>
        <v>0</v>
      </c>
      <c r="B612" s="62"/>
      <c r="C612" s="62"/>
      <c r="D612" s="63"/>
      <c r="E612" s="64"/>
      <c r="F612" s="64"/>
      <c r="G612" s="65"/>
      <c r="H612" s="66" t="str">
        <f t="shared" si="79"/>
        <v/>
      </c>
      <c r="I612" s="67" t="str">
        <f t="shared" si="80"/>
        <v/>
      </c>
      <c r="J612" s="68" t="str">
        <f t="shared" si="81"/>
        <v/>
      </c>
      <c r="K612" s="69" t="str">
        <f t="shared" si="82"/>
        <v/>
      </c>
      <c r="L612" s="70" t="str">
        <f t="shared" si="83"/>
        <v/>
      </c>
      <c r="M612" s="71"/>
      <c r="N612" s="71"/>
      <c r="O612" s="71"/>
      <c r="P612" s="71"/>
      <c r="Q612" s="61"/>
      <c r="R612" s="63"/>
      <c r="S612" s="72"/>
      <c r="T612" s="61"/>
      <c r="U612" s="73"/>
      <c r="V612" s="62"/>
      <c r="W612" s="62"/>
      <c r="X612" s="62"/>
      <c r="Y612" s="93"/>
      <c r="Z612" s="94"/>
      <c r="AA612" s="74"/>
      <c r="AB612" s="75"/>
      <c r="AC612" s="75"/>
      <c r="AD612" s="76"/>
      <c r="AE612" s="77"/>
      <c r="AF612" s="75"/>
      <c r="AG612" s="78"/>
      <c r="AH612" s="79"/>
      <c r="AI612" s="74"/>
      <c r="AJ612" s="75"/>
      <c r="AK612" s="75"/>
      <c r="AL612" s="80">
        <f t="shared" si="84"/>
        <v>0</v>
      </c>
      <c r="AM612" s="74"/>
      <c r="AN612" s="74"/>
      <c r="AO612" s="81" t="str">
        <f t="shared" si="85"/>
        <v/>
      </c>
      <c r="AP612" s="82"/>
      <c r="AQ612" s="75"/>
      <c r="AR612" s="75"/>
      <c r="AS612" s="80">
        <f t="shared" si="86"/>
        <v>0</v>
      </c>
      <c r="AT612" s="74"/>
      <c r="AU612" s="75"/>
      <c r="AV612" s="75"/>
      <c r="AW612" s="75"/>
      <c r="AX612" s="80">
        <f t="shared" si="87"/>
        <v>0</v>
      </c>
      <c r="AY612" s="81" t="str">
        <f t="shared" si="88"/>
        <v/>
      </c>
      <c r="AZ612" s="83" t="str">
        <f t="shared" si="89"/>
        <v/>
      </c>
      <c r="BA612" s="80" t="str">
        <f t="shared" si="90"/>
        <v/>
      </c>
      <c r="BB612" s="84">
        <f t="shared" si="91"/>
        <v>0</v>
      </c>
      <c r="BC612" s="85" t="str">
        <f t="shared" si="92"/>
        <v/>
      </c>
      <c r="BD612" s="86" t="str">
        <f t="shared" si="93"/>
        <v/>
      </c>
      <c r="BE612" s="84">
        <f t="shared" si="94"/>
        <v>0</v>
      </c>
      <c r="BF612" s="87" t="str">
        <f t="shared" si="95"/>
        <v/>
      </c>
      <c r="BG612" s="88" t="str">
        <f t="shared" si="96"/>
        <v/>
      </c>
      <c r="BH612" s="89" t="str">
        <f t="shared" si="97"/>
        <v/>
      </c>
      <c r="BI612" s="90" t="str">
        <f t="shared" si="98"/>
        <v/>
      </c>
      <c r="BJ612" s="90" t="str">
        <f t="shared" si="99"/>
        <v/>
      </c>
      <c r="BK612" s="91">
        <f t="shared" si="100"/>
        <v>0</v>
      </c>
      <c r="BL612" s="92">
        <f t="shared" si="101"/>
        <v>0</v>
      </c>
      <c r="BM612" s="95"/>
    </row>
    <row r="613" spans="1:65">
      <c r="A613" s="61">
        <f t="shared" si="102"/>
        <v>0</v>
      </c>
      <c r="B613" s="62"/>
      <c r="C613" s="62"/>
      <c r="D613" s="63"/>
      <c r="E613" s="64"/>
      <c r="F613" s="64"/>
      <c r="G613" s="65"/>
      <c r="H613" s="66" t="str">
        <f t="shared" si="79"/>
        <v/>
      </c>
      <c r="I613" s="67" t="str">
        <f t="shared" si="80"/>
        <v/>
      </c>
      <c r="J613" s="68" t="str">
        <f t="shared" si="81"/>
        <v/>
      </c>
      <c r="K613" s="69" t="str">
        <f t="shared" si="82"/>
        <v/>
      </c>
      <c r="L613" s="70" t="str">
        <f t="shared" si="83"/>
        <v/>
      </c>
      <c r="M613" s="71"/>
      <c r="N613" s="71"/>
      <c r="O613" s="71"/>
      <c r="P613" s="71"/>
      <c r="Q613" s="61"/>
      <c r="R613" s="63"/>
      <c r="S613" s="72"/>
      <c r="T613" s="61"/>
      <c r="U613" s="73"/>
      <c r="V613" s="62"/>
      <c r="W613" s="62"/>
      <c r="X613" s="62"/>
      <c r="Y613" s="93"/>
      <c r="Z613" s="94"/>
      <c r="AA613" s="74"/>
      <c r="AB613" s="75"/>
      <c r="AC613" s="75"/>
      <c r="AD613" s="76"/>
      <c r="AE613" s="77"/>
      <c r="AF613" s="75"/>
      <c r="AG613" s="78"/>
      <c r="AH613" s="79"/>
      <c r="AI613" s="74"/>
      <c r="AJ613" s="75"/>
      <c r="AK613" s="75"/>
      <c r="AL613" s="80">
        <f t="shared" si="84"/>
        <v>0</v>
      </c>
      <c r="AM613" s="74"/>
      <c r="AN613" s="74"/>
      <c r="AO613" s="81" t="str">
        <f t="shared" si="85"/>
        <v/>
      </c>
      <c r="AP613" s="82"/>
      <c r="AQ613" s="75"/>
      <c r="AR613" s="75"/>
      <c r="AS613" s="80">
        <f t="shared" si="86"/>
        <v>0</v>
      </c>
      <c r="AT613" s="74"/>
      <c r="AU613" s="75"/>
      <c r="AV613" s="75"/>
      <c r="AW613" s="75"/>
      <c r="AX613" s="80">
        <f t="shared" si="87"/>
        <v>0</v>
      </c>
      <c r="AY613" s="81" t="str">
        <f t="shared" si="88"/>
        <v/>
      </c>
      <c r="AZ613" s="83" t="str">
        <f t="shared" si="89"/>
        <v/>
      </c>
      <c r="BA613" s="80" t="str">
        <f t="shared" si="90"/>
        <v/>
      </c>
      <c r="BB613" s="84">
        <f t="shared" si="91"/>
        <v>0</v>
      </c>
      <c r="BC613" s="85" t="str">
        <f t="shared" si="92"/>
        <v/>
      </c>
      <c r="BD613" s="86" t="str">
        <f t="shared" si="93"/>
        <v/>
      </c>
      <c r="BE613" s="84">
        <f t="shared" si="94"/>
        <v>0</v>
      </c>
      <c r="BF613" s="87" t="str">
        <f t="shared" si="95"/>
        <v/>
      </c>
      <c r="BG613" s="88" t="str">
        <f t="shared" si="96"/>
        <v/>
      </c>
      <c r="BH613" s="89" t="str">
        <f t="shared" si="97"/>
        <v/>
      </c>
      <c r="BI613" s="90" t="str">
        <f t="shared" si="98"/>
        <v/>
      </c>
      <c r="BJ613" s="90" t="str">
        <f t="shared" si="99"/>
        <v/>
      </c>
      <c r="BK613" s="91">
        <f t="shared" si="100"/>
        <v>0</v>
      </c>
      <c r="BL613" s="92">
        <f t="shared" si="101"/>
        <v>0</v>
      </c>
      <c r="BM613" s="95"/>
    </row>
    <row r="614" spans="1:65">
      <c r="A614" s="61">
        <f t="shared" si="102"/>
        <v>0</v>
      </c>
      <c r="B614" s="62"/>
      <c r="C614" s="62"/>
      <c r="D614" s="63"/>
      <c r="E614" s="64"/>
      <c r="F614" s="64"/>
      <c r="G614" s="65"/>
      <c r="H614" s="66" t="str">
        <f t="shared" si="79"/>
        <v/>
      </c>
      <c r="I614" s="67" t="str">
        <f t="shared" si="80"/>
        <v/>
      </c>
      <c r="J614" s="68" t="str">
        <f t="shared" si="81"/>
        <v/>
      </c>
      <c r="K614" s="69" t="str">
        <f t="shared" si="82"/>
        <v/>
      </c>
      <c r="L614" s="70" t="str">
        <f t="shared" si="83"/>
        <v/>
      </c>
      <c r="M614" s="71"/>
      <c r="N614" s="71"/>
      <c r="O614" s="71"/>
      <c r="P614" s="71"/>
      <c r="Q614" s="61"/>
      <c r="R614" s="63"/>
      <c r="S614" s="72"/>
      <c r="T614" s="61"/>
      <c r="U614" s="73"/>
      <c r="V614" s="62"/>
      <c r="W614" s="62"/>
      <c r="X614" s="62"/>
      <c r="Y614" s="93"/>
      <c r="Z614" s="94"/>
      <c r="AA614" s="74"/>
      <c r="AB614" s="75"/>
      <c r="AC614" s="75"/>
      <c r="AD614" s="76"/>
      <c r="AE614" s="77"/>
      <c r="AF614" s="75"/>
      <c r="AG614" s="78"/>
      <c r="AH614" s="79"/>
      <c r="AI614" s="74"/>
      <c r="AJ614" s="75"/>
      <c r="AK614" s="75"/>
      <c r="AL614" s="80">
        <f t="shared" si="84"/>
        <v>0</v>
      </c>
      <c r="AM614" s="74"/>
      <c r="AN614" s="74"/>
      <c r="AO614" s="81" t="str">
        <f t="shared" si="85"/>
        <v/>
      </c>
      <c r="AP614" s="82"/>
      <c r="AQ614" s="75"/>
      <c r="AR614" s="75"/>
      <c r="AS614" s="80">
        <f t="shared" si="86"/>
        <v>0</v>
      </c>
      <c r="AT614" s="74"/>
      <c r="AU614" s="75"/>
      <c r="AV614" s="75"/>
      <c r="AW614" s="75"/>
      <c r="AX614" s="80">
        <f t="shared" si="87"/>
        <v>0</v>
      </c>
      <c r="AY614" s="81" t="str">
        <f t="shared" si="88"/>
        <v/>
      </c>
      <c r="AZ614" s="83" t="str">
        <f t="shared" si="89"/>
        <v/>
      </c>
      <c r="BA614" s="80" t="str">
        <f t="shared" si="90"/>
        <v/>
      </c>
      <c r="BB614" s="84">
        <f t="shared" si="91"/>
        <v>0</v>
      </c>
      <c r="BC614" s="85" t="str">
        <f t="shared" si="92"/>
        <v/>
      </c>
      <c r="BD614" s="86" t="str">
        <f t="shared" si="93"/>
        <v/>
      </c>
      <c r="BE614" s="84">
        <f t="shared" si="94"/>
        <v>0</v>
      </c>
      <c r="BF614" s="87" t="str">
        <f t="shared" si="95"/>
        <v/>
      </c>
      <c r="BG614" s="88" t="str">
        <f t="shared" si="96"/>
        <v/>
      </c>
      <c r="BH614" s="89" t="str">
        <f t="shared" si="97"/>
        <v/>
      </c>
      <c r="BI614" s="90" t="str">
        <f t="shared" si="98"/>
        <v/>
      </c>
      <c r="BJ614" s="90" t="str">
        <f t="shared" si="99"/>
        <v/>
      </c>
      <c r="BK614" s="91">
        <f t="shared" si="100"/>
        <v>0</v>
      </c>
      <c r="BL614" s="92">
        <f t="shared" si="101"/>
        <v>0</v>
      </c>
      <c r="BM614" s="95"/>
    </row>
    <row r="615" spans="1:65">
      <c r="A615" s="61">
        <f t="shared" si="102"/>
        <v>0</v>
      </c>
      <c r="B615" s="62"/>
      <c r="C615" s="62"/>
      <c r="D615" s="63"/>
      <c r="E615" s="64"/>
      <c r="F615" s="64"/>
      <c r="G615" s="65"/>
      <c r="H615" s="66" t="str">
        <f t="shared" si="79"/>
        <v/>
      </c>
      <c r="I615" s="67" t="str">
        <f t="shared" si="80"/>
        <v/>
      </c>
      <c r="J615" s="68" t="str">
        <f t="shared" si="81"/>
        <v/>
      </c>
      <c r="K615" s="69" t="str">
        <f t="shared" si="82"/>
        <v/>
      </c>
      <c r="L615" s="70" t="str">
        <f t="shared" si="83"/>
        <v/>
      </c>
      <c r="M615" s="71"/>
      <c r="N615" s="71"/>
      <c r="O615" s="71"/>
      <c r="P615" s="71"/>
      <c r="Q615" s="61"/>
      <c r="R615" s="63"/>
      <c r="S615" s="72"/>
      <c r="T615" s="61"/>
      <c r="U615" s="73"/>
      <c r="V615" s="62"/>
      <c r="W615" s="62"/>
      <c r="X615" s="62"/>
      <c r="Y615" s="93"/>
      <c r="Z615" s="94"/>
      <c r="AA615" s="74"/>
      <c r="AB615" s="75"/>
      <c r="AC615" s="75"/>
      <c r="AD615" s="76"/>
      <c r="AE615" s="77"/>
      <c r="AF615" s="75"/>
      <c r="AG615" s="78"/>
      <c r="AH615" s="79"/>
      <c r="AI615" s="74"/>
      <c r="AJ615" s="75"/>
      <c r="AK615" s="75"/>
      <c r="AL615" s="80">
        <f t="shared" si="84"/>
        <v>0</v>
      </c>
      <c r="AM615" s="74"/>
      <c r="AN615" s="74"/>
      <c r="AO615" s="81" t="str">
        <f t="shared" si="85"/>
        <v/>
      </c>
      <c r="AP615" s="82"/>
      <c r="AQ615" s="75"/>
      <c r="AR615" s="75"/>
      <c r="AS615" s="80">
        <f t="shared" si="86"/>
        <v>0</v>
      </c>
      <c r="AT615" s="74"/>
      <c r="AU615" s="75"/>
      <c r="AV615" s="75"/>
      <c r="AW615" s="75"/>
      <c r="AX615" s="80">
        <f t="shared" si="87"/>
        <v>0</v>
      </c>
      <c r="AY615" s="81" t="str">
        <f t="shared" si="88"/>
        <v/>
      </c>
      <c r="AZ615" s="83" t="str">
        <f t="shared" si="89"/>
        <v/>
      </c>
      <c r="BA615" s="80" t="str">
        <f t="shared" si="90"/>
        <v/>
      </c>
      <c r="BB615" s="84">
        <f t="shared" si="91"/>
        <v>0</v>
      </c>
      <c r="BC615" s="85" t="str">
        <f t="shared" si="92"/>
        <v/>
      </c>
      <c r="BD615" s="86" t="str">
        <f t="shared" si="93"/>
        <v/>
      </c>
      <c r="BE615" s="84">
        <f t="shared" si="94"/>
        <v>0</v>
      </c>
      <c r="BF615" s="87" t="str">
        <f t="shared" si="95"/>
        <v/>
      </c>
      <c r="BG615" s="88" t="str">
        <f t="shared" si="96"/>
        <v/>
      </c>
      <c r="BH615" s="89" t="str">
        <f t="shared" si="97"/>
        <v/>
      </c>
      <c r="BI615" s="90" t="str">
        <f t="shared" si="98"/>
        <v/>
      </c>
      <c r="BJ615" s="90" t="str">
        <f t="shared" si="99"/>
        <v/>
      </c>
      <c r="BK615" s="91">
        <f t="shared" si="100"/>
        <v>0</v>
      </c>
      <c r="BL615" s="92">
        <f t="shared" si="101"/>
        <v>0</v>
      </c>
      <c r="BM615" s="95"/>
    </row>
    <row r="616" spans="1:65">
      <c r="A616" s="61">
        <f t="shared" si="102"/>
        <v>0</v>
      </c>
      <c r="B616" s="62"/>
      <c r="C616" s="62"/>
      <c r="D616" s="63"/>
      <c r="E616" s="64"/>
      <c r="F616" s="64"/>
      <c r="G616" s="65"/>
      <c r="H616" s="66" t="str">
        <f t="shared" si="79"/>
        <v/>
      </c>
      <c r="I616" s="67" t="str">
        <f t="shared" si="80"/>
        <v/>
      </c>
      <c r="J616" s="68" t="str">
        <f t="shared" si="81"/>
        <v/>
      </c>
      <c r="K616" s="69" t="str">
        <f t="shared" si="82"/>
        <v/>
      </c>
      <c r="L616" s="70" t="str">
        <f t="shared" si="83"/>
        <v/>
      </c>
      <c r="M616" s="71"/>
      <c r="N616" s="71"/>
      <c r="O616" s="71"/>
      <c r="P616" s="71"/>
      <c r="Q616" s="61"/>
      <c r="R616" s="63"/>
      <c r="S616" s="72"/>
      <c r="T616" s="61"/>
      <c r="U616" s="73"/>
      <c r="V616" s="62"/>
      <c r="W616" s="62"/>
      <c r="X616" s="62"/>
      <c r="Y616" s="93"/>
      <c r="Z616" s="94"/>
      <c r="AA616" s="74"/>
      <c r="AB616" s="75"/>
      <c r="AC616" s="75"/>
      <c r="AD616" s="76"/>
      <c r="AE616" s="77"/>
      <c r="AF616" s="75"/>
      <c r="AG616" s="78"/>
      <c r="AH616" s="79"/>
      <c r="AI616" s="74"/>
      <c r="AJ616" s="75"/>
      <c r="AK616" s="75"/>
      <c r="AL616" s="80">
        <f t="shared" si="84"/>
        <v>0</v>
      </c>
      <c r="AM616" s="74"/>
      <c r="AN616" s="74"/>
      <c r="AO616" s="81" t="str">
        <f t="shared" si="85"/>
        <v/>
      </c>
      <c r="AP616" s="82"/>
      <c r="AQ616" s="75"/>
      <c r="AR616" s="75"/>
      <c r="AS616" s="80">
        <f t="shared" si="86"/>
        <v>0</v>
      </c>
      <c r="AT616" s="74"/>
      <c r="AU616" s="75"/>
      <c r="AV616" s="75"/>
      <c r="AW616" s="75"/>
      <c r="AX616" s="80">
        <f t="shared" si="87"/>
        <v>0</v>
      </c>
      <c r="AY616" s="81" t="str">
        <f t="shared" si="88"/>
        <v/>
      </c>
      <c r="AZ616" s="83" t="str">
        <f t="shared" si="89"/>
        <v/>
      </c>
      <c r="BA616" s="80" t="str">
        <f t="shared" si="90"/>
        <v/>
      </c>
      <c r="BB616" s="84">
        <f t="shared" si="91"/>
        <v>0</v>
      </c>
      <c r="BC616" s="85" t="str">
        <f t="shared" si="92"/>
        <v/>
      </c>
      <c r="BD616" s="86" t="str">
        <f t="shared" si="93"/>
        <v/>
      </c>
      <c r="BE616" s="84">
        <f t="shared" si="94"/>
        <v>0</v>
      </c>
      <c r="BF616" s="87" t="str">
        <f t="shared" si="95"/>
        <v/>
      </c>
      <c r="BG616" s="88" t="str">
        <f t="shared" si="96"/>
        <v/>
      </c>
      <c r="BH616" s="89" t="str">
        <f t="shared" si="97"/>
        <v/>
      </c>
      <c r="BI616" s="90" t="str">
        <f t="shared" si="98"/>
        <v/>
      </c>
      <c r="BJ616" s="90" t="str">
        <f t="shared" si="99"/>
        <v/>
      </c>
      <c r="BK616" s="91">
        <f t="shared" si="100"/>
        <v>0</v>
      </c>
      <c r="BL616" s="92">
        <f t="shared" si="101"/>
        <v>0</v>
      </c>
      <c r="BM616" s="95"/>
    </row>
    <row r="617" spans="1:65">
      <c r="A617" s="61">
        <f t="shared" si="102"/>
        <v>0</v>
      </c>
      <c r="B617" s="62"/>
      <c r="C617" s="62"/>
      <c r="D617" s="63"/>
      <c r="E617" s="64"/>
      <c r="F617" s="64"/>
      <c r="G617" s="65"/>
      <c r="H617" s="66" t="str">
        <f t="shared" si="79"/>
        <v/>
      </c>
      <c r="I617" s="67" t="str">
        <f t="shared" si="80"/>
        <v/>
      </c>
      <c r="J617" s="68" t="str">
        <f t="shared" si="81"/>
        <v/>
      </c>
      <c r="K617" s="69" t="str">
        <f t="shared" si="82"/>
        <v/>
      </c>
      <c r="L617" s="70" t="str">
        <f t="shared" si="83"/>
        <v/>
      </c>
      <c r="M617" s="71"/>
      <c r="N617" s="71"/>
      <c r="O617" s="71"/>
      <c r="P617" s="71"/>
      <c r="Q617" s="61"/>
      <c r="R617" s="63"/>
      <c r="S617" s="72"/>
      <c r="T617" s="61"/>
      <c r="U617" s="73"/>
      <c r="V617" s="62"/>
      <c r="W617" s="62"/>
      <c r="X617" s="62"/>
      <c r="Y617" s="93"/>
      <c r="Z617" s="94"/>
      <c r="AA617" s="74"/>
      <c r="AB617" s="75"/>
      <c r="AC617" s="75"/>
      <c r="AD617" s="76"/>
      <c r="AE617" s="77"/>
      <c r="AF617" s="75"/>
      <c r="AG617" s="78"/>
      <c r="AH617" s="79"/>
      <c r="AI617" s="74"/>
      <c r="AJ617" s="75"/>
      <c r="AK617" s="75"/>
      <c r="AL617" s="80">
        <f t="shared" si="84"/>
        <v>0</v>
      </c>
      <c r="AM617" s="74"/>
      <c r="AN617" s="74"/>
      <c r="AO617" s="81" t="str">
        <f t="shared" si="85"/>
        <v/>
      </c>
      <c r="AP617" s="82"/>
      <c r="AQ617" s="75"/>
      <c r="AR617" s="75"/>
      <c r="AS617" s="80">
        <f t="shared" si="86"/>
        <v>0</v>
      </c>
      <c r="AT617" s="74"/>
      <c r="AU617" s="75"/>
      <c r="AV617" s="75"/>
      <c r="AW617" s="75"/>
      <c r="AX617" s="80">
        <f t="shared" si="87"/>
        <v>0</v>
      </c>
      <c r="AY617" s="81" t="str">
        <f t="shared" si="88"/>
        <v/>
      </c>
      <c r="AZ617" s="83" t="str">
        <f t="shared" si="89"/>
        <v/>
      </c>
      <c r="BA617" s="80" t="str">
        <f t="shared" si="90"/>
        <v/>
      </c>
      <c r="BB617" s="84">
        <f t="shared" si="91"/>
        <v>0</v>
      </c>
      <c r="BC617" s="85" t="str">
        <f t="shared" si="92"/>
        <v/>
      </c>
      <c r="BD617" s="86" t="str">
        <f t="shared" si="93"/>
        <v/>
      </c>
      <c r="BE617" s="84">
        <f t="shared" si="94"/>
        <v>0</v>
      </c>
      <c r="BF617" s="87" t="str">
        <f t="shared" si="95"/>
        <v/>
      </c>
      <c r="BG617" s="88" t="str">
        <f t="shared" si="96"/>
        <v/>
      </c>
      <c r="BH617" s="89" t="str">
        <f t="shared" si="97"/>
        <v/>
      </c>
      <c r="BI617" s="90" t="str">
        <f t="shared" si="98"/>
        <v/>
      </c>
      <c r="BJ617" s="90" t="str">
        <f t="shared" si="99"/>
        <v/>
      </c>
      <c r="BK617" s="91">
        <f t="shared" si="100"/>
        <v>0</v>
      </c>
      <c r="BL617" s="92">
        <f t="shared" si="101"/>
        <v>0</v>
      </c>
      <c r="BM617" s="95"/>
    </row>
    <row r="618" spans="1:65">
      <c r="A618" s="61">
        <f t="shared" si="102"/>
        <v>0</v>
      </c>
      <c r="B618" s="62"/>
      <c r="C618" s="62"/>
      <c r="D618" s="63"/>
      <c r="E618" s="64"/>
      <c r="F618" s="64"/>
      <c r="G618" s="65"/>
      <c r="H618" s="66" t="str">
        <f t="shared" si="79"/>
        <v/>
      </c>
      <c r="I618" s="67" t="str">
        <f t="shared" si="80"/>
        <v/>
      </c>
      <c r="J618" s="68" t="str">
        <f t="shared" si="81"/>
        <v/>
      </c>
      <c r="K618" s="69" t="str">
        <f t="shared" si="82"/>
        <v/>
      </c>
      <c r="L618" s="70" t="str">
        <f t="shared" si="83"/>
        <v/>
      </c>
      <c r="M618" s="71"/>
      <c r="N618" s="71"/>
      <c r="O618" s="71"/>
      <c r="P618" s="71"/>
      <c r="Q618" s="61"/>
      <c r="R618" s="63"/>
      <c r="S618" s="72"/>
      <c r="T618" s="61"/>
      <c r="U618" s="73"/>
      <c r="V618" s="62"/>
      <c r="W618" s="62"/>
      <c r="X618" s="62"/>
      <c r="Y618" s="93"/>
      <c r="Z618" s="94"/>
      <c r="AA618" s="74"/>
      <c r="AB618" s="75"/>
      <c r="AC618" s="75"/>
      <c r="AD618" s="76"/>
      <c r="AE618" s="77"/>
      <c r="AF618" s="75"/>
      <c r="AG618" s="78"/>
      <c r="AH618" s="79"/>
      <c r="AI618" s="74"/>
      <c r="AJ618" s="75"/>
      <c r="AK618" s="75"/>
      <c r="AL618" s="80">
        <f t="shared" si="84"/>
        <v>0</v>
      </c>
      <c r="AM618" s="74"/>
      <c r="AN618" s="74"/>
      <c r="AO618" s="81" t="str">
        <f t="shared" si="85"/>
        <v/>
      </c>
      <c r="AP618" s="82"/>
      <c r="AQ618" s="75"/>
      <c r="AR618" s="75"/>
      <c r="AS618" s="80">
        <f t="shared" si="86"/>
        <v>0</v>
      </c>
      <c r="AT618" s="74"/>
      <c r="AU618" s="75"/>
      <c r="AV618" s="75"/>
      <c r="AW618" s="75"/>
      <c r="AX618" s="80">
        <f t="shared" si="87"/>
        <v>0</v>
      </c>
      <c r="AY618" s="81" t="str">
        <f t="shared" si="88"/>
        <v/>
      </c>
      <c r="AZ618" s="83" t="str">
        <f t="shared" si="89"/>
        <v/>
      </c>
      <c r="BA618" s="80" t="str">
        <f t="shared" si="90"/>
        <v/>
      </c>
      <c r="BB618" s="84">
        <f t="shared" si="91"/>
        <v>0</v>
      </c>
      <c r="BC618" s="85" t="str">
        <f t="shared" si="92"/>
        <v/>
      </c>
      <c r="BD618" s="86" t="str">
        <f t="shared" si="93"/>
        <v/>
      </c>
      <c r="BE618" s="84">
        <f t="shared" si="94"/>
        <v>0</v>
      </c>
      <c r="BF618" s="87" t="str">
        <f t="shared" si="95"/>
        <v/>
      </c>
      <c r="BG618" s="88" t="str">
        <f t="shared" si="96"/>
        <v/>
      </c>
      <c r="BH618" s="89" t="str">
        <f t="shared" si="97"/>
        <v/>
      </c>
      <c r="BI618" s="90" t="str">
        <f t="shared" si="98"/>
        <v/>
      </c>
      <c r="BJ618" s="90" t="str">
        <f t="shared" si="99"/>
        <v/>
      </c>
      <c r="BK618" s="91">
        <f t="shared" si="100"/>
        <v>0</v>
      </c>
      <c r="BL618" s="92">
        <f t="shared" si="101"/>
        <v>0</v>
      </c>
      <c r="BM618" s="95"/>
    </row>
    <row r="619" spans="1:65">
      <c r="A619" s="61">
        <f t="shared" si="102"/>
        <v>0</v>
      </c>
      <c r="B619" s="62"/>
      <c r="C619" s="62"/>
      <c r="D619" s="63"/>
      <c r="E619" s="64"/>
      <c r="F619" s="64"/>
      <c r="G619" s="65"/>
      <c r="H619" s="66" t="str">
        <f t="shared" si="79"/>
        <v/>
      </c>
      <c r="I619" s="67" t="str">
        <f t="shared" si="80"/>
        <v/>
      </c>
      <c r="J619" s="68" t="str">
        <f t="shared" si="81"/>
        <v/>
      </c>
      <c r="K619" s="69" t="str">
        <f t="shared" si="82"/>
        <v/>
      </c>
      <c r="L619" s="70" t="str">
        <f t="shared" si="83"/>
        <v/>
      </c>
      <c r="M619" s="71"/>
      <c r="N619" s="71"/>
      <c r="O619" s="71"/>
      <c r="P619" s="71"/>
      <c r="Q619" s="61"/>
      <c r="R619" s="63"/>
      <c r="S619" s="72"/>
      <c r="T619" s="61"/>
      <c r="U619" s="73"/>
      <c r="V619" s="62"/>
      <c r="W619" s="62"/>
      <c r="X619" s="62"/>
      <c r="Y619" s="93"/>
      <c r="Z619" s="94"/>
      <c r="AA619" s="74"/>
      <c r="AB619" s="75"/>
      <c r="AC619" s="75"/>
      <c r="AD619" s="76"/>
      <c r="AE619" s="77"/>
      <c r="AF619" s="75"/>
      <c r="AG619" s="78"/>
      <c r="AH619" s="79"/>
      <c r="AI619" s="74"/>
      <c r="AJ619" s="75"/>
      <c r="AK619" s="75"/>
      <c r="AL619" s="80">
        <f t="shared" si="84"/>
        <v>0</v>
      </c>
      <c r="AM619" s="74"/>
      <c r="AN619" s="74"/>
      <c r="AO619" s="81" t="str">
        <f t="shared" si="85"/>
        <v/>
      </c>
      <c r="AP619" s="82"/>
      <c r="AQ619" s="75"/>
      <c r="AR619" s="75"/>
      <c r="AS619" s="80">
        <f t="shared" si="86"/>
        <v>0</v>
      </c>
      <c r="AT619" s="74"/>
      <c r="AU619" s="75"/>
      <c r="AV619" s="75"/>
      <c r="AW619" s="75"/>
      <c r="AX619" s="80">
        <f t="shared" si="87"/>
        <v>0</v>
      </c>
      <c r="AY619" s="81" t="str">
        <f t="shared" si="88"/>
        <v/>
      </c>
      <c r="AZ619" s="83" t="str">
        <f t="shared" si="89"/>
        <v/>
      </c>
      <c r="BA619" s="80" t="str">
        <f t="shared" si="90"/>
        <v/>
      </c>
      <c r="BB619" s="84">
        <f t="shared" si="91"/>
        <v>0</v>
      </c>
      <c r="BC619" s="85" t="str">
        <f t="shared" si="92"/>
        <v/>
      </c>
      <c r="BD619" s="86" t="str">
        <f t="shared" si="93"/>
        <v/>
      </c>
      <c r="BE619" s="84">
        <f t="shared" si="94"/>
        <v>0</v>
      </c>
      <c r="BF619" s="87" t="str">
        <f t="shared" si="95"/>
        <v/>
      </c>
      <c r="BG619" s="88" t="str">
        <f t="shared" si="96"/>
        <v/>
      </c>
      <c r="BH619" s="89" t="str">
        <f t="shared" si="97"/>
        <v/>
      </c>
      <c r="BI619" s="90" t="str">
        <f t="shared" si="98"/>
        <v/>
      </c>
      <c r="BJ619" s="90" t="str">
        <f t="shared" si="99"/>
        <v/>
      </c>
      <c r="BK619" s="91">
        <f t="shared" si="100"/>
        <v>0</v>
      </c>
      <c r="BL619" s="92">
        <f t="shared" si="101"/>
        <v>0</v>
      </c>
      <c r="BM619" s="95"/>
    </row>
    <row r="620" spans="1:65">
      <c r="A620" s="61">
        <f t="shared" si="102"/>
        <v>0</v>
      </c>
      <c r="B620" s="62"/>
      <c r="C620" s="62"/>
      <c r="D620" s="63"/>
      <c r="E620" s="64"/>
      <c r="F620" s="64"/>
      <c r="G620" s="65"/>
      <c r="H620" s="66" t="str">
        <f t="shared" si="79"/>
        <v/>
      </c>
      <c r="I620" s="67" t="str">
        <f t="shared" si="80"/>
        <v/>
      </c>
      <c r="J620" s="68" t="str">
        <f t="shared" si="81"/>
        <v/>
      </c>
      <c r="K620" s="69" t="str">
        <f t="shared" si="82"/>
        <v/>
      </c>
      <c r="L620" s="70" t="str">
        <f t="shared" si="83"/>
        <v/>
      </c>
      <c r="M620" s="71"/>
      <c r="N620" s="71"/>
      <c r="O620" s="71"/>
      <c r="P620" s="71"/>
      <c r="Q620" s="61"/>
      <c r="R620" s="63"/>
      <c r="S620" s="72"/>
      <c r="T620" s="61"/>
      <c r="U620" s="73"/>
      <c r="V620" s="62"/>
      <c r="W620" s="62"/>
      <c r="X620" s="62"/>
      <c r="Y620" s="93"/>
      <c r="Z620" s="94"/>
      <c r="AA620" s="74"/>
      <c r="AB620" s="75"/>
      <c r="AC620" s="75"/>
      <c r="AD620" s="76"/>
      <c r="AE620" s="77"/>
      <c r="AF620" s="75"/>
      <c r="AG620" s="78"/>
      <c r="AH620" s="79"/>
      <c r="AI620" s="74"/>
      <c r="AJ620" s="75"/>
      <c r="AK620" s="75"/>
      <c r="AL620" s="80">
        <f t="shared" si="84"/>
        <v>0</v>
      </c>
      <c r="AM620" s="74"/>
      <c r="AN620" s="74"/>
      <c r="AO620" s="81" t="str">
        <f t="shared" si="85"/>
        <v/>
      </c>
      <c r="AP620" s="82"/>
      <c r="AQ620" s="75"/>
      <c r="AR620" s="75"/>
      <c r="AS620" s="80">
        <f t="shared" si="86"/>
        <v>0</v>
      </c>
      <c r="AT620" s="74"/>
      <c r="AU620" s="75"/>
      <c r="AV620" s="75"/>
      <c r="AW620" s="75"/>
      <c r="AX620" s="80">
        <f t="shared" si="87"/>
        <v>0</v>
      </c>
      <c r="AY620" s="81" t="str">
        <f t="shared" si="88"/>
        <v/>
      </c>
      <c r="AZ620" s="83" t="str">
        <f t="shared" si="89"/>
        <v/>
      </c>
      <c r="BA620" s="80" t="str">
        <f t="shared" si="90"/>
        <v/>
      </c>
      <c r="BB620" s="84">
        <f t="shared" si="91"/>
        <v>0</v>
      </c>
      <c r="BC620" s="85" t="str">
        <f t="shared" si="92"/>
        <v/>
      </c>
      <c r="BD620" s="86" t="str">
        <f t="shared" si="93"/>
        <v/>
      </c>
      <c r="BE620" s="84">
        <f t="shared" si="94"/>
        <v>0</v>
      </c>
      <c r="BF620" s="87" t="str">
        <f t="shared" si="95"/>
        <v/>
      </c>
      <c r="BG620" s="88" t="str">
        <f t="shared" si="96"/>
        <v/>
      </c>
      <c r="BH620" s="89" t="str">
        <f t="shared" si="97"/>
        <v/>
      </c>
      <c r="BI620" s="90" t="str">
        <f t="shared" si="98"/>
        <v/>
      </c>
      <c r="BJ620" s="90" t="str">
        <f t="shared" si="99"/>
        <v/>
      </c>
      <c r="BK620" s="91">
        <f t="shared" si="100"/>
        <v>0</v>
      </c>
      <c r="BL620" s="92">
        <f t="shared" si="101"/>
        <v>0</v>
      </c>
      <c r="BM620" s="95"/>
    </row>
    <row r="621" spans="1:65">
      <c r="A621" s="61">
        <f t="shared" si="102"/>
        <v>0</v>
      </c>
      <c r="B621" s="62"/>
      <c r="C621" s="62"/>
      <c r="D621" s="63"/>
      <c r="E621" s="64"/>
      <c r="F621" s="64"/>
      <c r="G621" s="65"/>
      <c r="H621" s="66" t="str">
        <f t="shared" si="79"/>
        <v/>
      </c>
      <c r="I621" s="67" t="str">
        <f t="shared" si="80"/>
        <v/>
      </c>
      <c r="J621" s="68" t="str">
        <f t="shared" si="81"/>
        <v/>
      </c>
      <c r="K621" s="69" t="str">
        <f t="shared" si="82"/>
        <v/>
      </c>
      <c r="L621" s="70" t="str">
        <f t="shared" si="83"/>
        <v/>
      </c>
      <c r="M621" s="71"/>
      <c r="N621" s="71"/>
      <c r="O621" s="71"/>
      <c r="P621" s="71"/>
      <c r="Q621" s="61"/>
      <c r="R621" s="63"/>
      <c r="S621" s="72"/>
      <c r="T621" s="61"/>
      <c r="U621" s="73"/>
      <c r="V621" s="62"/>
      <c r="W621" s="62"/>
      <c r="X621" s="62"/>
      <c r="Y621" s="93"/>
      <c r="Z621" s="94"/>
      <c r="AA621" s="74"/>
      <c r="AB621" s="75"/>
      <c r="AC621" s="75"/>
      <c r="AD621" s="76"/>
      <c r="AE621" s="77"/>
      <c r="AF621" s="75"/>
      <c r="AG621" s="78"/>
      <c r="AH621" s="79"/>
      <c r="AI621" s="74"/>
      <c r="AJ621" s="75"/>
      <c r="AK621" s="75"/>
      <c r="AL621" s="80">
        <f t="shared" si="84"/>
        <v>0</v>
      </c>
      <c r="AM621" s="74"/>
      <c r="AN621" s="74"/>
      <c r="AO621" s="81" t="str">
        <f t="shared" si="85"/>
        <v/>
      </c>
      <c r="AP621" s="82"/>
      <c r="AQ621" s="75"/>
      <c r="AR621" s="75"/>
      <c r="AS621" s="80">
        <f t="shared" si="86"/>
        <v>0</v>
      </c>
      <c r="AT621" s="74"/>
      <c r="AU621" s="75"/>
      <c r="AV621" s="75"/>
      <c r="AW621" s="75"/>
      <c r="AX621" s="80">
        <f t="shared" si="87"/>
        <v>0</v>
      </c>
      <c r="AY621" s="81" t="str">
        <f t="shared" si="88"/>
        <v/>
      </c>
      <c r="AZ621" s="83" t="str">
        <f t="shared" si="89"/>
        <v/>
      </c>
      <c r="BA621" s="80" t="str">
        <f t="shared" si="90"/>
        <v/>
      </c>
      <c r="BB621" s="84">
        <f t="shared" si="91"/>
        <v>0</v>
      </c>
      <c r="BC621" s="85" t="str">
        <f t="shared" si="92"/>
        <v/>
      </c>
      <c r="BD621" s="86" t="str">
        <f t="shared" si="93"/>
        <v/>
      </c>
      <c r="BE621" s="84">
        <f t="shared" si="94"/>
        <v>0</v>
      </c>
      <c r="BF621" s="87" t="str">
        <f t="shared" si="95"/>
        <v/>
      </c>
      <c r="BG621" s="88" t="str">
        <f t="shared" si="96"/>
        <v/>
      </c>
      <c r="BH621" s="89" t="str">
        <f t="shared" si="97"/>
        <v/>
      </c>
      <c r="BI621" s="90" t="str">
        <f t="shared" si="98"/>
        <v/>
      </c>
      <c r="BJ621" s="90" t="str">
        <f t="shared" si="99"/>
        <v/>
      </c>
      <c r="BK621" s="91">
        <f t="shared" si="100"/>
        <v>0</v>
      </c>
      <c r="BL621" s="92">
        <f t="shared" si="101"/>
        <v>0</v>
      </c>
      <c r="BM621" s="95"/>
    </row>
    <row r="622" spans="1:65">
      <c r="A622" s="61">
        <f t="shared" si="102"/>
        <v>0</v>
      </c>
      <c r="B622" s="62"/>
      <c r="C622" s="62"/>
      <c r="D622" s="63"/>
      <c r="E622" s="64"/>
      <c r="F622" s="64"/>
      <c r="G622" s="65"/>
      <c r="H622" s="66" t="str">
        <f t="shared" si="79"/>
        <v/>
      </c>
      <c r="I622" s="67" t="str">
        <f t="shared" si="80"/>
        <v/>
      </c>
      <c r="J622" s="68" t="str">
        <f t="shared" si="81"/>
        <v/>
      </c>
      <c r="K622" s="69" t="str">
        <f t="shared" si="82"/>
        <v/>
      </c>
      <c r="L622" s="70" t="str">
        <f t="shared" si="83"/>
        <v/>
      </c>
      <c r="M622" s="71"/>
      <c r="N622" s="71"/>
      <c r="O622" s="71"/>
      <c r="P622" s="71"/>
      <c r="Q622" s="61"/>
      <c r="R622" s="63"/>
      <c r="S622" s="72"/>
      <c r="T622" s="61"/>
      <c r="U622" s="73"/>
      <c r="V622" s="62"/>
      <c r="W622" s="62"/>
      <c r="X622" s="62"/>
      <c r="Y622" s="93"/>
      <c r="Z622" s="94"/>
      <c r="AA622" s="74"/>
      <c r="AB622" s="75"/>
      <c r="AC622" s="75"/>
      <c r="AD622" s="76"/>
      <c r="AE622" s="77"/>
      <c r="AF622" s="75"/>
      <c r="AG622" s="78"/>
      <c r="AH622" s="79"/>
      <c r="AI622" s="74"/>
      <c r="AJ622" s="75"/>
      <c r="AK622" s="75"/>
      <c r="AL622" s="80">
        <f t="shared" si="84"/>
        <v>0</v>
      </c>
      <c r="AM622" s="74"/>
      <c r="AN622" s="74"/>
      <c r="AO622" s="81" t="str">
        <f t="shared" si="85"/>
        <v/>
      </c>
      <c r="AP622" s="82"/>
      <c r="AQ622" s="75"/>
      <c r="AR622" s="75"/>
      <c r="AS622" s="80">
        <f t="shared" si="86"/>
        <v>0</v>
      </c>
      <c r="AT622" s="74"/>
      <c r="AU622" s="75"/>
      <c r="AV622" s="75"/>
      <c r="AW622" s="75"/>
      <c r="AX622" s="80">
        <f t="shared" si="87"/>
        <v>0</v>
      </c>
      <c r="AY622" s="81" t="str">
        <f t="shared" si="88"/>
        <v/>
      </c>
      <c r="AZ622" s="83" t="str">
        <f t="shared" si="89"/>
        <v/>
      </c>
      <c r="BA622" s="80" t="str">
        <f t="shared" si="90"/>
        <v/>
      </c>
      <c r="BB622" s="84">
        <f t="shared" si="91"/>
        <v>0</v>
      </c>
      <c r="BC622" s="85" t="str">
        <f t="shared" si="92"/>
        <v/>
      </c>
      <c r="BD622" s="86" t="str">
        <f t="shared" si="93"/>
        <v/>
      </c>
      <c r="BE622" s="84">
        <f t="shared" si="94"/>
        <v>0</v>
      </c>
      <c r="BF622" s="87" t="str">
        <f t="shared" si="95"/>
        <v/>
      </c>
      <c r="BG622" s="88" t="str">
        <f t="shared" si="96"/>
        <v/>
      </c>
      <c r="BH622" s="89" t="str">
        <f t="shared" si="97"/>
        <v/>
      </c>
      <c r="BI622" s="90" t="str">
        <f t="shared" si="98"/>
        <v/>
      </c>
      <c r="BJ622" s="90" t="str">
        <f t="shared" si="99"/>
        <v/>
      </c>
      <c r="BK622" s="91">
        <f t="shared" si="100"/>
        <v>0</v>
      </c>
      <c r="BL622" s="92">
        <f t="shared" si="101"/>
        <v>0</v>
      </c>
      <c r="BM622" s="95"/>
    </row>
    <row r="623" spans="1:65">
      <c r="A623" s="61">
        <f t="shared" si="102"/>
        <v>0</v>
      </c>
      <c r="B623" s="62"/>
      <c r="C623" s="62"/>
      <c r="D623" s="63"/>
      <c r="E623" s="64"/>
      <c r="F623" s="64"/>
      <c r="G623" s="65"/>
      <c r="H623" s="66" t="str">
        <f t="shared" si="79"/>
        <v/>
      </c>
      <c r="I623" s="67" t="str">
        <f t="shared" si="80"/>
        <v/>
      </c>
      <c r="J623" s="68" t="str">
        <f t="shared" si="81"/>
        <v/>
      </c>
      <c r="K623" s="69" t="str">
        <f t="shared" si="82"/>
        <v/>
      </c>
      <c r="L623" s="70" t="str">
        <f t="shared" si="83"/>
        <v/>
      </c>
      <c r="M623" s="71"/>
      <c r="N623" s="71"/>
      <c r="O623" s="71"/>
      <c r="P623" s="71"/>
      <c r="Q623" s="61"/>
      <c r="R623" s="63"/>
      <c r="S623" s="72"/>
      <c r="T623" s="61"/>
      <c r="U623" s="73"/>
      <c r="V623" s="62"/>
      <c r="W623" s="62"/>
      <c r="X623" s="62"/>
      <c r="Y623" s="93"/>
      <c r="Z623" s="94"/>
      <c r="AA623" s="74"/>
      <c r="AB623" s="75"/>
      <c r="AC623" s="75"/>
      <c r="AD623" s="76"/>
      <c r="AE623" s="77"/>
      <c r="AF623" s="75"/>
      <c r="AG623" s="78"/>
      <c r="AH623" s="79"/>
      <c r="AI623" s="74"/>
      <c r="AJ623" s="75"/>
      <c r="AK623" s="75"/>
      <c r="AL623" s="80">
        <f t="shared" si="84"/>
        <v>0</v>
      </c>
      <c r="AM623" s="74"/>
      <c r="AN623" s="74"/>
      <c r="AO623" s="81" t="str">
        <f t="shared" si="85"/>
        <v/>
      </c>
      <c r="AP623" s="82"/>
      <c r="AQ623" s="75"/>
      <c r="AR623" s="75"/>
      <c r="AS623" s="80">
        <f t="shared" si="86"/>
        <v>0</v>
      </c>
      <c r="AT623" s="74"/>
      <c r="AU623" s="75"/>
      <c r="AV623" s="75"/>
      <c r="AW623" s="75"/>
      <c r="AX623" s="80">
        <f t="shared" si="87"/>
        <v>0</v>
      </c>
      <c r="AY623" s="81" t="str">
        <f t="shared" si="88"/>
        <v/>
      </c>
      <c r="AZ623" s="83" t="str">
        <f t="shared" si="89"/>
        <v/>
      </c>
      <c r="BA623" s="80" t="str">
        <f t="shared" si="90"/>
        <v/>
      </c>
      <c r="BB623" s="84">
        <f t="shared" si="91"/>
        <v>0</v>
      </c>
      <c r="BC623" s="85" t="str">
        <f t="shared" si="92"/>
        <v/>
      </c>
      <c r="BD623" s="86" t="str">
        <f t="shared" si="93"/>
        <v/>
      </c>
      <c r="BE623" s="84">
        <f t="shared" si="94"/>
        <v>0</v>
      </c>
      <c r="BF623" s="87" t="str">
        <f t="shared" si="95"/>
        <v/>
      </c>
      <c r="BG623" s="88" t="str">
        <f t="shared" si="96"/>
        <v/>
      </c>
      <c r="BH623" s="89" t="str">
        <f t="shared" si="97"/>
        <v/>
      </c>
      <c r="BI623" s="90" t="str">
        <f t="shared" si="98"/>
        <v/>
      </c>
      <c r="BJ623" s="90" t="str">
        <f t="shared" si="99"/>
        <v/>
      </c>
      <c r="BK623" s="91">
        <f t="shared" si="100"/>
        <v>0</v>
      </c>
      <c r="BL623" s="92">
        <f t="shared" si="101"/>
        <v>0</v>
      </c>
      <c r="BM623" s="95"/>
    </row>
    <row r="624" spans="1:65">
      <c r="A624" s="61">
        <f t="shared" si="102"/>
        <v>0</v>
      </c>
      <c r="B624" s="62"/>
      <c r="C624" s="62"/>
      <c r="D624" s="63"/>
      <c r="E624" s="64"/>
      <c r="F624" s="64"/>
      <c r="G624" s="65"/>
      <c r="H624" s="66" t="str">
        <f t="shared" si="79"/>
        <v/>
      </c>
      <c r="I624" s="67" t="str">
        <f t="shared" si="80"/>
        <v/>
      </c>
      <c r="J624" s="68" t="str">
        <f t="shared" si="81"/>
        <v/>
      </c>
      <c r="K624" s="69" t="str">
        <f t="shared" si="82"/>
        <v/>
      </c>
      <c r="L624" s="70" t="str">
        <f t="shared" si="83"/>
        <v/>
      </c>
      <c r="M624" s="71"/>
      <c r="N624" s="71"/>
      <c r="O624" s="71"/>
      <c r="P624" s="71"/>
      <c r="Q624" s="61"/>
      <c r="R624" s="63"/>
      <c r="S624" s="72"/>
      <c r="T624" s="61"/>
      <c r="U624" s="73"/>
      <c r="V624" s="62"/>
      <c r="W624" s="62"/>
      <c r="X624" s="62"/>
      <c r="Y624" s="93"/>
      <c r="Z624" s="94"/>
      <c r="AA624" s="74"/>
      <c r="AB624" s="75"/>
      <c r="AC624" s="75"/>
      <c r="AD624" s="76"/>
      <c r="AE624" s="77"/>
      <c r="AF624" s="75"/>
      <c r="AG624" s="78"/>
      <c r="AH624" s="79"/>
      <c r="AI624" s="74"/>
      <c r="AJ624" s="75"/>
      <c r="AK624" s="75"/>
      <c r="AL624" s="80">
        <f t="shared" si="84"/>
        <v>0</v>
      </c>
      <c r="AM624" s="74"/>
      <c r="AN624" s="74"/>
      <c r="AO624" s="81" t="str">
        <f t="shared" si="85"/>
        <v/>
      </c>
      <c r="AP624" s="82"/>
      <c r="AQ624" s="75"/>
      <c r="AR624" s="75"/>
      <c r="AS624" s="80">
        <f t="shared" si="86"/>
        <v>0</v>
      </c>
      <c r="AT624" s="74"/>
      <c r="AU624" s="75"/>
      <c r="AV624" s="75"/>
      <c r="AW624" s="75"/>
      <c r="AX624" s="80">
        <f t="shared" si="87"/>
        <v>0</v>
      </c>
      <c r="AY624" s="81" t="str">
        <f t="shared" si="88"/>
        <v/>
      </c>
      <c r="AZ624" s="83" t="str">
        <f t="shared" si="89"/>
        <v/>
      </c>
      <c r="BA624" s="80" t="str">
        <f t="shared" si="90"/>
        <v/>
      </c>
      <c r="BB624" s="84">
        <f t="shared" si="91"/>
        <v>0</v>
      </c>
      <c r="BC624" s="85" t="str">
        <f t="shared" si="92"/>
        <v/>
      </c>
      <c r="BD624" s="86" t="str">
        <f t="shared" si="93"/>
        <v/>
      </c>
      <c r="BE624" s="84">
        <f t="shared" si="94"/>
        <v>0</v>
      </c>
      <c r="BF624" s="87" t="str">
        <f t="shared" si="95"/>
        <v/>
      </c>
      <c r="BG624" s="88" t="str">
        <f t="shared" si="96"/>
        <v/>
      </c>
      <c r="BH624" s="89" t="str">
        <f t="shared" si="97"/>
        <v/>
      </c>
      <c r="BI624" s="90" t="str">
        <f t="shared" si="98"/>
        <v/>
      </c>
      <c r="BJ624" s="90" t="str">
        <f t="shared" si="99"/>
        <v/>
      </c>
      <c r="BK624" s="91">
        <f t="shared" si="100"/>
        <v>0</v>
      </c>
      <c r="BL624" s="92">
        <f t="shared" si="101"/>
        <v>0</v>
      </c>
      <c r="BM624" s="95"/>
    </row>
    <row r="625" spans="1:65">
      <c r="A625" s="61">
        <f t="shared" si="102"/>
        <v>0</v>
      </c>
      <c r="B625" s="62"/>
      <c r="C625" s="62"/>
      <c r="D625" s="63"/>
      <c r="E625" s="64"/>
      <c r="F625" s="64"/>
      <c r="G625" s="65"/>
      <c r="H625" s="66" t="str">
        <f t="shared" si="79"/>
        <v/>
      </c>
      <c r="I625" s="67" t="str">
        <f t="shared" si="80"/>
        <v/>
      </c>
      <c r="J625" s="68" t="str">
        <f t="shared" si="81"/>
        <v/>
      </c>
      <c r="K625" s="69" t="str">
        <f t="shared" si="82"/>
        <v/>
      </c>
      <c r="L625" s="70" t="str">
        <f t="shared" si="83"/>
        <v/>
      </c>
      <c r="M625" s="71"/>
      <c r="N625" s="71"/>
      <c r="O625" s="71"/>
      <c r="P625" s="71"/>
      <c r="Q625" s="61"/>
      <c r="R625" s="63"/>
      <c r="S625" s="72"/>
      <c r="T625" s="61"/>
      <c r="U625" s="73"/>
      <c r="V625" s="62"/>
      <c r="W625" s="62"/>
      <c r="X625" s="62"/>
      <c r="Y625" s="93"/>
      <c r="Z625" s="94"/>
      <c r="AA625" s="74"/>
      <c r="AB625" s="75"/>
      <c r="AC625" s="75"/>
      <c r="AD625" s="76"/>
      <c r="AE625" s="77"/>
      <c r="AF625" s="75"/>
      <c r="AG625" s="78"/>
      <c r="AH625" s="79"/>
      <c r="AI625" s="74"/>
      <c r="AJ625" s="75"/>
      <c r="AK625" s="75"/>
      <c r="AL625" s="80">
        <f t="shared" si="84"/>
        <v>0</v>
      </c>
      <c r="AM625" s="74"/>
      <c r="AN625" s="74"/>
      <c r="AO625" s="81" t="str">
        <f t="shared" si="85"/>
        <v/>
      </c>
      <c r="AP625" s="82"/>
      <c r="AQ625" s="75"/>
      <c r="AR625" s="75"/>
      <c r="AS625" s="80">
        <f t="shared" si="86"/>
        <v>0</v>
      </c>
      <c r="AT625" s="74"/>
      <c r="AU625" s="75"/>
      <c r="AV625" s="75"/>
      <c r="AW625" s="75"/>
      <c r="AX625" s="80">
        <f t="shared" si="87"/>
        <v>0</v>
      </c>
      <c r="AY625" s="81" t="str">
        <f t="shared" si="88"/>
        <v/>
      </c>
      <c r="AZ625" s="83" t="str">
        <f t="shared" si="89"/>
        <v/>
      </c>
      <c r="BA625" s="80" t="str">
        <f t="shared" si="90"/>
        <v/>
      </c>
      <c r="BB625" s="84">
        <f t="shared" si="91"/>
        <v>0</v>
      </c>
      <c r="BC625" s="85" t="str">
        <f t="shared" si="92"/>
        <v/>
      </c>
      <c r="BD625" s="86" t="str">
        <f t="shared" si="93"/>
        <v/>
      </c>
      <c r="BE625" s="84">
        <f t="shared" si="94"/>
        <v>0</v>
      </c>
      <c r="BF625" s="87" t="str">
        <f t="shared" si="95"/>
        <v/>
      </c>
      <c r="BG625" s="88" t="str">
        <f t="shared" si="96"/>
        <v/>
      </c>
      <c r="BH625" s="89" t="str">
        <f t="shared" si="97"/>
        <v/>
      </c>
      <c r="BI625" s="90" t="str">
        <f t="shared" si="98"/>
        <v/>
      </c>
      <c r="BJ625" s="90" t="str">
        <f t="shared" si="99"/>
        <v/>
      </c>
      <c r="BK625" s="91">
        <f t="shared" si="100"/>
        <v>0</v>
      </c>
      <c r="BL625" s="92">
        <f t="shared" si="101"/>
        <v>0</v>
      </c>
      <c r="BM625" s="95"/>
    </row>
    <row r="626" spans="1:65">
      <c r="A626" s="61">
        <f t="shared" si="102"/>
        <v>0</v>
      </c>
      <c r="B626" s="62"/>
      <c r="C626" s="62"/>
      <c r="D626" s="63"/>
      <c r="E626" s="64"/>
      <c r="F626" s="64"/>
      <c r="G626" s="65"/>
      <c r="H626" s="66" t="str">
        <f t="shared" si="79"/>
        <v/>
      </c>
      <c r="I626" s="67" t="str">
        <f t="shared" si="80"/>
        <v/>
      </c>
      <c r="J626" s="68" t="str">
        <f t="shared" si="81"/>
        <v/>
      </c>
      <c r="K626" s="69" t="str">
        <f t="shared" si="82"/>
        <v/>
      </c>
      <c r="L626" s="70" t="str">
        <f t="shared" si="83"/>
        <v/>
      </c>
      <c r="M626" s="71"/>
      <c r="N626" s="71"/>
      <c r="O626" s="71"/>
      <c r="P626" s="71"/>
      <c r="Q626" s="61"/>
      <c r="R626" s="63"/>
      <c r="S626" s="72"/>
      <c r="T626" s="61"/>
      <c r="U626" s="73"/>
      <c r="V626" s="62"/>
      <c r="W626" s="62"/>
      <c r="X626" s="62"/>
      <c r="Y626" s="93"/>
      <c r="Z626" s="94"/>
      <c r="AA626" s="74"/>
      <c r="AB626" s="75"/>
      <c r="AC626" s="75"/>
      <c r="AD626" s="76"/>
      <c r="AE626" s="77"/>
      <c r="AF626" s="75"/>
      <c r="AG626" s="78"/>
      <c r="AH626" s="79"/>
      <c r="AI626" s="74"/>
      <c r="AJ626" s="75"/>
      <c r="AK626" s="75"/>
      <c r="AL626" s="80">
        <f t="shared" si="84"/>
        <v>0</v>
      </c>
      <c r="AM626" s="74"/>
      <c r="AN626" s="74"/>
      <c r="AO626" s="81" t="str">
        <f t="shared" si="85"/>
        <v/>
      </c>
      <c r="AP626" s="82"/>
      <c r="AQ626" s="75"/>
      <c r="AR626" s="75"/>
      <c r="AS626" s="80">
        <f t="shared" si="86"/>
        <v>0</v>
      </c>
      <c r="AT626" s="74"/>
      <c r="AU626" s="75"/>
      <c r="AV626" s="75"/>
      <c r="AW626" s="75"/>
      <c r="AX626" s="80">
        <f t="shared" si="87"/>
        <v>0</v>
      </c>
      <c r="AY626" s="81" t="str">
        <f t="shared" si="88"/>
        <v/>
      </c>
      <c r="AZ626" s="83" t="str">
        <f t="shared" si="89"/>
        <v/>
      </c>
      <c r="BA626" s="80" t="str">
        <f t="shared" si="90"/>
        <v/>
      </c>
      <c r="BB626" s="84">
        <f t="shared" si="91"/>
        <v>0</v>
      </c>
      <c r="BC626" s="85" t="str">
        <f t="shared" si="92"/>
        <v/>
      </c>
      <c r="BD626" s="86" t="str">
        <f t="shared" si="93"/>
        <v/>
      </c>
      <c r="BE626" s="84">
        <f t="shared" si="94"/>
        <v>0</v>
      </c>
      <c r="BF626" s="87" t="str">
        <f t="shared" si="95"/>
        <v/>
      </c>
      <c r="BG626" s="88" t="str">
        <f t="shared" si="96"/>
        <v/>
      </c>
      <c r="BH626" s="89" t="str">
        <f t="shared" si="97"/>
        <v/>
      </c>
      <c r="BI626" s="90" t="str">
        <f t="shared" si="98"/>
        <v/>
      </c>
      <c r="BJ626" s="90" t="str">
        <f t="shared" si="99"/>
        <v/>
      </c>
      <c r="BK626" s="91">
        <f t="shared" si="100"/>
        <v>0</v>
      </c>
      <c r="BL626" s="92">
        <f t="shared" si="101"/>
        <v>0</v>
      </c>
      <c r="BM626" s="95"/>
    </row>
    <row r="627" spans="1:65">
      <c r="A627" s="61">
        <f t="shared" si="102"/>
        <v>0</v>
      </c>
      <c r="B627" s="62"/>
      <c r="C627" s="62"/>
      <c r="D627" s="63"/>
      <c r="E627" s="64"/>
      <c r="F627" s="64"/>
      <c r="G627" s="65"/>
      <c r="H627" s="66" t="str">
        <f t="shared" si="79"/>
        <v/>
      </c>
      <c r="I627" s="67" t="str">
        <f t="shared" si="80"/>
        <v/>
      </c>
      <c r="J627" s="68" t="str">
        <f t="shared" si="81"/>
        <v/>
      </c>
      <c r="K627" s="69" t="str">
        <f t="shared" si="82"/>
        <v/>
      </c>
      <c r="L627" s="70" t="str">
        <f t="shared" si="83"/>
        <v/>
      </c>
      <c r="M627" s="71"/>
      <c r="N627" s="71"/>
      <c r="O627" s="71"/>
      <c r="P627" s="71"/>
      <c r="Q627" s="61"/>
      <c r="R627" s="63"/>
      <c r="S627" s="72"/>
      <c r="T627" s="61"/>
      <c r="U627" s="73"/>
      <c r="V627" s="62"/>
      <c r="W627" s="62"/>
      <c r="X627" s="62"/>
      <c r="Y627" s="93"/>
      <c r="Z627" s="94"/>
      <c r="AA627" s="74"/>
      <c r="AB627" s="75"/>
      <c r="AC627" s="75"/>
      <c r="AD627" s="76"/>
      <c r="AE627" s="77"/>
      <c r="AF627" s="75"/>
      <c r="AG627" s="78"/>
      <c r="AH627" s="79"/>
      <c r="AI627" s="74"/>
      <c r="AJ627" s="75"/>
      <c r="AK627" s="75"/>
      <c r="AL627" s="80">
        <f t="shared" si="84"/>
        <v>0</v>
      </c>
      <c r="AM627" s="74"/>
      <c r="AN627" s="74"/>
      <c r="AO627" s="81" t="str">
        <f t="shared" si="85"/>
        <v/>
      </c>
      <c r="AP627" s="82"/>
      <c r="AQ627" s="75"/>
      <c r="AR627" s="75"/>
      <c r="AS627" s="80">
        <f t="shared" si="86"/>
        <v>0</v>
      </c>
      <c r="AT627" s="74"/>
      <c r="AU627" s="75"/>
      <c r="AV627" s="75"/>
      <c r="AW627" s="75"/>
      <c r="AX627" s="80">
        <f t="shared" si="87"/>
        <v>0</v>
      </c>
      <c r="AY627" s="81" t="str">
        <f t="shared" si="88"/>
        <v/>
      </c>
      <c r="AZ627" s="83" t="str">
        <f t="shared" si="89"/>
        <v/>
      </c>
      <c r="BA627" s="80" t="str">
        <f t="shared" si="90"/>
        <v/>
      </c>
      <c r="BB627" s="84">
        <f t="shared" si="91"/>
        <v>0</v>
      </c>
      <c r="BC627" s="85" t="str">
        <f t="shared" si="92"/>
        <v/>
      </c>
      <c r="BD627" s="86" t="str">
        <f t="shared" si="93"/>
        <v/>
      </c>
      <c r="BE627" s="84">
        <f t="shared" si="94"/>
        <v>0</v>
      </c>
      <c r="BF627" s="87" t="str">
        <f t="shared" si="95"/>
        <v/>
      </c>
      <c r="BG627" s="88" t="str">
        <f t="shared" si="96"/>
        <v/>
      </c>
      <c r="BH627" s="89" t="str">
        <f t="shared" si="97"/>
        <v/>
      </c>
      <c r="BI627" s="90" t="str">
        <f t="shared" si="98"/>
        <v/>
      </c>
      <c r="BJ627" s="90" t="str">
        <f t="shared" si="99"/>
        <v/>
      </c>
      <c r="BK627" s="91">
        <f t="shared" si="100"/>
        <v>0</v>
      </c>
      <c r="BL627" s="92">
        <f t="shared" si="101"/>
        <v>0</v>
      </c>
      <c r="BM627" s="95"/>
    </row>
    <row r="628" spans="1:65">
      <c r="A628" s="61">
        <f t="shared" si="102"/>
        <v>0</v>
      </c>
      <c r="B628" s="62"/>
      <c r="C628" s="62"/>
      <c r="D628" s="63"/>
      <c r="E628" s="64"/>
      <c r="F628" s="64"/>
      <c r="G628" s="65"/>
      <c r="H628" s="66" t="str">
        <f t="shared" si="79"/>
        <v/>
      </c>
      <c r="I628" s="67" t="str">
        <f t="shared" si="80"/>
        <v/>
      </c>
      <c r="J628" s="68" t="str">
        <f t="shared" si="81"/>
        <v/>
      </c>
      <c r="K628" s="69" t="str">
        <f t="shared" si="82"/>
        <v/>
      </c>
      <c r="L628" s="70" t="str">
        <f t="shared" si="83"/>
        <v/>
      </c>
      <c r="M628" s="71"/>
      <c r="N628" s="71"/>
      <c r="O628" s="71"/>
      <c r="P628" s="71"/>
      <c r="Q628" s="61"/>
      <c r="R628" s="63"/>
      <c r="S628" s="72"/>
      <c r="T628" s="61"/>
      <c r="U628" s="73"/>
      <c r="V628" s="62"/>
      <c r="W628" s="62"/>
      <c r="X628" s="62"/>
      <c r="Y628" s="93"/>
      <c r="Z628" s="94"/>
      <c r="AA628" s="74"/>
      <c r="AB628" s="75"/>
      <c r="AC628" s="75"/>
      <c r="AD628" s="76"/>
      <c r="AE628" s="77"/>
      <c r="AF628" s="75"/>
      <c r="AG628" s="78"/>
      <c r="AH628" s="79"/>
      <c r="AI628" s="74"/>
      <c r="AJ628" s="75"/>
      <c r="AK628" s="75"/>
      <c r="AL628" s="80">
        <f t="shared" si="84"/>
        <v>0</v>
      </c>
      <c r="AM628" s="74"/>
      <c r="AN628" s="74"/>
      <c r="AO628" s="81" t="str">
        <f t="shared" si="85"/>
        <v/>
      </c>
      <c r="AP628" s="82"/>
      <c r="AQ628" s="75"/>
      <c r="AR628" s="75"/>
      <c r="AS628" s="80">
        <f t="shared" si="86"/>
        <v>0</v>
      </c>
      <c r="AT628" s="74"/>
      <c r="AU628" s="75"/>
      <c r="AV628" s="75"/>
      <c r="AW628" s="75"/>
      <c r="AX628" s="80">
        <f t="shared" si="87"/>
        <v>0</v>
      </c>
      <c r="AY628" s="81" t="str">
        <f t="shared" si="88"/>
        <v/>
      </c>
      <c r="AZ628" s="83" t="str">
        <f t="shared" si="89"/>
        <v/>
      </c>
      <c r="BA628" s="80" t="str">
        <f t="shared" si="90"/>
        <v/>
      </c>
      <c r="BB628" s="84">
        <f t="shared" si="91"/>
        <v>0</v>
      </c>
      <c r="BC628" s="85" t="str">
        <f t="shared" si="92"/>
        <v/>
      </c>
      <c r="BD628" s="86" t="str">
        <f t="shared" si="93"/>
        <v/>
      </c>
      <c r="BE628" s="84">
        <f t="shared" si="94"/>
        <v>0</v>
      </c>
      <c r="BF628" s="87" t="str">
        <f t="shared" si="95"/>
        <v/>
      </c>
      <c r="BG628" s="88" t="str">
        <f t="shared" si="96"/>
        <v/>
      </c>
      <c r="BH628" s="89" t="str">
        <f t="shared" si="97"/>
        <v/>
      </c>
      <c r="BI628" s="90" t="str">
        <f t="shared" si="98"/>
        <v/>
      </c>
      <c r="BJ628" s="90" t="str">
        <f t="shared" si="99"/>
        <v/>
      </c>
      <c r="BK628" s="91">
        <f t="shared" si="100"/>
        <v>0</v>
      </c>
      <c r="BL628" s="92">
        <f t="shared" si="101"/>
        <v>0</v>
      </c>
      <c r="BM628" s="95"/>
    </row>
    <row r="629" spans="1:65">
      <c r="A629" s="61">
        <f t="shared" si="102"/>
        <v>0</v>
      </c>
      <c r="B629" s="62"/>
      <c r="C629" s="62"/>
      <c r="D629" s="63"/>
      <c r="E629" s="64"/>
      <c r="F629" s="64"/>
      <c r="G629" s="65"/>
      <c r="H629" s="66" t="str">
        <f t="shared" si="79"/>
        <v/>
      </c>
      <c r="I629" s="67" t="str">
        <f t="shared" si="80"/>
        <v/>
      </c>
      <c r="J629" s="68" t="str">
        <f t="shared" si="81"/>
        <v/>
      </c>
      <c r="K629" s="69" t="str">
        <f t="shared" si="82"/>
        <v/>
      </c>
      <c r="L629" s="70" t="str">
        <f t="shared" si="83"/>
        <v/>
      </c>
      <c r="M629" s="71"/>
      <c r="N629" s="71"/>
      <c r="O629" s="71"/>
      <c r="P629" s="71"/>
      <c r="Q629" s="61"/>
      <c r="R629" s="63"/>
      <c r="S629" s="72"/>
      <c r="T629" s="61"/>
      <c r="U629" s="73"/>
      <c r="V629" s="62"/>
      <c r="W629" s="62"/>
      <c r="X629" s="62"/>
      <c r="Y629" s="93"/>
      <c r="Z629" s="94"/>
      <c r="AA629" s="74"/>
      <c r="AB629" s="75"/>
      <c r="AC629" s="75"/>
      <c r="AD629" s="76"/>
      <c r="AE629" s="77"/>
      <c r="AF629" s="75"/>
      <c r="AG629" s="78"/>
      <c r="AH629" s="79"/>
      <c r="AI629" s="74"/>
      <c r="AJ629" s="75"/>
      <c r="AK629" s="75"/>
      <c r="AL629" s="80">
        <f t="shared" si="84"/>
        <v>0</v>
      </c>
      <c r="AM629" s="74"/>
      <c r="AN629" s="74"/>
      <c r="AO629" s="81" t="str">
        <f t="shared" si="85"/>
        <v/>
      </c>
      <c r="AP629" s="82"/>
      <c r="AQ629" s="75"/>
      <c r="AR629" s="75"/>
      <c r="AS629" s="80">
        <f t="shared" si="86"/>
        <v>0</v>
      </c>
      <c r="AT629" s="74"/>
      <c r="AU629" s="75"/>
      <c r="AV629" s="75"/>
      <c r="AW629" s="75"/>
      <c r="AX629" s="80">
        <f t="shared" si="87"/>
        <v>0</v>
      </c>
      <c r="AY629" s="81" t="str">
        <f t="shared" si="88"/>
        <v/>
      </c>
      <c r="AZ629" s="83" t="str">
        <f t="shared" si="89"/>
        <v/>
      </c>
      <c r="BA629" s="80" t="str">
        <f t="shared" si="90"/>
        <v/>
      </c>
      <c r="BB629" s="84">
        <f t="shared" si="91"/>
        <v>0</v>
      </c>
      <c r="BC629" s="85" t="str">
        <f t="shared" si="92"/>
        <v/>
      </c>
      <c r="BD629" s="86" t="str">
        <f t="shared" si="93"/>
        <v/>
      </c>
      <c r="BE629" s="84">
        <f t="shared" si="94"/>
        <v>0</v>
      </c>
      <c r="BF629" s="87" t="str">
        <f t="shared" si="95"/>
        <v/>
      </c>
      <c r="BG629" s="88" t="str">
        <f t="shared" si="96"/>
        <v/>
      </c>
      <c r="BH629" s="89" t="str">
        <f t="shared" si="97"/>
        <v/>
      </c>
      <c r="BI629" s="90" t="str">
        <f t="shared" si="98"/>
        <v/>
      </c>
      <c r="BJ629" s="90" t="str">
        <f t="shared" si="99"/>
        <v/>
      </c>
      <c r="BK629" s="91">
        <f t="shared" si="100"/>
        <v>0</v>
      </c>
      <c r="BL629" s="92">
        <f t="shared" si="101"/>
        <v>0</v>
      </c>
      <c r="BM629" s="95"/>
    </row>
    <row r="630" spans="1:65">
      <c r="A630" s="61">
        <f t="shared" si="102"/>
        <v>0</v>
      </c>
      <c r="B630" s="62"/>
      <c r="C630" s="62"/>
      <c r="D630" s="63"/>
      <c r="E630" s="64"/>
      <c r="F630" s="64"/>
      <c r="G630" s="65"/>
      <c r="H630" s="66" t="str">
        <f t="shared" si="79"/>
        <v/>
      </c>
      <c r="I630" s="67" t="str">
        <f t="shared" si="80"/>
        <v/>
      </c>
      <c r="J630" s="68" t="str">
        <f t="shared" si="81"/>
        <v/>
      </c>
      <c r="K630" s="69" t="str">
        <f t="shared" si="82"/>
        <v/>
      </c>
      <c r="L630" s="70" t="str">
        <f t="shared" si="83"/>
        <v/>
      </c>
      <c r="M630" s="71"/>
      <c r="N630" s="71"/>
      <c r="O630" s="71"/>
      <c r="P630" s="71"/>
      <c r="Q630" s="61"/>
      <c r="R630" s="63"/>
      <c r="S630" s="72"/>
      <c r="T630" s="61"/>
      <c r="U630" s="73"/>
      <c r="V630" s="62"/>
      <c r="W630" s="62"/>
      <c r="X630" s="62"/>
      <c r="Y630" s="93"/>
      <c r="Z630" s="94"/>
      <c r="AA630" s="74"/>
      <c r="AB630" s="75"/>
      <c r="AC630" s="75"/>
      <c r="AD630" s="76"/>
      <c r="AE630" s="77"/>
      <c r="AF630" s="75"/>
      <c r="AG630" s="78"/>
      <c r="AH630" s="79"/>
      <c r="AI630" s="74"/>
      <c r="AJ630" s="75"/>
      <c r="AK630" s="75"/>
      <c r="AL630" s="80">
        <f t="shared" si="84"/>
        <v>0</v>
      </c>
      <c r="AM630" s="74"/>
      <c r="AN630" s="74"/>
      <c r="AO630" s="81" t="str">
        <f t="shared" si="85"/>
        <v/>
      </c>
      <c r="AP630" s="82"/>
      <c r="AQ630" s="75"/>
      <c r="AR630" s="75"/>
      <c r="AS630" s="80">
        <f t="shared" si="86"/>
        <v>0</v>
      </c>
      <c r="AT630" s="74"/>
      <c r="AU630" s="75"/>
      <c r="AV630" s="75"/>
      <c r="AW630" s="75"/>
      <c r="AX630" s="80">
        <f t="shared" si="87"/>
        <v>0</v>
      </c>
      <c r="AY630" s="81" t="str">
        <f t="shared" si="88"/>
        <v/>
      </c>
      <c r="AZ630" s="83" t="str">
        <f t="shared" si="89"/>
        <v/>
      </c>
      <c r="BA630" s="80" t="str">
        <f t="shared" si="90"/>
        <v/>
      </c>
      <c r="BB630" s="84">
        <f t="shared" si="91"/>
        <v>0</v>
      </c>
      <c r="BC630" s="85" t="str">
        <f t="shared" si="92"/>
        <v/>
      </c>
      <c r="BD630" s="86" t="str">
        <f t="shared" si="93"/>
        <v/>
      </c>
      <c r="BE630" s="84">
        <f t="shared" si="94"/>
        <v>0</v>
      </c>
      <c r="BF630" s="87" t="str">
        <f t="shared" si="95"/>
        <v/>
      </c>
      <c r="BG630" s="88" t="str">
        <f t="shared" si="96"/>
        <v/>
      </c>
      <c r="BH630" s="89" t="str">
        <f t="shared" si="97"/>
        <v/>
      </c>
      <c r="BI630" s="90" t="str">
        <f t="shared" si="98"/>
        <v/>
      </c>
      <c r="BJ630" s="90" t="str">
        <f t="shared" si="99"/>
        <v/>
      </c>
      <c r="BK630" s="91">
        <f t="shared" si="100"/>
        <v>0</v>
      </c>
      <c r="BL630" s="92">
        <f t="shared" si="101"/>
        <v>0</v>
      </c>
      <c r="BM630" s="95"/>
    </row>
    <row r="631" spans="1:65">
      <c r="A631" s="61">
        <f t="shared" si="102"/>
        <v>0</v>
      </c>
      <c r="B631" s="62"/>
      <c r="C631" s="62"/>
      <c r="D631" s="63"/>
      <c r="E631" s="64"/>
      <c r="F631" s="64"/>
      <c r="G631" s="65"/>
      <c r="H631" s="66" t="str">
        <f t="shared" si="79"/>
        <v/>
      </c>
      <c r="I631" s="67" t="str">
        <f t="shared" si="80"/>
        <v/>
      </c>
      <c r="J631" s="68" t="str">
        <f t="shared" si="81"/>
        <v/>
      </c>
      <c r="K631" s="69" t="str">
        <f t="shared" si="82"/>
        <v/>
      </c>
      <c r="L631" s="70" t="str">
        <f t="shared" si="83"/>
        <v/>
      </c>
      <c r="M631" s="71"/>
      <c r="N631" s="71"/>
      <c r="O631" s="71"/>
      <c r="P631" s="71"/>
      <c r="Q631" s="61"/>
      <c r="R631" s="63"/>
      <c r="S631" s="72"/>
      <c r="T631" s="61"/>
      <c r="U631" s="73"/>
      <c r="V631" s="62"/>
      <c r="W631" s="62"/>
      <c r="X631" s="62"/>
      <c r="Y631" s="93"/>
      <c r="Z631" s="94"/>
      <c r="AA631" s="74"/>
      <c r="AB631" s="75"/>
      <c r="AC631" s="75"/>
      <c r="AD631" s="76"/>
      <c r="AE631" s="77"/>
      <c r="AF631" s="75"/>
      <c r="AG631" s="78"/>
      <c r="AH631" s="79"/>
      <c r="AI631" s="74"/>
      <c r="AJ631" s="75"/>
      <c r="AK631" s="75"/>
      <c r="AL631" s="80">
        <f t="shared" si="84"/>
        <v>0</v>
      </c>
      <c r="AM631" s="74"/>
      <c r="AN631" s="74"/>
      <c r="AO631" s="81" t="str">
        <f t="shared" si="85"/>
        <v/>
      </c>
      <c r="AP631" s="82"/>
      <c r="AQ631" s="75"/>
      <c r="AR631" s="75"/>
      <c r="AS631" s="80">
        <f t="shared" si="86"/>
        <v>0</v>
      </c>
      <c r="AT631" s="74"/>
      <c r="AU631" s="75"/>
      <c r="AV631" s="75"/>
      <c r="AW631" s="75"/>
      <c r="AX631" s="80">
        <f t="shared" si="87"/>
        <v>0</v>
      </c>
      <c r="AY631" s="81" t="str">
        <f t="shared" si="88"/>
        <v/>
      </c>
      <c r="AZ631" s="83" t="str">
        <f t="shared" si="89"/>
        <v/>
      </c>
      <c r="BA631" s="80" t="str">
        <f t="shared" si="90"/>
        <v/>
      </c>
      <c r="BB631" s="84">
        <f t="shared" si="91"/>
        <v>0</v>
      </c>
      <c r="BC631" s="85" t="str">
        <f t="shared" si="92"/>
        <v/>
      </c>
      <c r="BD631" s="86" t="str">
        <f t="shared" si="93"/>
        <v/>
      </c>
      <c r="BE631" s="84">
        <f t="shared" si="94"/>
        <v>0</v>
      </c>
      <c r="BF631" s="87" t="str">
        <f t="shared" si="95"/>
        <v/>
      </c>
      <c r="BG631" s="88" t="str">
        <f t="shared" si="96"/>
        <v/>
      </c>
      <c r="BH631" s="89" t="str">
        <f t="shared" si="97"/>
        <v/>
      </c>
      <c r="BI631" s="90" t="str">
        <f t="shared" si="98"/>
        <v/>
      </c>
      <c r="BJ631" s="90" t="str">
        <f t="shared" si="99"/>
        <v/>
      </c>
      <c r="BK631" s="91">
        <f t="shared" si="100"/>
        <v>0</v>
      </c>
      <c r="BL631" s="92">
        <f t="shared" si="101"/>
        <v>0</v>
      </c>
      <c r="BM631" s="95"/>
    </row>
    <row r="632" spans="1:65">
      <c r="A632" s="61">
        <f t="shared" si="102"/>
        <v>0</v>
      </c>
      <c r="B632" s="62"/>
      <c r="C632" s="62"/>
      <c r="D632" s="63"/>
      <c r="E632" s="64"/>
      <c r="F632" s="64"/>
      <c r="G632" s="65"/>
      <c r="H632" s="66" t="str">
        <f t="shared" si="79"/>
        <v/>
      </c>
      <c r="I632" s="67" t="str">
        <f t="shared" si="80"/>
        <v/>
      </c>
      <c r="J632" s="68" t="str">
        <f t="shared" si="81"/>
        <v/>
      </c>
      <c r="K632" s="69" t="str">
        <f t="shared" si="82"/>
        <v/>
      </c>
      <c r="L632" s="70" t="str">
        <f t="shared" si="83"/>
        <v/>
      </c>
      <c r="M632" s="71"/>
      <c r="N632" s="71"/>
      <c r="O632" s="71"/>
      <c r="P632" s="71"/>
      <c r="Q632" s="61"/>
      <c r="R632" s="63"/>
      <c r="S632" s="72"/>
      <c r="T632" s="61"/>
      <c r="U632" s="73"/>
      <c r="V632" s="62"/>
      <c r="W632" s="62"/>
      <c r="X632" s="62"/>
      <c r="Y632" s="93"/>
      <c r="Z632" s="94"/>
      <c r="AA632" s="74"/>
      <c r="AB632" s="75"/>
      <c r="AC632" s="75"/>
      <c r="AD632" s="76"/>
      <c r="AE632" s="77"/>
      <c r="AF632" s="75"/>
      <c r="AG632" s="78"/>
      <c r="AH632" s="79"/>
      <c r="AI632" s="74"/>
      <c r="AJ632" s="75"/>
      <c r="AK632" s="75"/>
      <c r="AL632" s="80">
        <f t="shared" si="84"/>
        <v>0</v>
      </c>
      <c r="AM632" s="74"/>
      <c r="AN632" s="74"/>
      <c r="AO632" s="81" t="str">
        <f t="shared" si="85"/>
        <v/>
      </c>
      <c r="AP632" s="82"/>
      <c r="AQ632" s="75"/>
      <c r="AR632" s="75"/>
      <c r="AS632" s="80">
        <f t="shared" si="86"/>
        <v>0</v>
      </c>
      <c r="AT632" s="74"/>
      <c r="AU632" s="75"/>
      <c r="AV632" s="75"/>
      <c r="AW632" s="75"/>
      <c r="AX632" s="80">
        <f t="shared" si="87"/>
        <v>0</v>
      </c>
      <c r="AY632" s="81" t="str">
        <f t="shared" si="88"/>
        <v/>
      </c>
      <c r="AZ632" s="83" t="str">
        <f t="shared" si="89"/>
        <v/>
      </c>
      <c r="BA632" s="80" t="str">
        <f t="shared" si="90"/>
        <v/>
      </c>
      <c r="BB632" s="84">
        <f t="shared" si="91"/>
        <v>0</v>
      </c>
      <c r="BC632" s="85" t="str">
        <f t="shared" si="92"/>
        <v/>
      </c>
      <c r="BD632" s="86" t="str">
        <f t="shared" si="93"/>
        <v/>
      </c>
      <c r="BE632" s="84">
        <f t="shared" si="94"/>
        <v>0</v>
      </c>
      <c r="BF632" s="87" t="str">
        <f t="shared" si="95"/>
        <v/>
      </c>
      <c r="BG632" s="88" t="str">
        <f t="shared" si="96"/>
        <v/>
      </c>
      <c r="BH632" s="89" t="str">
        <f t="shared" si="97"/>
        <v/>
      </c>
      <c r="BI632" s="90" t="str">
        <f t="shared" si="98"/>
        <v/>
      </c>
      <c r="BJ632" s="90" t="str">
        <f t="shared" si="99"/>
        <v/>
      </c>
      <c r="BK632" s="91">
        <f t="shared" si="100"/>
        <v>0</v>
      </c>
      <c r="BL632" s="92">
        <f t="shared" si="101"/>
        <v>0</v>
      </c>
      <c r="BM632" s="95"/>
    </row>
    <row r="633" spans="1:65">
      <c r="A633" s="61">
        <f t="shared" si="102"/>
        <v>0</v>
      </c>
      <c r="B633" s="62"/>
      <c r="C633" s="62"/>
      <c r="D633" s="63"/>
      <c r="E633" s="64"/>
      <c r="F633" s="64"/>
      <c r="G633" s="65"/>
      <c r="H633" s="66" t="str">
        <f t="shared" si="79"/>
        <v/>
      </c>
      <c r="I633" s="67" t="str">
        <f t="shared" si="80"/>
        <v/>
      </c>
      <c r="J633" s="68" t="str">
        <f t="shared" si="81"/>
        <v/>
      </c>
      <c r="K633" s="69" t="str">
        <f t="shared" si="82"/>
        <v/>
      </c>
      <c r="L633" s="70" t="str">
        <f t="shared" si="83"/>
        <v/>
      </c>
      <c r="M633" s="71"/>
      <c r="N633" s="71"/>
      <c r="O633" s="71"/>
      <c r="P633" s="71"/>
      <c r="Q633" s="61"/>
      <c r="R633" s="63"/>
      <c r="S633" s="72"/>
      <c r="T633" s="61"/>
      <c r="U633" s="73"/>
      <c r="V633" s="62"/>
      <c r="W633" s="62"/>
      <c r="X633" s="62"/>
      <c r="Y633" s="93"/>
      <c r="Z633" s="94"/>
      <c r="AA633" s="74"/>
      <c r="AB633" s="75"/>
      <c r="AC633" s="75"/>
      <c r="AD633" s="76"/>
      <c r="AE633" s="77"/>
      <c r="AF633" s="75"/>
      <c r="AG633" s="78"/>
      <c r="AH633" s="79"/>
      <c r="AI633" s="74"/>
      <c r="AJ633" s="75"/>
      <c r="AK633" s="75"/>
      <c r="AL633" s="80">
        <f t="shared" si="84"/>
        <v>0</v>
      </c>
      <c r="AM633" s="74"/>
      <c r="AN633" s="74"/>
      <c r="AO633" s="81" t="str">
        <f t="shared" si="85"/>
        <v/>
      </c>
      <c r="AP633" s="82"/>
      <c r="AQ633" s="75"/>
      <c r="AR633" s="75"/>
      <c r="AS633" s="80">
        <f t="shared" si="86"/>
        <v>0</v>
      </c>
      <c r="AT633" s="74"/>
      <c r="AU633" s="75"/>
      <c r="AV633" s="75"/>
      <c r="AW633" s="75"/>
      <c r="AX633" s="80">
        <f t="shared" si="87"/>
        <v>0</v>
      </c>
      <c r="AY633" s="81" t="str">
        <f t="shared" si="88"/>
        <v/>
      </c>
      <c r="AZ633" s="83" t="str">
        <f t="shared" si="89"/>
        <v/>
      </c>
      <c r="BA633" s="80" t="str">
        <f t="shared" si="90"/>
        <v/>
      </c>
      <c r="BB633" s="84">
        <f t="shared" si="91"/>
        <v>0</v>
      </c>
      <c r="BC633" s="85" t="str">
        <f t="shared" si="92"/>
        <v/>
      </c>
      <c r="BD633" s="86" t="str">
        <f t="shared" si="93"/>
        <v/>
      </c>
      <c r="BE633" s="84">
        <f t="shared" si="94"/>
        <v>0</v>
      </c>
      <c r="BF633" s="87" t="str">
        <f t="shared" si="95"/>
        <v/>
      </c>
      <c r="BG633" s="88" t="str">
        <f t="shared" si="96"/>
        <v/>
      </c>
      <c r="BH633" s="89" t="str">
        <f t="shared" si="97"/>
        <v/>
      </c>
      <c r="BI633" s="90" t="str">
        <f t="shared" si="98"/>
        <v/>
      </c>
      <c r="BJ633" s="90" t="str">
        <f t="shared" si="99"/>
        <v/>
      </c>
      <c r="BK633" s="91">
        <f t="shared" si="100"/>
        <v>0</v>
      </c>
      <c r="BL633" s="92">
        <f t="shared" si="101"/>
        <v>0</v>
      </c>
      <c r="BM633" s="95"/>
    </row>
    <row r="634" spans="1:65">
      <c r="A634" s="61">
        <f t="shared" si="102"/>
        <v>0</v>
      </c>
      <c r="B634" s="62"/>
      <c r="C634" s="62"/>
      <c r="D634" s="63"/>
      <c r="E634" s="64"/>
      <c r="F634" s="64"/>
      <c r="G634" s="65"/>
      <c r="H634" s="66" t="str">
        <f t="shared" si="79"/>
        <v/>
      </c>
      <c r="I634" s="67" t="str">
        <f t="shared" si="80"/>
        <v/>
      </c>
      <c r="J634" s="68" t="str">
        <f t="shared" si="81"/>
        <v/>
      </c>
      <c r="K634" s="69" t="str">
        <f t="shared" si="82"/>
        <v/>
      </c>
      <c r="L634" s="70" t="str">
        <f t="shared" si="83"/>
        <v/>
      </c>
      <c r="M634" s="71"/>
      <c r="N634" s="71"/>
      <c r="O634" s="71"/>
      <c r="P634" s="71"/>
      <c r="Q634" s="61"/>
      <c r="R634" s="63"/>
      <c r="S634" s="72"/>
      <c r="T634" s="61"/>
      <c r="U634" s="73"/>
      <c r="V634" s="62"/>
      <c r="W634" s="62"/>
      <c r="X634" s="62"/>
      <c r="Y634" s="93"/>
      <c r="Z634" s="94"/>
      <c r="AA634" s="74"/>
      <c r="AB634" s="75"/>
      <c r="AC634" s="75"/>
      <c r="AD634" s="76"/>
      <c r="AE634" s="77"/>
      <c r="AF634" s="75"/>
      <c r="AG634" s="78"/>
      <c r="AH634" s="79"/>
      <c r="AI634" s="74"/>
      <c r="AJ634" s="75"/>
      <c r="AK634" s="75"/>
      <c r="AL634" s="80">
        <f t="shared" si="84"/>
        <v>0</v>
      </c>
      <c r="AM634" s="74"/>
      <c r="AN634" s="74"/>
      <c r="AO634" s="81" t="str">
        <f t="shared" si="85"/>
        <v/>
      </c>
      <c r="AP634" s="82"/>
      <c r="AQ634" s="75"/>
      <c r="AR634" s="75"/>
      <c r="AS634" s="80">
        <f t="shared" si="86"/>
        <v>0</v>
      </c>
      <c r="AT634" s="74"/>
      <c r="AU634" s="75"/>
      <c r="AV634" s="75"/>
      <c r="AW634" s="75"/>
      <c r="AX634" s="80">
        <f t="shared" si="87"/>
        <v>0</v>
      </c>
      <c r="AY634" s="81" t="str">
        <f t="shared" si="88"/>
        <v/>
      </c>
      <c r="AZ634" s="83" t="str">
        <f t="shared" si="89"/>
        <v/>
      </c>
      <c r="BA634" s="80" t="str">
        <f t="shared" si="90"/>
        <v/>
      </c>
      <c r="BB634" s="84">
        <f t="shared" si="91"/>
        <v>0</v>
      </c>
      <c r="BC634" s="85" t="str">
        <f t="shared" si="92"/>
        <v/>
      </c>
      <c r="BD634" s="86" t="str">
        <f t="shared" si="93"/>
        <v/>
      </c>
      <c r="BE634" s="84">
        <f t="shared" si="94"/>
        <v>0</v>
      </c>
      <c r="BF634" s="87" t="str">
        <f t="shared" si="95"/>
        <v/>
      </c>
      <c r="BG634" s="88" t="str">
        <f t="shared" si="96"/>
        <v/>
      </c>
      <c r="BH634" s="89" t="str">
        <f t="shared" si="97"/>
        <v/>
      </c>
      <c r="BI634" s="90" t="str">
        <f t="shared" si="98"/>
        <v/>
      </c>
      <c r="BJ634" s="90" t="str">
        <f t="shared" si="99"/>
        <v/>
      </c>
      <c r="BK634" s="91">
        <f t="shared" si="100"/>
        <v>0</v>
      </c>
      <c r="BL634" s="92">
        <f t="shared" si="101"/>
        <v>0</v>
      </c>
      <c r="BM634" s="95"/>
    </row>
    <row r="635" spans="1:65">
      <c r="A635" s="61">
        <f t="shared" si="102"/>
        <v>0</v>
      </c>
      <c r="B635" s="62"/>
      <c r="C635" s="62"/>
      <c r="D635" s="63"/>
      <c r="E635" s="64"/>
      <c r="F635" s="64"/>
      <c r="G635" s="65"/>
      <c r="H635" s="66" t="str">
        <f t="shared" si="79"/>
        <v/>
      </c>
      <c r="I635" s="67" t="str">
        <f t="shared" si="80"/>
        <v/>
      </c>
      <c r="J635" s="68" t="str">
        <f t="shared" si="81"/>
        <v/>
      </c>
      <c r="K635" s="69" t="str">
        <f t="shared" si="82"/>
        <v/>
      </c>
      <c r="L635" s="70" t="str">
        <f t="shared" si="83"/>
        <v/>
      </c>
      <c r="M635" s="71"/>
      <c r="N635" s="71"/>
      <c r="O635" s="71"/>
      <c r="P635" s="71"/>
      <c r="Q635" s="61"/>
      <c r="R635" s="63"/>
      <c r="S635" s="72"/>
      <c r="T635" s="61"/>
      <c r="U635" s="73"/>
      <c r="V635" s="62"/>
      <c r="W635" s="62"/>
      <c r="X635" s="62"/>
      <c r="Y635" s="93"/>
      <c r="Z635" s="94"/>
      <c r="AA635" s="74"/>
      <c r="AB635" s="75"/>
      <c r="AC635" s="75"/>
      <c r="AD635" s="76"/>
      <c r="AE635" s="77"/>
      <c r="AF635" s="75"/>
      <c r="AG635" s="78"/>
      <c r="AH635" s="79"/>
      <c r="AI635" s="74"/>
      <c r="AJ635" s="75"/>
      <c r="AK635" s="75"/>
      <c r="AL635" s="80">
        <f t="shared" si="84"/>
        <v>0</v>
      </c>
      <c r="AM635" s="74"/>
      <c r="AN635" s="74"/>
      <c r="AO635" s="81" t="str">
        <f t="shared" si="85"/>
        <v/>
      </c>
      <c r="AP635" s="82"/>
      <c r="AQ635" s="75"/>
      <c r="AR635" s="75"/>
      <c r="AS635" s="80">
        <f t="shared" si="86"/>
        <v>0</v>
      </c>
      <c r="AT635" s="74"/>
      <c r="AU635" s="75"/>
      <c r="AV635" s="75"/>
      <c r="AW635" s="75"/>
      <c r="AX635" s="80">
        <f t="shared" si="87"/>
        <v>0</v>
      </c>
      <c r="AY635" s="81" t="str">
        <f t="shared" si="88"/>
        <v/>
      </c>
      <c r="AZ635" s="83" t="str">
        <f t="shared" si="89"/>
        <v/>
      </c>
      <c r="BA635" s="80" t="str">
        <f t="shared" si="90"/>
        <v/>
      </c>
      <c r="BB635" s="84">
        <f t="shared" si="91"/>
        <v>0</v>
      </c>
      <c r="BC635" s="85" t="str">
        <f t="shared" si="92"/>
        <v/>
      </c>
      <c r="BD635" s="86" t="str">
        <f t="shared" si="93"/>
        <v/>
      </c>
      <c r="BE635" s="84">
        <f t="shared" si="94"/>
        <v>0</v>
      </c>
      <c r="BF635" s="87" t="str">
        <f t="shared" si="95"/>
        <v/>
      </c>
      <c r="BG635" s="88" t="str">
        <f t="shared" si="96"/>
        <v/>
      </c>
      <c r="BH635" s="89" t="str">
        <f t="shared" si="97"/>
        <v/>
      </c>
      <c r="BI635" s="90" t="str">
        <f t="shared" si="98"/>
        <v/>
      </c>
      <c r="BJ635" s="90" t="str">
        <f t="shared" si="99"/>
        <v/>
      </c>
      <c r="BK635" s="91">
        <f t="shared" si="100"/>
        <v>0</v>
      </c>
      <c r="BL635" s="92">
        <f t="shared" si="101"/>
        <v>0</v>
      </c>
      <c r="BM635" s="95"/>
    </row>
    <row r="636" spans="1:65">
      <c r="A636" s="61">
        <f t="shared" si="102"/>
        <v>0</v>
      </c>
      <c r="B636" s="62"/>
      <c r="C636" s="62"/>
      <c r="D636" s="63"/>
      <c r="E636" s="64"/>
      <c r="F636" s="64"/>
      <c r="G636" s="65"/>
      <c r="H636" s="66" t="str">
        <f t="shared" si="79"/>
        <v/>
      </c>
      <c r="I636" s="67" t="str">
        <f t="shared" si="80"/>
        <v/>
      </c>
      <c r="J636" s="68" t="str">
        <f t="shared" si="81"/>
        <v/>
      </c>
      <c r="K636" s="69" t="str">
        <f t="shared" si="82"/>
        <v/>
      </c>
      <c r="L636" s="70" t="str">
        <f t="shared" si="83"/>
        <v/>
      </c>
      <c r="M636" s="71"/>
      <c r="N636" s="71"/>
      <c r="O636" s="71"/>
      <c r="P636" s="71"/>
      <c r="Q636" s="61"/>
      <c r="R636" s="63"/>
      <c r="S636" s="72"/>
      <c r="T636" s="61"/>
      <c r="U636" s="73"/>
      <c r="V636" s="62"/>
      <c r="W636" s="62"/>
      <c r="X636" s="62"/>
      <c r="Y636" s="93"/>
      <c r="Z636" s="94"/>
      <c r="AA636" s="74"/>
      <c r="AB636" s="75"/>
      <c r="AC636" s="75"/>
      <c r="AD636" s="76"/>
      <c r="AE636" s="77"/>
      <c r="AF636" s="75"/>
      <c r="AG636" s="78"/>
      <c r="AH636" s="79"/>
      <c r="AI636" s="74"/>
      <c r="AJ636" s="75"/>
      <c r="AK636" s="75"/>
      <c r="AL636" s="80">
        <f t="shared" si="84"/>
        <v>0</v>
      </c>
      <c r="AM636" s="74"/>
      <c r="AN636" s="74"/>
      <c r="AO636" s="81" t="str">
        <f t="shared" si="85"/>
        <v/>
      </c>
      <c r="AP636" s="82"/>
      <c r="AQ636" s="75"/>
      <c r="AR636" s="75"/>
      <c r="AS636" s="80">
        <f t="shared" si="86"/>
        <v>0</v>
      </c>
      <c r="AT636" s="74"/>
      <c r="AU636" s="75"/>
      <c r="AV636" s="75"/>
      <c r="AW636" s="75"/>
      <c r="AX636" s="80">
        <f t="shared" si="87"/>
        <v>0</v>
      </c>
      <c r="AY636" s="81" t="str">
        <f t="shared" si="88"/>
        <v/>
      </c>
      <c r="AZ636" s="83" t="str">
        <f t="shared" si="89"/>
        <v/>
      </c>
      <c r="BA636" s="80" t="str">
        <f t="shared" si="90"/>
        <v/>
      </c>
      <c r="BB636" s="84">
        <f t="shared" si="91"/>
        <v>0</v>
      </c>
      <c r="BC636" s="85" t="str">
        <f t="shared" si="92"/>
        <v/>
      </c>
      <c r="BD636" s="86" t="str">
        <f t="shared" si="93"/>
        <v/>
      </c>
      <c r="BE636" s="84">
        <f t="shared" si="94"/>
        <v>0</v>
      </c>
      <c r="BF636" s="87" t="str">
        <f t="shared" si="95"/>
        <v/>
      </c>
      <c r="BG636" s="88" t="str">
        <f t="shared" si="96"/>
        <v/>
      </c>
      <c r="BH636" s="89" t="str">
        <f t="shared" si="97"/>
        <v/>
      </c>
      <c r="BI636" s="90" t="str">
        <f t="shared" si="98"/>
        <v/>
      </c>
      <c r="BJ636" s="90" t="str">
        <f t="shared" si="99"/>
        <v/>
      </c>
      <c r="BK636" s="91">
        <f t="shared" si="100"/>
        <v>0</v>
      </c>
      <c r="BL636" s="92">
        <f t="shared" si="101"/>
        <v>0</v>
      </c>
      <c r="BM636" s="95"/>
    </row>
    <row r="637" spans="1:65">
      <c r="A637" s="61">
        <f t="shared" si="102"/>
        <v>0</v>
      </c>
      <c r="B637" s="62"/>
      <c r="C637" s="62"/>
      <c r="D637" s="63"/>
      <c r="E637" s="64"/>
      <c r="F637" s="64"/>
      <c r="G637" s="65"/>
      <c r="H637" s="66" t="str">
        <f t="shared" si="79"/>
        <v/>
      </c>
      <c r="I637" s="67" t="str">
        <f t="shared" si="80"/>
        <v/>
      </c>
      <c r="J637" s="68" t="str">
        <f t="shared" si="81"/>
        <v/>
      </c>
      <c r="K637" s="69" t="str">
        <f t="shared" si="82"/>
        <v/>
      </c>
      <c r="L637" s="70" t="str">
        <f t="shared" si="83"/>
        <v/>
      </c>
      <c r="M637" s="71"/>
      <c r="N637" s="71"/>
      <c r="O637" s="71"/>
      <c r="P637" s="71"/>
      <c r="Q637" s="61"/>
      <c r="R637" s="63"/>
      <c r="S637" s="72"/>
      <c r="T637" s="61"/>
      <c r="U637" s="73"/>
      <c r="V637" s="62"/>
      <c r="W637" s="62"/>
      <c r="X637" s="62"/>
      <c r="Y637" s="93"/>
      <c r="Z637" s="94"/>
      <c r="AA637" s="74"/>
      <c r="AB637" s="75"/>
      <c r="AC637" s="75"/>
      <c r="AD637" s="76"/>
      <c r="AE637" s="77"/>
      <c r="AF637" s="75"/>
      <c r="AG637" s="78"/>
      <c r="AH637" s="79"/>
      <c r="AI637" s="74"/>
      <c r="AJ637" s="75"/>
      <c r="AK637" s="75"/>
      <c r="AL637" s="80">
        <f t="shared" si="84"/>
        <v>0</v>
      </c>
      <c r="AM637" s="74"/>
      <c r="AN637" s="74"/>
      <c r="AO637" s="81" t="str">
        <f t="shared" si="85"/>
        <v/>
      </c>
      <c r="AP637" s="82"/>
      <c r="AQ637" s="75"/>
      <c r="AR637" s="75"/>
      <c r="AS637" s="80">
        <f t="shared" si="86"/>
        <v>0</v>
      </c>
      <c r="AT637" s="74"/>
      <c r="AU637" s="75"/>
      <c r="AV637" s="75"/>
      <c r="AW637" s="75"/>
      <c r="AX637" s="80">
        <f t="shared" si="87"/>
        <v>0</v>
      </c>
      <c r="AY637" s="81" t="str">
        <f t="shared" si="88"/>
        <v/>
      </c>
      <c r="AZ637" s="83" t="str">
        <f t="shared" si="89"/>
        <v/>
      </c>
      <c r="BA637" s="80" t="str">
        <f t="shared" si="90"/>
        <v/>
      </c>
      <c r="BB637" s="84">
        <f t="shared" si="91"/>
        <v>0</v>
      </c>
      <c r="BC637" s="85" t="str">
        <f t="shared" si="92"/>
        <v/>
      </c>
      <c r="BD637" s="86" t="str">
        <f t="shared" si="93"/>
        <v/>
      </c>
      <c r="BE637" s="84">
        <f t="shared" si="94"/>
        <v>0</v>
      </c>
      <c r="BF637" s="87" t="str">
        <f t="shared" si="95"/>
        <v/>
      </c>
      <c r="BG637" s="88" t="str">
        <f t="shared" si="96"/>
        <v/>
      </c>
      <c r="BH637" s="89" t="str">
        <f t="shared" si="97"/>
        <v/>
      </c>
      <c r="BI637" s="90" t="str">
        <f t="shared" si="98"/>
        <v/>
      </c>
      <c r="BJ637" s="90" t="str">
        <f t="shared" si="99"/>
        <v/>
      </c>
      <c r="BK637" s="91">
        <f t="shared" si="100"/>
        <v>0</v>
      </c>
      <c r="BL637" s="92">
        <f t="shared" si="101"/>
        <v>0</v>
      </c>
      <c r="BM637" s="95"/>
    </row>
    <row r="638" spans="1:65">
      <c r="A638" s="61">
        <f t="shared" si="102"/>
        <v>0</v>
      </c>
      <c r="B638" s="62"/>
      <c r="C638" s="62"/>
      <c r="D638" s="63"/>
      <c r="E638" s="64"/>
      <c r="F638" s="64"/>
      <c r="G638" s="65"/>
      <c r="H638" s="66" t="str">
        <f t="shared" si="79"/>
        <v/>
      </c>
      <c r="I638" s="67" t="str">
        <f t="shared" si="80"/>
        <v/>
      </c>
      <c r="J638" s="68" t="str">
        <f t="shared" si="81"/>
        <v/>
      </c>
      <c r="K638" s="69" t="str">
        <f t="shared" si="82"/>
        <v/>
      </c>
      <c r="L638" s="70" t="str">
        <f t="shared" si="83"/>
        <v/>
      </c>
      <c r="M638" s="71"/>
      <c r="N638" s="71"/>
      <c r="O638" s="71"/>
      <c r="P638" s="71"/>
      <c r="Q638" s="61"/>
      <c r="R638" s="63"/>
      <c r="S638" s="72"/>
      <c r="T638" s="61"/>
      <c r="U638" s="73"/>
      <c r="V638" s="62"/>
      <c r="W638" s="62"/>
      <c r="X638" s="62"/>
      <c r="Y638" s="93"/>
      <c r="Z638" s="94"/>
      <c r="AA638" s="74"/>
      <c r="AB638" s="75"/>
      <c r="AC638" s="75"/>
      <c r="AD638" s="76"/>
      <c r="AE638" s="77"/>
      <c r="AF638" s="75"/>
      <c r="AG638" s="78"/>
      <c r="AH638" s="79"/>
      <c r="AI638" s="74"/>
      <c r="AJ638" s="75"/>
      <c r="AK638" s="75"/>
      <c r="AL638" s="80">
        <f t="shared" si="84"/>
        <v>0</v>
      </c>
      <c r="AM638" s="74"/>
      <c r="AN638" s="74"/>
      <c r="AO638" s="81" t="str">
        <f t="shared" si="85"/>
        <v/>
      </c>
      <c r="AP638" s="82"/>
      <c r="AQ638" s="75"/>
      <c r="AR638" s="75"/>
      <c r="AS638" s="80">
        <f t="shared" si="86"/>
        <v>0</v>
      </c>
      <c r="AT638" s="74"/>
      <c r="AU638" s="75"/>
      <c r="AV638" s="75"/>
      <c r="AW638" s="75"/>
      <c r="AX638" s="80">
        <f t="shared" si="87"/>
        <v>0</v>
      </c>
      <c r="AY638" s="81" t="str">
        <f t="shared" si="88"/>
        <v/>
      </c>
      <c r="AZ638" s="83" t="str">
        <f t="shared" si="89"/>
        <v/>
      </c>
      <c r="BA638" s="80" t="str">
        <f t="shared" si="90"/>
        <v/>
      </c>
      <c r="BB638" s="84">
        <f t="shared" si="91"/>
        <v>0</v>
      </c>
      <c r="BC638" s="85" t="str">
        <f t="shared" si="92"/>
        <v/>
      </c>
      <c r="BD638" s="86" t="str">
        <f t="shared" si="93"/>
        <v/>
      </c>
      <c r="BE638" s="84">
        <f t="shared" si="94"/>
        <v>0</v>
      </c>
      <c r="BF638" s="87" t="str">
        <f t="shared" si="95"/>
        <v/>
      </c>
      <c r="BG638" s="88" t="str">
        <f t="shared" si="96"/>
        <v/>
      </c>
      <c r="BH638" s="89" t="str">
        <f t="shared" si="97"/>
        <v/>
      </c>
      <c r="BI638" s="90" t="str">
        <f t="shared" si="98"/>
        <v/>
      </c>
      <c r="BJ638" s="90" t="str">
        <f t="shared" si="99"/>
        <v/>
      </c>
      <c r="BK638" s="91">
        <f t="shared" si="100"/>
        <v>0</v>
      </c>
      <c r="BL638" s="92">
        <f t="shared" si="101"/>
        <v>0</v>
      </c>
      <c r="BM638" s="95"/>
    </row>
    <row r="639" spans="1:65">
      <c r="A639" s="61">
        <f t="shared" si="102"/>
        <v>0</v>
      </c>
      <c r="B639" s="62"/>
      <c r="C639" s="62"/>
      <c r="D639" s="63"/>
      <c r="E639" s="64"/>
      <c r="F639" s="64"/>
      <c r="G639" s="65"/>
      <c r="H639" s="66" t="str">
        <f t="shared" si="79"/>
        <v/>
      </c>
      <c r="I639" s="67" t="str">
        <f t="shared" si="80"/>
        <v/>
      </c>
      <c r="J639" s="68" t="str">
        <f t="shared" si="81"/>
        <v/>
      </c>
      <c r="K639" s="69" t="str">
        <f t="shared" si="82"/>
        <v/>
      </c>
      <c r="L639" s="70" t="str">
        <f t="shared" si="83"/>
        <v/>
      </c>
      <c r="M639" s="71"/>
      <c r="N639" s="71"/>
      <c r="O639" s="71"/>
      <c r="P639" s="71"/>
      <c r="Q639" s="61"/>
      <c r="R639" s="63"/>
      <c r="S639" s="72"/>
      <c r="T639" s="61"/>
      <c r="U639" s="73"/>
      <c r="V639" s="62"/>
      <c r="W639" s="62"/>
      <c r="X639" s="62"/>
      <c r="Y639" s="93"/>
      <c r="Z639" s="94"/>
      <c r="AA639" s="74"/>
      <c r="AB639" s="75"/>
      <c r="AC639" s="75"/>
      <c r="AD639" s="76"/>
      <c r="AE639" s="77"/>
      <c r="AF639" s="75"/>
      <c r="AG639" s="78"/>
      <c r="AH639" s="79"/>
      <c r="AI639" s="74"/>
      <c r="AJ639" s="75"/>
      <c r="AK639" s="75"/>
      <c r="AL639" s="80">
        <f t="shared" si="84"/>
        <v>0</v>
      </c>
      <c r="AM639" s="74"/>
      <c r="AN639" s="74"/>
      <c r="AO639" s="81" t="str">
        <f t="shared" si="85"/>
        <v/>
      </c>
      <c r="AP639" s="82"/>
      <c r="AQ639" s="75"/>
      <c r="AR639" s="75"/>
      <c r="AS639" s="80">
        <f t="shared" si="86"/>
        <v>0</v>
      </c>
      <c r="AT639" s="74"/>
      <c r="AU639" s="75"/>
      <c r="AV639" s="75"/>
      <c r="AW639" s="75"/>
      <c r="AX639" s="80">
        <f t="shared" si="87"/>
        <v>0</v>
      </c>
      <c r="AY639" s="81" t="str">
        <f t="shared" si="88"/>
        <v/>
      </c>
      <c r="AZ639" s="83" t="str">
        <f t="shared" si="89"/>
        <v/>
      </c>
      <c r="BA639" s="80" t="str">
        <f t="shared" si="90"/>
        <v/>
      </c>
      <c r="BB639" s="84">
        <f t="shared" si="91"/>
        <v>0</v>
      </c>
      <c r="BC639" s="85" t="str">
        <f t="shared" si="92"/>
        <v/>
      </c>
      <c r="BD639" s="86" t="str">
        <f t="shared" si="93"/>
        <v/>
      </c>
      <c r="BE639" s="84">
        <f t="shared" si="94"/>
        <v>0</v>
      </c>
      <c r="BF639" s="87" t="str">
        <f t="shared" si="95"/>
        <v/>
      </c>
      <c r="BG639" s="88" t="str">
        <f t="shared" si="96"/>
        <v/>
      </c>
      <c r="BH639" s="89" t="str">
        <f t="shared" si="97"/>
        <v/>
      </c>
      <c r="BI639" s="90" t="str">
        <f t="shared" si="98"/>
        <v/>
      </c>
      <c r="BJ639" s="90" t="str">
        <f t="shared" si="99"/>
        <v/>
      </c>
      <c r="BK639" s="91">
        <f t="shared" si="100"/>
        <v>0</v>
      </c>
      <c r="BL639" s="92">
        <f t="shared" si="101"/>
        <v>0</v>
      </c>
      <c r="BM639" s="95"/>
    </row>
    <row r="640" spans="1:65">
      <c r="A640" s="61">
        <f t="shared" si="102"/>
        <v>0</v>
      </c>
      <c r="B640" s="62"/>
      <c r="C640" s="62"/>
      <c r="D640" s="63"/>
      <c r="E640" s="64"/>
      <c r="F640" s="64"/>
      <c r="G640" s="65"/>
      <c r="H640" s="66" t="str">
        <f t="shared" si="79"/>
        <v/>
      </c>
      <c r="I640" s="67" t="str">
        <f t="shared" si="80"/>
        <v/>
      </c>
      <c r="J640" s="68" t="str">
        <f t="shared" si="81"/>
        <v/>
      </c>
      <c r="K640" s="69" t="str">
        <f t="shared" si="82"/>
        <v/>
      </c>
      <c r="L640" s="70" t="str">
        <f t="shared" si="83"/>
        <v/>
      </c>
      <c r="M640" s="71"/>
      <c r="N640" s="71"/>
      <c r="O640" s="71"/>
      <c r="P640" s="71"/>
      <c r="Q640" s="61"/>
      <c r="R640" s="63"/>
      <c r="S640" s="72"/>
      <c r="T640" s="61"/>
      <c r="U640" s="73"/>
      <c r="V640" s="62"/>
      <c r="W640" s="62"/>
      <c r="X640" s="62"/>
      <c r="Y640" s="93"/>
      <c r="Z640" s="94"/>
      <c r="AA640" s="74"/>
      <c r="AB640" s="75"/>
      <c r="AC640" s="75"/>
      <c r="AD640" s="76"/>
      <c r="AE640" s="77"/>
      <c r="AF640" s="75"/>
      <c r="AG640" s="78"/>
      <c r="AH640" s="79"/>
      <c r="AI640" s="74"/>
      <c r="AJ640" s="75"/>
      <c r="AK640" s="75"/>
      <c r="AL640" s="80">
        <f t="shared" si="84"/>
        <v>0</v>
      </c>
      <c r="AM640" s="74"/>
      <c r="AN640" s="74"/>
      <c r="AO640" s="81" t="str">
        <f t="shared" si="85"/>
        <v/>
      </c>
      <c r="AP640" s="82"/>
      <c r="AQ640" s="75"/>
      <c r="AR640" s="75"/>
      <c r="AS640" s="80">
        <f t="shared" si="86"/>
        <v>0</v>
      </c>
      <c r="AT640" s="74"/>
      <c r="AU640" s="75"/>
      <c r="AV640" s="75"/>
      <c r="AW640" s="75"/>
      <c r="AX640" s="80">
        <f t="shared" si="87"/>
        <v>0</v>
      </c>
      <c r="AY640" s="81" t="str">
        <f t="shared" si="88"/>
        <v/>
      </c>
      <c r="AZ640" s="83" t="str">
        <f t="shared" si="89"/>
        <v/>
      </c>
      <c r="BA640" s="80" t="str">
        <f t="shared" si="90"/>
        <v/>
      </c>
      <c r="BB640" s="84">
        <f t="shared" si="91"/>
        <v>0</v>
      </c>
      <c r="BC640" s="85" t="str">
        <f t="shared" si="92"/>
        <v/>
      </c>
      <c r="BD640" s="86" t="str">
        <f t="shared" si="93"/>
        <v/>
      </c>
      <c r="BE640" s="84">
        <f t="shared" si="94"/>
        <v>0</v>
      </c>
      <c r="BF640" s="87" t="str">
        <f t="shared" si="95"/>
        <v/>
      </c>
      <c r="BG640" s="88" t="str">
        <f t="shared" si="96"/>
        <v/>
      </c>
      <c r="BH640" s="89" t="str">
        <f t="shared" si="97"/>
        <v/>
      </c>
      <c r="BI640" s="90" t="str">
        <f t="shared" si="98"/>
        <v/>
      </c>
      <c r="BJ640" s="90" t="str">
        <f t="shared" si="99"/>
        <v/>
      </c>
      <c r="BK640" s="91">
        <f t="shared" si="100"/>
        <v>0</v>
      </c>
      <c r="BL640" s="92">
        <f t="shared" si="101"/>
        <v>0</v>
      </c>
      <c r="BM640" s="95"/>
    </row>
    <row r="641" spans="1:65">
      <c r="A641" s="61">
        <f t="shared" si="102"/>
        <v>0</v>
      </c>
      <c r="B641" s="62"/>
      <c r="C641" s="62"/>
      <c r="D641" s="63"/>
      <c r="E641" s="64"/>
      <c r="F641" s="64"/>
      <c r="G641" s="65"/>
      <c r="H641" s="66" t="str">
        <f t="shared" si="79"/>
        <v/>
      </c>
      <c r="I641" s="67" t="str">
        <f t="shared" si="80"/>
        <v/>
      </c>
      <c r="J641" s="68" t="str">
        <f t="shared" si="81"/>
        <v/>
      </c>
      <c r="K641" s="69" t="str">
        <f t="shared" si="82"/>
        <v/>
      </c>
      <c r="L641" s="70" t="str">
        <f t="shared" si="83"/>
        <v/>
      </c>
      <c r="M641" s="71"/>
      <c r="N641" s="71"/>
      <c r="O641" s="71"/>
      <c r="P641" s="71"/>
      <c r="Q641" s="61"/>
      <c r="R641" s="63"/>
      <c r="S641" s="72"/>
      <c r="T641" s="61"/>
      <c r="U641" s="73"/>
      <c r="V641" s="62"/>
      <c r="W641" s="62"/>
      <c r="X641" s="62"/>
      <c r="Y641" s="93"/>
      <c r="Z641" s="94"/>
      <c r="AA641" s="74"/>
      <c r="AB641" s="75"/>
      <c r="AC641" s="75"/>
      <c r="AD641" s="76"/>
      <c r="AE641" s="77"/>
      <c r="AF641" s="75"/>
      <c r="AG641" s="78"/>
      <c r="AH641" s="79"/>
      <c r="AI641" s="74"/>
      <c r="AJ641" s="75"/>
      <c r="AK641" s="75"/>
      <c r="AL641" s="80">
        <f t="shared" si="84"/>
        <v>0</v>
      </c>
      <c r="AM641" s="74"/>
      <c r="AN641" s="74"/>
      <c r="AO641" s="81" t="str">
        <f t="shared" si="85"/>
        <v/>
      </c>
      <c r="AP641" s="82"/>
      <c r="AQ641" s="75"/>
      <c r="AR641" s="75"/>
      <c r="AS641" s="80">
        <f t="shared" si="86"/>
        <v>0</v>
      </c>
      <c r="AT641" s="74"/>
      <c r="AU641" s="75"/>
      <c r="AV641" s="75"/>
      <c r="AW641" s="75"/>
      <c r="AX641" s="80">
        <f t="shared" si="87"/>
        <v>0</v>
      </c>
      <c r="AY641" s="81" t="str">
        <f t="shared" si="88"/>
        <v/>
      </c>
      <c r="AZ641" s="83" t="str">
        <f t="shared" si="89"/>
        <v/>
      </c>
      <c r="BA641" s="80" t="str">
        <f t="shared" si="90"/>
        <v/>
      </c>
      <c r="BB641" s="84">
        <f t="shared" si="91"/>
        <v>0</v>
      </c>
      <c r="BC641" s="85" t="str">
        <f t="shared" si="92"/>
        <v/>
      </c>
      <c r="BD641" s="86" t="str">
        <f t="shared" si="93"/>
        <v/>
      </c>
      <c r="BE641" s="84">
        <f t="shared" si="94"/>
        <v>0</v>
      </c>
      <c r="BF641" s="87" t="str">
        <f t="shared" si="95"/>
        <v/>
      </c>
      <c r="BG641" s="88" t="str">
        <f t="shared" si="96"/>
        <v/>
      </c>
      <c r="BH641" s="89" t="str">
        <f t="shared" si="97"/>
        <v/>
      </c>
      <c r="BI641" s="90" t="str">
        <f t="shared" si="98"/>
        <v/>
      </c>
      <c r="BJ641" s="90" t="str">
        <f t="shared" si="99"/>
        <v/>
      </c>
      <c r="BK641" s="91">
        <f t="shared" si="100"/>
        <v>0</v>
      </c>
      <c r="BL641" s="92">
        <f t="shared" si="101"/>
        <v>0</v>
      </c>
      <c r="BM641" s="95"/>
    </row>
    <row r="642" spans="1:65">
      <c r="A642" s="61">
        <f t="shared" si="102"/>
        <v>0</v>
      </c>
      <c r="B642" s="62"/>
      <c r="C642" s="62"/>
      <c r="D642" s="63"/>
      <c r="E642" s="64"/>
      <c r="F642" s="64"/>
      <c r="G642" s="65"/>
      <c r="H642" s="66" t="str">
        <f t="shared" si="79"/>
        <v/>
      </c>
      <c r="I642" s="67" t="str">
        <f t="shared" si="80"/>
        <v/>
      </c>
      <c r="J642" s="68" t="str">
        <f t="shared" si="81"/>
        <v/>
      </c>
      <c r="K642" s="69" t="str">
        <f t="shared" si="82"/>
        <v/>
      </c>
      <c r="L642" s="70" t="str">
        <f t="shared" si="83"/>
        <v/>
      </c>
      <c r="M642" s="71"/>
      <c r="N642" s="71"/>
      <c r="O642" s="71"/>
      <c r="P642" s="71"/>
      <c r="Q642" s="61"/>
      <c r="R642" s="63"/>
      <c r="S642" s="72"/>
      <c r="T642" s="61"/>
      <c r="U642" s="73"/>
      <c r="V642" s="62"/>
      <c r="W642" s="62"/>
      <c r="X642" s="62"/>
      <c r="Y642" s="93"/>
      <c r="Z642" s="94"/>
      <c r="AA642" s="74"/>
      <c r="AB642" s="75"/>
      <c r="AC642" s="75"/>
      <c r="AD642" s="76"/>
      <c r="AE642" s="77"/>
      <c r="AF642" s="75"/>
      <c r="AG642" s="78"/>
      <c r="AH642" s="79"/>
      <c r="AI642" s="74"/>
      <c r="AJ642" s="75"/>
      <c r="AK642" s="75"/>
      <c r="AL642" s="80">
        <f t="shared" si="84"/>
        <v>0</v>
      </c>
      <c r="AM642" s="74"/>
      <c r="AN642" s="74"/>
      <c r="AO642" s="81" t="str">
        <f t="shared" si="85"/>
        <v/>
      </c>
      <c r="AP642" s="82"/>
      <c r="AQ642" s="75"/>
      <c r="AR642" s="75"/>
      <c r="AS642" s="80">
        <f t="shared" si="86"/>
        <v>0</v>
      </c>
      <c r="AT642" s="74"/>
      <c r="AU642" s="75"/>
      <c r="AV642" s="75"/>
      <c r="AW642" s="75"/>
      <c r="AX642" s="80">
        <f t="shared" si="87"/>
        <v>0</v>
      </c>
      <c r="AY642" s="81" t="str">
        <f t="shared" si="88"/>
        <v/>
      </c>
      <c r="AZ642" s="83" t="str">
        <f t="shared" si="89"/>
        <v/>
      </c>
      <c r="BA642" s="80" t="str">
        <f t="shared" si="90"/>
        <v/>
      </c>
      <c r="BB642" s="84">
        <f t="shared" si="91"/>
        <v>0</v>
      </c>
      <c r="BC642" s="85" t="str">
        <f t="shared" si="92"/>
        <v/>
      </c>
      <c r="BD642" s="86" t="str">
        <f t="shared" si="93"/>
        <v/>
      </c>
      <c r="BE642" s="84">
        <f t="shared" si="94"/>
        <v>0</v>
      </c>
      <c r="BF642" s="87" t="str">
        <f t="shared" si="95"/>
        <v/>
      </c>
      <c r="BG642" s="88" t="str">
        <f t="shared" si="96"/>
        <v/>
      </c>
      <c r="BH642" s="89" t="str">
        <f t="shared" si="97"/>
        <v/>
      </c>
      <c r="BI642" s="90" t="str">
        <f t="shared" si="98"/>
        <v/>
      </c>
      <c r="BJ642" s="90" t="str">
        <f t="shared" si="99"/>
        <v/>
      </c>
      <c r="BK642" s="91">
        <f t="shared" si="100"/>
        <v>0</v>
      </c>
      <c r="BL642" s="92">
        <f t="shared" si="101"/>
        <v>0</v>
      </c>
      <c r="BM642" s="95"/>
    </row>
    <row r="643" spans="1:65">
      <c r="A643" s="61">
        <f t="shared" si="102"/>
        <v>0</v>
      </c>
      <c r="B643" s="62"/>
      <c r="C643" s="62"/>
      <c r="D643" s="63"/>
      <c r="E643" s="64"/>
      <c r="F643" s="64"/>
      <c r="G643" s="65"/>
      <c r="H643" s="66" t="str">
        <f t="shared" si="79"/>
        <v/>
      </c>
      <c r="I643" s="67" t="str">
        <f t="shared" si="80"/>
        <v/>
      </c>
      <c r="J643" s="68" t="str">
        <f t="shared" si="81"/>
        <v/>
      </c>
      <c r="K643" s="69" t="str">
        <f t="shared" si="82"/>
        <v/>
      </c>
      <c r="L643" s="70" t="str">
        <f t="shared" si="83"/>
        <v/>
      </c>
      <c r="M643" s="71"/>
      <c r="N643" s="71"/>
      <c r="O643" s="71"/>
      <c r="P643" s="71"/>
      <c r="Q643" s="61"/>
      <c r="R643" s="63"/>
      <c r="S643" s="72"/>
      <c r="T643" s="61"/>
      <c r="U643" s="73"/>
      <c r="V643" s="62"/>
      <c r="W643" s="62"/>
      <c r="X643" s="62"/>
      <c r="Y643" s="93"/>
      <c r="Z643" s="94"/>
      <c r="AA643" s="74"/>
      <c r="AB643" s="75"/>
      <c r="AC643" s="75"/>
      <c r="AD643" s="76"/>
      <c r="AE643" s="77"/>
      <c r="AF643" s="75"/>
      <c r="AG643" s="78"/>
      <c r="AH643" s="79"/>
      <c r="AI643" s="74"/>
      <c r="AJ643" s="75"/>
      <c r="AK643" s="75"/>
      <c r="AL643" s="80">
        <f t="shared" si="84"/>
        <v>0</v>
      </c>
      <c r="AM643" s="74"/>
      <c r="AN643" s="74"/>
      <c r="AO643" s="81" t="str">
        <f t="shared" si="85"/>
        <v/>
      </c>
      <c r="AP643" s="82"/>
      <c r="AQ643" s="75"/>
      <c r="AR643" s="75"/>
      <c r="AS643" s="80">
        <f t="shared" si="86"/>
        <v>0</v>
      </c>
      <c r="AT643" s="74"/>
      <c r="AU643" s="75"/>
      <c r="AV643" s="75"/>
      <c r="AW643" s="75"/>
      <c r="AX643" s="80">
        <f t="shared" si="87"/>
        <v>0</v>
      </c>
      <c r="AY643" s="81" t="str">
        <f t="shared" si="88"/>
        <v/>
      </c>
      <c r="AZ643" s="83" t="str">
        <f t="shared" si="89"/>
        <v/>
      </c>
      <c r="BA643" s="80" t="str">
        <f t="shared" si="90"/>
        <v/>
      </c>
      <c r="BB643" s="84">
        <f t="shared" si="91"/>
        <v>0</v>
      </c>
      <c r="BC643" s="85" t="str">
        <f t="shared" si="92"/>
        <v/>
      </c>
      <c r="BD643" s="86" t="str">
        <f t="shared" si="93"/>
        <v/>
      </c>
      <c r="BE643" s="84">
        <f t="shared" si="94"/>
        <v>0</v>
      </c>
      <c r="BF643" s="87" t="str">
        <f t="shared" si="95"/>
        <v/>
      </c>
      <c r="BG643" s="88" t="str">
        <f t="shared" si="96"/>
        <v/>
      </c>
      <c r="BH643" s="89" t="str">
        <f t="shared" si="97"/>
        <v/>
      </c>
      <c r="BI643" s="90" t="str">
        <f t="shared" si="98"/>
        <v/>
      </c>
      <c r="BJ643" s="90" t="str">
        <f t="shared" si="99"/>
        <v/>
      </c>
      <c r="BK643" s="91">
        <f t="shared" si="100"/>
        <v>0</v>
      </c>
      <c r="BL643" s="92">
        <f t="shared" si="101"/>
        <v>0</v>
      </c>
      <c r="BM643" s="95"/>
    </row>
    <row r="644" spans="1:65">
      <c r="A644" s="61">
        <f t="shared" si="102"/>
        <v>0</v>
      </c>
      <c r="B644" s="62"/>
      <c r="C644" s="62"/>
      <c r="D644" s="63"/>
      <c r="E644" s="64"/>
      <c r="F644" s="64"/>
      <c r="G644" s="65"/>
      <c r="H644" s="66" t="str">
        <f t="shared" si="79"/>
        <v/>
      </c>
      <c r="I644" s="67" t="str">
        <f t="shared" si="80"/>
        <v/>
      </c>
      <c r="J644" s="68" t="str">
        <f t="shared" si="81"/>
        <v/>
      </c>
      <c r="K644" s="69" t="str">
        <f t="shared" si="82"/>
        <v/>
      </c>
      <c r="L644" s="70" t="str">
        <f t="shared" si="83"/>
        <v/>
      </c>
      <c r="M644" s="71"/>
      <c r="N644" s="71"/>
      <c r="O644" s="71"/>
      <c r="P644" s="71"/>
      <c r="Q644" s="61"/>
      <c r="R644" s="63"/>
      <c r="S644" s="72"/>
      <c r="T644" s="61"/>
      <c r="U644" s="73"/>
      <c r="V644" s="62"/>
      <c r="W644" s="62"/>
      <c r="X644" s="62"/>
      <c r="Y644" s="93"/>
      <c r="Z644" s="94"/>
      <c r="AA644" s="74"/>
      <c r="AB644" s="75"/>
      <c r="AC644" s="75"/>
      <c r="AD644" s="76"/>
      <c r="AE644" s="77"/>
      <c r="AF644" s="75"/>
      <c r="AG644" s="78"/>
      <c r="AH644" s="79"/>
      <c r="AI644" s="74"/>
      <c r="AJ644" s="75"/>
      <c r="AK644" s="75"/>
      <c r="AL644" s="80">
        <f t="shared" si="84"/>
        <v>0</v>
      </c>
      <c r="AM644" s="74"/>
      <c r="AN644" s="74"/>
      <c r="AO644" s="81" t="str">
        <f t="shared" si="85"/>
        <v/>
      </c>
      <c r="AP644" s="82"/>
      <c r="AQ644" s="75"/>
      <c r="AR644" s="75"/>
      <c r="AS644" s="80">
        <f t="shared" si="86"/>
        <v>0</v>
      </c>
      <c r="AT644" s="74"/>
      <c r="AU644" s="75"/>
      <c r="AV644" s="75"/>
      <c r="AW644" s="75"/>
      <c r="AX644" s="80">
        <f t="shared" si="87"/>
        <v>0</v>
      </c>
      <c r="AY644" s="81" t="str">
        <f t="shared" si="88"/>
        <v/>
      </c>
      <c r="AZ644" s="83" t="str">
        <f t="shared" si="89"/>
        <v/>
      </c>
      <c r="BA644" s="80" t="str">
        <f t="shared" si="90"/>
        <v/>
      </c>
      <c r="BB644" s="84">
        <f t="shared" si="91"/>
        <v>0</v>
      </c>
      <c r="BC644" s="85" t="str">
        <f t="shared" si="92"/>
        <v/>
      </c>
      <c r="BD644" s="86" t="str">
        <f t="shared" si="93"/>
        <v/>
      </c>
      <c r="BE644" s="84">
        <f t="shared" si="94"/>
        <v>0</v>
      </c>
      <c r="BF644" s="87" t="str">
        <f t="shared" si="95"/>
        <v/>
      </c>
      <c r="BG644" s="88" t="str">
        <f t="shared" si="96"/>
        <v/>
      </c>
      <c r="BH644" s="89" t="str">
        <f t="shared" si="97"/>
        <v/>
      </c>
      <c r="BI644" s="90" t="str">
        <f t="shared" si="98"/>
        <v/>
      </c>
      <c r="BJ644" s="90" t="str">
        <f t="shared" si="99"/>
        <v/>
      </c>
      <c r="BK644" s="91">
        <f t="shared" si="100"/>
        <v>0</v>
      </c>
      <c r="BL644" s="92">
        <f t="shared" si="101"/>
        <v>0</v>
      </c>
      <c r="BM644" s="95"/>
    </row>
    <row r="645" spans="1:65">
      <c r="A645" s="61">
        <f t="shared" si="102"/>
        <v>0</v>
      </c>
      <c r="B645" s="62"/>
      <c r="C645" s="62"/>
      <c r="D645" s="63"/>
      <c r="E645" s="64"/>
      <c r="F645" s="64"/>
      <c r="G645" s="65"/>
      <c r="H645" s="66" t="str">
        <f t="shared" si="79"/>
        <v/>
      </c>
      <c r="I645" s="67" t="str">
        <f t="shared" si="80"/>
        <v/>
      </c>
      <c r="J645" s="68" t="str">
        <f t="shared" si="81"/>
        <v/>
      </c>
      <c r="K645" s="69" t="str">
        <f t="shared" si="82"/>
        <v/>
      </c>
      <c r="L645" s="70" t="str">
        <f t="shared" si="83"/>
        <v/>
      </c>
      <c r="M645" s="71"/>
      <c r="N645" s="71"/>
      <c r="O645" s="71"/>
      <c r="P645" s="71"/>
      <c r="Q645" s="61"/>
      <c r="R645" s="63"/>
      <c r="S645" s="72"/>
      <c r="T645" s="61"/>
      <c r="U645" s="73"/>
      <c r="V645" s="62"/>
      <c r="W645" s="62"/>
      <c r="X645" s="62"/>
      <c r="Y645" s="93"/>
      <c r="Z645" s="94"/>
      <c r="AA645" s="74"/>
      <c r="AB645" s="75"/>
      <c r="AC645" s="75"/>
      <c r="AD645" s="76"/>
      <c r="AE645" s="77"/>
      <c r="AF645" s="75"/>
      <c r="AG645" s="78"/>
      <c r="AH645" s="79"/>
      <c r="AI645" s="74"/>
      <c r="AJ645" s="75"/>
      <c r="AK645" s="75"/>
      <c r="AL645" s="80">
        <f t="shared" si="84"/>
        <v>0</v>
      </c>
      <c r="AM645" s="74"/>
      <c r="AN645" s="74"/>
      <c r="AO645" s="81" t="str">
        <f t="shared" si="85"/>
        <v/>
      </c>
      <c r="AP645" s="82"/>
      <c r="AQ645" s="75"/>
      <c r="AR645" s="75"/>
      <c r="AS645" s="80">
        <f t="shared" si="86"/>
        <v>0</v>
      </c>
      <c r="AT645" s="74"/>
      <c r="AU645" s="75"/>
      <c r="AV645" s="75"/>
      <c r="AW645" s="75"/>
      <c r="AX645" s="80">
        <f t="shared" si="87"/>
        <v>0</v>
      </c>
      <c r="AY645" s="81" t="str">
        <f t="shared" si="88"/>
        <v/>
      </c>
      <c r="AZ645" s="83" t="str">
        <f t="shared" si="89"/>
        <v/>
      </c>
      <c r="BA645" s="80" t="str">
        <f t="shared" si="90"/>
        <v/>
      </c>
      <c r="BB645" s="84">
        <f t="shared" si="91"/>
        <v>0</v>
      </c>
      <c r="BC645" s="85" t="str">
        <f t="shared" si="92"/>
        <v/>
      </c>
      <c r="BD645" s="86" t="str">
        <f t="shared" si="93"/>
        <v/>
      </c>
      <c r="BE645" s="84">
        <f t="shared" si="94"/>
        <v>0</v>
      </c>
      <c r="BF645" s="87" t="str">
        <f t="shared" si="95"/>
        <v/>
      </c>
      <c r="BG645" s="88" t="str">
        <f t="shared" si="96"/>
        <v/>
      </c>
      <c r="BH645" s="89" t="str">
        <f t="shared" si="97"/>
        <v/>
      </c>
      <c r="BI645" s="90" t="str">
        <f t="shared" si="98"/>
        <v/>
      </c>
      <c r="BJ645" s="90" t="str">
        <f t="shared" si="99"/>
        <v/>
      </c>
      <c r="BK645" s="91">
        <f t="shared" si="100"/>
        <v>0</v>
      </c>
      <c r="BL645" s="92">
        <f t="shared" si="101"/>
        <v>0</v>
      </c>
      <c r="BM645" s="95"/>
    </row>
    <row r="646" spans="1:65">
      <c r="A646" s="61">
        <f t="shared" si="102"/>
        <v>0</v>
      </c>
      <c r="B646" s="62"/>
      <c r="C646" s="62"/>
      <c r="D646" s="63"/>
      <c r="E646" s="64"/>
      <c r="F646" s="64"/>
      <c r="G646" s="65"/>
      <c r="H646" s="66" t="str">
        <f t="shared" si="79"/>
        <v/>
      </c>
      <c r="I646" s="67" t="str">
        <f t="shared" si="80"/>
        <v/>
      </c>
      <c r="J646" s="68" t="str">
        <f t="shared" si="81"/>
        <v/>
      </c>
      <c r="K646" s="69" t="str">
        <f t="shared" si="82"/>
        <v/>
      </c>
      <c r="L646" s="70" t="str">
        <f t="shared" si="83"/>
        <v/>
      </c>
      <c r="M646" s="71"/>
      <c r="N646" s="71"/>
      <c r="O646" s="71"/>
      <c r="P646" s="71"/>
      <c r="Q646" s="61"/>
      <c r="R646" s="63"/>
      <c r="S646" s="72"/>
      <c r="T646" s="61"/>
      <c r="U646" s="73"/>
      <c r="V646" s="62"/>
      <c r="W646" s="62"/>
      <c r="X646" s="62"/>
      <c r="Y646" s="93"/>
      <c r="Z646" s="94"/>
      <c r="AA646" s="74"/>
      <c r="AB646" s="75"/>
      <c r="AC646" s="75"/>
      <c r="AD646" s="76"/>
      <c r="AE646" s="77"/>
      <c r="AF646" s="75"/>
      <c r="AG646" s="78"/>
      <c r="AH646" s="79"/>
      <c r="AI646" s="74"/>
      <c r="AJ646" s="75"/>
      <c r="AK646" s="75"/>
      <c r="AL646" s="80">
        <f t="shared" si="84"/>
        <v>0</v>
      </c>
      <c r="AM646" s="74"/>
      <c r="AN646" s="74"/>
      <c r="AO646" s="81" t="str">
        <f t="shared" si="85"/>
        <v/>
      </c>
      <c r="AP646" s="82"/>
      <c r="AQ646" s="75"/>
      <c r="AR646" s="75"/>
      <c r="AS646" s="80">
        <f t="shared" si="86"/>
        <v>0</v>
      </c>
      <c r="AT646" s="74"/>
      <c r="AU646" s="75"/>
      <c r="AV646" s="75"/>
      <c r="AW646" s="75"/>
      <c r="AX646" s="80">
        <f t="shared" si="87"/>
        <v>0</v>
      </c>
      <c r="AY646" s="81" t="str">
        <f t="shared" si="88"/>
        <v/>
      </c>
      <c r="AZ646" s="83" t="str">
        <f t="shared" si="89"/>
        <v/>
      </c>
      <c r="BA646" s="80" t="str">
        <f t="shared" si="90"/>
        <v/>
      </c>
      <c r="BB646" s="84">
        <f t="shared" si="91"/>
        <v>0</v>
      </c>
      <c r="BC646" s="85" t="str">
        <f t="shared" si="92"/>
        <v/>
      </c>
      <c r="BD646" s="86" t="str">
        <f t="shared" si="93"/>
        <v/>
      </c>
      <c r="BE646" s="84">
        <f t="shared" si="94"/>
        <v>0</v>
      </c>
      <c r="BF646" s="87" t="str">
        <f t="shared" si="95"/>
        <v/>
      </c>
      <c r="BG646" s="88" t="str">
        <f t="shared" si="96"/>
        <v/>
      </c>
      <c r="BH646" s="89" t="str">
        <f t="shared" si="97"/>
        <v/>
      </c>
      <c r="BI646" s="90" t="str">
        <f t="shared" si="98"/>
        <v/>
      </c>
      <c r="BJ646" s="90" t="str">
        <f t="shared" si="99"/>
        <v/>
      </c>
      <c r="BK646" s="91">
        <f t="shared" si="100"/>
        <v>0</v>
      </c>
      <c r="BL646" s="92">
        <f t="shared" si="101"/>
        <v>0</v>
      </c>
      <c r="BM646" s="95"/>
    </row>
    <row r="647" spans="1:65">
      <c r="A647" s="61">
        <f t="shared" si="102"/>
        <v>0</v>
      </c>
      <c r="B647" s="62"/>
      <c r="C647" s="62"/>
      <c r="D647" s="63"/>
      <c r="E647" s="64"/>
      <c r="F647" s="64"/>
      <c r="G647" s="65"/>
      <c r="H647" s="66" t="str">
        <f t="shared" si="79"/>
        <v/>
      </c>
      <c r="I647" s="67" t="str">
        <f t="shared" si="80"/>
        <v/>
      </c>
      <c r="J647" s="68" t="str">
        <f t="shared" si="81"/>
        <v/>
      </c>
      <c r="K647" s="69" t="str">
        <f t="shared" si="82"/>
        <v/>
      </c>
      <c r="L647" s="70" t="str">
        <f t="shared" si="83"/>
        <v/>
      </c>
      <c r="M647" s="71"/>
      <c r="N647" s="71"/>
      <c r="O647" s="71"/>
      <c r="P647" s="71"/>
      <c r="Q647" s="61"/>
      <c r="R647" s="63"/>
      <c r="S647" s="72"/>
      <c r="T647" s="61"/>
      <c r="U647" s="73"/>
      <c r="V647" s="62"/>
      <c r="W647" s="62"/>
      <c r="X647" s="62"/>
      <c r="Y647" s="93"/>
      <c r="Z647" s="94"/>
      <c r="AA647" s="74"/>
      <c r="AB647" s="75"/>
      <c r="AC647" s="75"/>
      <c r="AD647" s="76"/>
      <c r="AE647" s="77"/>
      <c r="AF647" s="75"/>
      <c r="AG647" s="78"/>
      <c r="AH647" s="79"/>
      <c r="AI647" s="74"/>
      <c r="AJ647" s="75"/>
      <c r="AK647" s="75"/>
      <c r="AL647" s="80">
        <f t="shared" si="84"/>
        <v>0</v>
      </c>
      <c r="AM647" s="74"/>
      <c r="AN647" s="74"/>
      <c r="AO647" s="81" t="str">
        <f t="shared" si="85"/>
        <v/>
      </c>
      <c r="AP647" s="82"/>
      <c r="AQ647" s="75"/>
      <c r="AR647" s="75"/>
      <c r="AS647" s="80">
        <f t="shared" si="86"/>
        <v>0</v>
      </c>
      <c r="AT647" s="74"/>
      <c r="AU647" s="75"/>
      <c r="AV647" s="75"/>
      <c r="AW647" s="75"/>
      <c r="AX647" s="80">
        <f t="shared" si="87"/>
        <v>0</v>
      </c>
      <c r="AY647" s="81" t="str">
        <f t="shared" si="88"/>
        <v/>
      </c>
      <c r="AZ647" s="83" t="str">
        <f t="shared" si="89"/>
        <v/>
      </c>
      <c r="BA647" s="80" t="str">
        <f t="shared" si="90"/>
        <v/>
      </c>
      <c r="BB647" s="84">
        <f t="shared" si="91"/>
        <v>0</v>
      </c>
      <c r="BC647" s="85" t="str">
        <f t="shared" si="92"/>
        <v/>
      </c>
      <c r="BD647" s="86" t="str">
        <f t="shared" si="93"/>
        <v/>
      </c>
      <c r="BE647" s="84">
        <f t="shared" si="94"/>
        <v>0</v>
      </c>
      <c r="BF647" s="87" t="str">
        <f t="shared" si="95"/>
        <v/>
      </c>
      <c r="BG647" s="88" t="str">
        <f t="shared" si="96"/>
        <v/>
      </c>
      <c r="BH647" s="89" t="str">
        <f t="shared" si="97"/>
        <v/>
      </c>
      <c r="BI647" s="90" t="str">
        <f t="shared" si="98"/>
        <v/>
      </c>
      <c r="BJ647" s="90" t="str">
        <f t="shared" si="99"/>
        <v/>
      </c>
      <c r="BK647" s="91">
        <f t="shared" si="100"/>
        <v>0</v>
      </c>
      <c r="BL647" s="92">
        <f t="shared" si="101"/>
        <v>0</v>
      </c>
      <c r="BM647" s="95"/>
    </row>
    <row r="648" spans="1:65">
      <c r="A648" s="61">
        <f t="shared" si="102"/>
        <v>0</v>
      </c>
      <c r="B648" s="62"/>
      <c r="C648" s="62"/>
      <c r="D648" s="63"/>
      <c r="E648" s="64"/>
      <c r="F648" s="64"/>
      <c r="G648" s="65"/>
      <c r="H648" s="66" t="str">
        <f t="shared" ref="H648:H711" si="103">IF(F648="","",IF(F648="","",IF((F648-E648+1)&gt;360,"Most Recently 12 Months","Year To Date")))</f>
        <v/>
      </c>
      <c r="I648" s="67" t="str">
        <f t="shared" ref="I648:I711" si="104">IF(F648="","",ROUND((F648-E648+1)/(((365*3+366)/4)/12),0))</f>
        <v/>
      </c>
      <c r="J648" s="68" t="str">
        <f t="shared" ref="J648:J711" si="105">IF(F648="","",YEAR(F648))</f>
        <v/>
      </c>
      <c r="K648" s="69" t="str">
        <f t="shared" ref="K648:K711" si="106">IF(F648="","",CEILING(L648/3,1))</f>
        <v/>
      </c>
      <c r="L648" s="70" t="str">
        <f t="shared" ref="L648:L711" si="107">IF(F648="","",MONTH(F648))</f>
        <v/>
      </c>
      <c r="M648" s="71"/>
      <c r="N648" s="71"/>
      <c r="O648" s="71"/>
      <c r="P648" s="71"/>
      <c r="Q648" s="61"/>
      <c r="R648" s="63"/>
      <c r="S648" s="72"/>
      <c r="T648" s="61"/>
      <c r="U648" s="73"/>
      <c r="V648" s="62"/>
      <c r="W648" s="62"/>
      <c r="X648" s="62"/>
      <c r="Y648" s="93"/>
      <c r="Z648" s="94"/>
      <c r="AA648" s="74"/>
      <c r="AB648" s="75"/>
      <c r="AC648" s="75"/>
      <c r="AD648" s="76"/>
      <c r="AE648" s="77"/>
      <c r="AF648" s="75"/>
      <c r="AG648" s="78"/>
      <c r="AH648" s="79"/>
      <c r="AI648" s="74"/>
      <c r="AJ648" s="75"/>
      <c r="AK648" s="75"/>
      <c r="AL648" s="80">
        <f t="shared" ref="AL648:AL711" si="108">SUM(AI648:AK648)</f>
        <v>0</v>
      </c>
      <c r="AM648" s="74"/>
      <c r="AN648" s="74"/>
      <c r="AO648" s="81" t="str">
        <f t="shared" ref="AO648:AO711" si="109">IFERROR(AN648/AM648,"")</f>
        <v/>
      </c>
      <c r="AP648" s="82"/>
      <c r="AQ648" s="75"/>
      <c r="AR648" s="75"/>
      <c r="AS648" s="80">
        <f t="shared" ref="AS648:AS711" si="110">SUM(AQ648:AR648)</f>
        <v>0</v>
      </c>
      <c r="AT648" s="74"/>
      <c r="AU648" s="75"/>
      <c r="AV648" s="75"/>
      <c r="AW648" s="75"/>
      <c r="AX648" s="80">
        <f t="shared" ref="AX648:AX711" si="111">SUM(AT648:AW648)</f>
        <v>0</v>
      </c>
      <c r="AY648" s="81" t="str">
        <f t="shared" ref="AY648:AY711" si="112">IFERROR(AP648/AF648,"")</f>
        <v/>
      </c>
      <c r="AZ648" s="83" t="str">
        <f t="shared" ref="AZ648:AZ711" si="113">IFERROR(AS648/AP648,"")</f>
        <v/>
      </c>
      <c r="BA648" s="80" t="str">
        <f t="shared" ref="BA648:BA711" si="114">IFERROR(AY648*AZ648,"")</f>
        <v/>
      </c>
      <c r="BB648" s="84">
        <f t="shared" ref="BB648:BB711" si="115">AG648-SUM(AL648,AS648:AU648,AW648)</f>
        <v>0</v>
      </c>
      <c r="BC648" s="85" t="str">
        <f t="shared" ref="BC648:BC711" si="116">IFERROR(BB648/AV648,"")</f>
        <v/>
      </c>
      <c r="BD648" s="86" t="str">
        <f t="shared" ref="BD648:BD711" si="117">IFERROR(BB648/AG648,"")</f>
        <v/>
      </c>
      <c r="BE648" s="84">
        <f t="shared" ref="BE648:BE711" si="118">AG648-SUM(AL648,AS648:AU648)</f>
        <v>0</v>
      </c>
      <c r="BF648" s="87" t="str">
        <f t="shared" ref="BF648:BF711" si="119">IFERROR(BE648/SUM(AV648:AW648),"")</f>
        <v/>
      </c>
      <c r="BG648" s="88" t="str">
        <f t="shared" ref="BG648:BG711" si="120">IFERROR(BE648/AG648,"")</f>
        <v/>
      </c>
      <c r="BH648" s="89" t="str">
        <f t="shared" ref="BH648:BH711" si="121">IFERROR(AS648/AG648,"")</f>
        <v/>
      </c>
      <c r="BI648" s="90" t="str">
        <f t="shared" ref="BI648:BI711" si="122">IFERROR(AL648/AG648,"")</f>
        <v/>
      </c>
      <c r="BJ648" s="90" t="str">
        <f t="shared" ref="BJ648:BJ711" si="123">IFERROR(AX648/AG648,"")</f>
        <v/>
      </c>
      <c r="BK648" s="91">
        <f t="shared" ref="BK648:BK711" si="124">SUM(BH648:BJ648)</f>
        <v>0</v>
      </c>
      <c r="BL648" s="92">
        <f t="shared" ref="BL648:BL711" si="125">AG648-SUM(AL648,AS648,AX648)</f>
        <v>0</v>
      </c>
      <c r="BM648" s="95"/>
    </row>
    <row r="649" spans="1:65">
      <c r="A649" s="61">
        <f t="shared" si="102"/>
        <v>0</v>
      </c>
      <c r="B649" s="62"/>
      <c r="C649" s="62"/>
      <c r="D649" s="63"/>
      <c r="E649" s="64"/>
      <c r="F649" s="64"/>
      <c r="G649" s="65"/>
      <c r="H649" s="66" t="str">
        <f t="shared" si="103"/>
        <v/>
      </c>
      <c r="I649" s="67" t="str">
        <f t="shared" si="104"/>
        <v/>
      </c>
      <c r="J649" s="68" t="str">
        <f t="shared" si="105"/>
        <v/>
      </c>
      <c r="K649" s="69" t="str">
        <f t="shared" si="106"/>
        <v/>
      </c>
      <c r="L649" s="70" t="str">
        <f t="shared" si="107"/>
        <v/>
      </c>
      <c r="M649" s="71"/>
      <c r="N649" s="71"/>
      <c r="O649" s="71"/>
      <c r="P649" s="71"/>
      <c r="Q649" s="61"/>
      <c r="R649" s="63"/>
      <c r="S649" s="72"/>
      <c r="T649" s="61"/>
      <c r="U649" s="73"/>
      <c r="V649" s="62"/>
      <c r="W649" s="62"/>
      <c r="X649" s="62"/>
      <c r="Y649" s="93"/>
      <c r="Z649" s="94"/>
      <c r="AA649" s="74"/>
      <c r="AB649" s="75"/>
      <c r="AC649" s="75"/>
      <c r="AD649" s="76"/>
      <c r="AE649" s="77"/>
      <c r="AF649" s="75"/>
      <c r="AG649" s="78"/>
      <c r="AH649" s="79"/>
      <c r="AI649" s="74"/>
      <c r="AJ649" s="75"/>
      <c r="AK649" s="75"/>
      <c r="AL649" s="80">
        <f t="shared" si="108"/>
        <v>0</v>
      </c>
      <c r="AM649" s="74"/>
      <c r="AN649" s="74"/>
      <c r="AO649" s="81" t="str">
        <f t="shared" si="109"/>
        <v/>
      </c>
      <c r="AP649" s="82"/>
      <c r="AQ649" s="75"/>
      <c r="AR649" s="75"/>
      <c r="AS649" s="80">
        <f t="shared" si="110"/>
        <v>0</v>
      </c>
      <c r="AT649" s="74"/>
      <c r="AU649" s="75"/>
      <c r="AV649" s="75"/>
      <c r="AW649" s="75"/>
      <c r="AX649" s="80">
        <f t="shared" si="111"/>
        <v>0</v>
      </c>
      <c r="AY649" s="81" t="str">
        <f t="shared" si="112"/>
        <v/>
      </c>
      <c r="AZ649" s="83" t="str">
        <f t="shared" si="113"/>
        <v/>
      </c>
      <c r="BA649" s="80" t="str">
        <f t="shared" si="114"/>
        <v/>
      </c>
      <c r="BB649" s="84">
        <f t="shared" si="115"/>
        <v>0</v>
      </c>
      <c r="BC649" s="85" t="str">
        <f t="shared" si="116"/>
        <v/>
      </c>
      <c r="BD649" s="86" t="str">
        <f t="shared" si="117"/>
        <v/>
      </c>
      <c r="BE649" s="84">
        <f t="shared" si="118"/>
        <v>0</v>
      </c>
      <c r="BF649" s="87" t="str">
        <f t="shared" si="119"/>
        <v/>
      </c>
      <c r="BG649" s="88" t="str">
        <f t="shared" si="120"/>
        <v/>
      </c>
      <c r="BH649" s="89" t="str">
        <f t="shared" si="121"/>
        <v/>
      </c>
      <c r="BI649" s="90" t="str">
        <f t="shared" si="122"/>
        <v/>
      </c>
      <c r="BJ649" s="90" t="str">
        <f t="shared" si="123"/>
        <v/>
      </c>
      <c r="BK649" s="91">
        <f t="shared" si="124"/>
        <v>0</v>
      </c>
      <c r="BL649" s="92">
        <f t="shared" si="125"/>
        <v>0</v>
      </c>
      <c r="BM649" s="95"/>
    </row>
    <row r="650" spans="1:65">
      <c r="A650" s="61">
        <f t="shared" si="102"/>
        <v>0</v>
      </c>
      <c r="B650" s="62"/>
      <c r="C650" s="62"/>
      <c r="D650" s="63"/>
      <c r="E650" s="64"/>
      <c r="F650" s="64"/>
      <c r="G650" s="65"/>
      <c r="H650" s="66" t="str">
        <f t="shared" si="103"/>
        <v/>
      </c>
      <c r="I650" s="67" t="str">
        <f t="shared" si="104"/>
        <v/>
      </c>
      <c r="J650" s="68" t="str">
        <f t="shared" si="105"/>
        <v/>
      </c>
      <c r="K650" s="69" t="str">
        <f t="shared" si="106"/>
        <v/>
      </c>
      <c r="L650" s="70" t="str">
        <f t="shared" si="107"/>
        <v/>
      </c>
      <c r="M650" s="71"/>
      <c r="N650" s="71"/>
      <c r="O650" s="71"/>
      <c r="P650" s="71"/>
      <c r="Q650" s="61"/>
      <c r="R650" s="63"/>
      <c r="S650" s="72"/>
      <c r="T650" s="61"/>
      <c r="U650" s="73"/>
      <c r="V650" s="62"/>
      <c r="W650" s="62"/>
      <c r="X650" s="62"/>
      <c r="Y650" s="93"/>
      <c r="Z650" s="94"/>
      <c r="AA650" s="74"/>
      <c r="AB650" s="75"/>
      <c r="AC650" s="75"/>
      <c r="AD650" s="76"/>
      <c r="AE650" s="77"/>
      <c r="AF650" s="75"/>
      <c r="AG650" s="78"/>
      <c r="AH650" s="79"/>
      <c r="AI650" s="74"/>
      <c r="AJ650" s="75"/>
      <c r="AK650" s="75"/>
      <c r="AL650" s="80">
        <f t="shared" si="108"/>
        <v>0</v>
      </c>
      <c r="AM650" s="74"/>
      <c r="AN650" s="74"/>
      <c r="AO650" s="81" t="str">
        <f t="shared" si="109"/>
        <v/>
      </c>
      <c r="AP650" s="82"/>
      <c r="AQ650" s="75"/>
      <c r="AR650" s="75"/>
      <c r="AS650" s="80">
        <f t="shared" si="110"/>
        <v>0</v>
      </c>
      <c r="AT650" s="74"/>
      <c r="AU650" s="75"/>
      <c r="AV650" s="75"/>
      <c r="AW650" s="75"/>
      <c r="AX650" s="80">
        <f t="shared" si="111"/>
        <v>0</v>
      </c>
      <c r="AY650" s="81" t="str">
        <f t="shared" si="112"/>
        <v/>
      </c>
      <c r="AZ650" s="83" t="str">
        <f t="shared" si="113"/>
        <v/>
      </c>
      <c r="BA650" s="80" t="str">
        <f t="shared" si="114"/>
        <v/>
      </c>
      <c r="BB650" s="84">
        <f t="shared" si="115"/>
        <v>0</v>
      </c>
      <c r="BC650" s="85" t="str">
        <f t="shared" si="116"/>
        <v/>
      </c>
      <c r="BD650" s="86" t="str">
        <f t="shared" si="117"/>
        <v/>
      </c>
      <c r="BE650" s="84">
        <f t="shared" si="118"/>
        <v>0</v>
      </c>
      <c r="BF650" s="87" t="str">
        <f t="shared" si="119"/>
        <v/>
      </c>
      <c r="BG650" s="88" t="str">
        <f t="shared" si="120"/>
        <v/>
      </c>
      <c r="BH650" s="89" t="str">
        <f t="shared" si="121"/>
        <v/>
      </c>
      <c r="BI650" s="90" t="str">
        <f t="shared" si="122"/>
        <v/>
      </c>
      <c r="BJ650" s="90" t="str">
        <f t="shared" si="123"/>
        <v/>
      </c>
      <c r="BK650" s="91">
        <f t="shared" si="124"/>
        <v>0</v>
      </c>
      <c r="BL650" s="92">
        <f t="shared" si="125"/>
        <v>0</v>
      </c>
      <c r="BM650" s="95"/>
    </row>
    <row r="651" spans="1:65">
      <c r="A651" s="61">
        <f t="shared" si="102"/>
        <v>0</v>
      </c>
      <c r="B651" s="62"/>
      <c r="C651" s="62"/>
      <c r="D651" s="63"/>
      <c r="E651" s="64"/>
      <c r="F651" s="64"/>
      <c r="G651" s="65"/>
      <c r="H651" s="66" t="str">
        <f t="shared" si="103"/>
        <v/>
      </c>
      <c r="I651" s="67" t="str">
        <f t="shared" si="104"/>
        <v/>
      </c>
      <c r="J651" s="68" t="str">
        <f t="shared" si="105"/>
        <v/>
      </c>
      <c r="K651" s="69" t="str">
        <f t="shared" si="106"/>
        <v/>
      </c>
      <c r="L651" s="70" t="str">
        <f t="shared" si="107"/>
        <v/>
      </c>
      <c r="M651" s="71"/>
      <c r="N651" s="71"/>
      <c r="O651" s="71"/>
      <c r="P651" s="71"/>
      <c r="Q651" s="61"/>
      <c r="R651" s="63"/>
      <c r="S651" s="72"/>
      <c r="T651" s="61"/>
      <c r="U651" s="73"/>
      <c r="V651" s="62"/>
      <c r="W651" s="62"/>
      <c r="X651" s="62"/>
      <c r="Y651" s="93"/>
      <c r="Z651" s="94"/>
      <c r="AA651" s="74"/>
      <c r="AB651" s="75"/>
      <c r="AC651" s="75"/>
      <c r="AD651" s="76"/>
      <c r="AE651" s="77"/>
      <c r="AF651" s="75"/>
      <c r="AG651" s="78"/>
      <c r="AH651" s="79"/>
      <c r="AI651" s="74"/>
      <c r="AJ651" s="75"/>
      <c r="AK651" s="75"/>
      <c r="AL651" s="80">
        <f t="shared" si="108"/>
        <v>0</v>
      </c>
      <c r="AM651" s="74"/>
      <c r="AN651" s="74"/>
      <c r="AO651" s="81" t="str">
        <f t="shared" si="109"/>
        <v/>
      </c>
      <c r="AP651" s="82"/>
      <c r="AQ651" s="75"/>
      <c r="AR651" s="75"/>
      <c r="AS651" s="80">
        <f t="shared" si="110"/>
        <v>0</v>
      </c>
      <c r="AT651" s="74"/>
      <c r="AU651" s="75"/>
      <c r="AV651" s="75"/>
      <c r="AW651" s="75"/>
      <c r="AX651" s="80">
        <f t="shared" si="111"/>
        <v>0</v>
      </c>
      <c r="AY651" s="81" t="str">
        <f t="shared" si="112"/>
        <v/>
      </c>
      <c r="AZ651" s="83" t="str">
        <f t="shared" si="113"/>
        <v/>
      </c>
      <c r="BA651" s="80" t="str">
        <f t="shared" si="114"/>
        <v/>
      </c>
      <c r="BB651" s="84">
        <f t="shared" si="115"/>
        <v>0</v>
      </c>
      <c r="BC651" s="85" t="str">
        <f t="shared" si="116"/>
        <v/>
      </c>
      <c r="BD651" s="86" t="str">
        <f t="shared" si="117"/>
        <v/>
      </c>
      <c r="BE651" s="84">
        <f t="shared" si="118"/>
        <v>0</v>
      </c>
      <c r="BF651" s="87" t="str">
        <f t="shared" si="119"/>
        <v/>
      </c>
      <c r="BG651" s="88" t="str">
        <f t="shared" si="120"/>
        <v/>
      </c>
      <c r="BH651" s="89" t="str">
        <f t="shared" si="121"/>
        <v/>
      </c>
      <c r="BI651" s="90" t="str">
        <f t="shared" si="122"/>
        <v/>
      </c>
      <c r="BJ651" s="90" t="str">
        <f t="shared" si="123"/>
        <v/>
      </c>
      <c r="BK651" s="91">
        <f t="shared" si="124"/>
        <v>0</v>
      </c>
      <c r="BL651" s="92">
        <f t="shared" si="125"/>
        <v>0</v>
      </c>
      <c r="BM651" s="95"/>
    </row>
    <row r="652" spans="1:65">
      <c r="A652" s="61">
        <f t="shared" si="102"/>
        <v>0</v>
      </c>
      <c r="B652" s="62"/>
      <c r="C652" s="62"/>
      <c r="D652" s="63"/>
      <c r="E652" s="64"/>
      <c r="F652" s="64"/>
      <c r="G652" s="65"/>
      <c r="H652" s="66" t="str">
        <f t="shared" si="103"/>
        <v/>
      </c>
      <c r="I652" s="67" t="str">
        <f t="shared" si="104"/>
        <v/>
      </c>
      <c r="J652" s="68" t="str">
        <f t="shared" si="105"/>
        <v/>
      </c>
      <c r="K652" s="69" t="str">
        <f t="shared" si="106"/>
        <v/>
      </c>
      <c r="L652" s="70" t="str">
        <f t="shared" si="107"/>
        <v/>
      </c>
      <c r="M652" s="71"/>
      <c r="N652" s="71"/>
      <c r="O652" s="71"/>
      <c r="P652" s="71"/>
      <c r="Q652" s="61"/>
      <c r="R652" s="63"/>
      <c r="S652" s="72"/>
      <c r="T652" s="61"/>
      <c r="U652" s="73"/>
      <c r="V652" s="62"/>
      <c r="W652" s="62"/>
      <c r="X652" s="62"/>
      <c r="Y652" s="93"/>
      <c r="Z652" s="94"/>
      <c r="AA652" s="74"/>
      <c r="AB652" s="75"/>
      <c r="AC652" s="75"/>
      <c r="AD652" s="76"/>
      <c r="AE652" s="77"/>
      <c r="AF652" s="75"/>
      <c r="AG652" s="78"/>
      <c r="AH652" s="79"/>
      <c r="AI652" s="74"/>
      <c r="AJ652" s="75"/>
      <c r="AK652" s="75"/>
      <c r="AL652" s="80">
        <f t="shared" si="108"/>
        <v>0</v>
      </c>
      <c r="AM652" s="74"/>
      <c r="AN652" s="74"/>
      <c r="AO652" s="81" t="str">
        <f t="shared" si="109"/>
        <v/>
      </c>
      <c r="AP652" s="82"/>
      <c r="AQ652" s="75"/>
      <c r="AR652" s="75"/>
      <c r="AS652" s="80">
        <f t="shared" si="110"/>
        <v>0</v>
      </c>
      <c r="AT652" s="74"/>
      <c r="AU652" s="75"/>
      <c r="AV652" s="75"/>
      <c r="AW652" s="75"/>
      <c r="AX652" s="80">
        <f t="shared" si="111"/>
        <v>0</v>
      </c>
      <c r="AY652" s="81" t="str">
        <f t="shared" si="112"/>
        <v/>
      </c>
      <c r="AZ652" s="83" t="str">
        <f t="shared" si="113"/>
        <v/>
      </c>
      <c r="BA652" s="80" t="str">
        <f t="shared" si="114"/>
        <v/>
      </c>
      <c r="BB652" s="84">
        <f t="shared" si="115"/>
        <v>0</v>
      </c>
      <c r="BC652" s="85" t="str">
        <f t="shared" si="116"/>
        <v/>
      </c>
      <c r="BD652" s="86" t="str">
        <f t="shared" si="117"/>
        <v/>
      </c>
      <c r="BE652" s="84">
        <f t="shared" si="118"/>
        <v>0</v>
      </c>
      <c r="BF652" s="87" t="str">
        <f t="shared" si="119"/>
        <v/>
      </c>
      <c r="BG652" s="88" t="str">
        <f t="shared" si="120"/>
        <v/>
      </c>
      <c r="BH652" s="89" t="str">
        <f t="shared" si="121"/>
        <v/>
      </c>
      <c r="BI652" s="90" t="str">
        <f t="shared" si="122"/>
        <v/>
      </c>
      <c r="BJ652" s="90" t="str">
        <f t="shared" si="123"/>
        <v/>
      </c>
      <c r="BK652" s="91">
        <f t="shared" si="124"/>
        <v>0</v>
      </c>
      <c r="BL652" s="92">
        <f t="shared" si="125"/>
        <v>0</v>
      </c>
      <c r="BM652" s="95"/>
    </row>
    <row r="653" spans="1:65">
      <c r="A653" s="61">
        <f t="shared" si="102"/>
        <v>0</v>
      </c>
      <c r="B653" s="62"/>
      <c r="C653" s="62"/>
      <c r="D653" s="63"/>
      <c r="E653" s="64"/>
      <c r="F653" s="64"/>
      <c r="G653" s="65"/>
      <c r="H653" s="66" t="str">
        <f t="shared" si="103"/>
        <v/>
      </c>
      <c r="I653" s="67" t="str">
        <f t="shared" si="104"/>
        <v/>
      </c>
      <c r="J653" s="68" t="str">
        <f t="shared" si="105"/>
        <v/>
      </c>
      <c r="K653" s="69" t="str">
        <f t="shared" si="106"/>
        <v/>
      </c>
      <c r="L653" s="70" t="str">
        <f t="shared" si="107"/>
        <v/>
      </c>
      <c r="M653" s="71"/>
      <c r="N653" s="71"/>
      <c r="O653" s="71"/>
      <c r="P653" s="71"/>
      <c r="Q653" s="61"/>
      <c r="R653" s="63"/>
      <c r="S653" s="72"/>
      <c r="T653" s="61"/>
      <c r="U653" s="73"/>
      <c r="V653" s="62"/>
      <c r="W653" s="62"/>
      <c r="X653" s="62"/>
      <c r="Y653" s="93"/>
      <c r="Z653" s="94"/>
      <c r="AA653" s="74"/>
      <c r="AB653" s="75"/>
      <c r="AC653" s="75"/>
      <c r="AD653" s="76"/>
      <c r="AE653" s="77"/>
      <c r="AF653" s="75"/>
      <c r="AG653" s="78"/>
      <c r="AH653" s="79"/>
      <c r="AI653" s="74"/>
      <c r="AJ653" s="75"/>
      <c r="AK653" s="75"/>
      <c r="AL653" s="80">
        <f t="shared" si="108"/>
        <v>0</v>
      </c>
      <c r="AM653" s="74"/>
      <c r="AN653" s="74"/>
      <c r="AO653" s="81" t="str">
        <f t="shared" si="109"/>
        <v/>
      </c>
      <c r="AP653" s="82"/>
      <c r="AQ653" s="75"/>
      <c r="AR653" s="75"/>
      <c r="AS653" s="80">
        <f t="shared" si="110"/>
        <v>0</v>
      </c>
      <c r="AT653" s="74"/>
      <c r="AU653" s="75"/>
      <c r="AV653" s="75"/>
      <c r="AW653" s="75"/>
      <c r="AX653" s="80">
        <f t="shared" si="111"/>
        <v>0</v>
      </c>
      <c r="AY653" s="81" t="str">
        <f t="shared" si="112"/>
        <v/>
      </c>
      <c r="AZ653" s="83" t="str">
        <f t="shared" si="113"/>
        <v/>
      </c>
      <c r="BA653" s="80" t="str">
        <f t="shared" si="114"/>
        <v/>
      </c>
      <c r="BB653" s="84">
        <f t="shared" si="115"/>
        <v>0</v>
      </c>
      <c r="BC653" s="85" t="str">
        <f t="shared" si="116"/>
        <v/>
      </c>
      <c r="BD653" s="86" t="str">
        <f t="shared" si="117"/>
        <v/>
      </c>
      <c r="BE653" s="84">
        <f t="shared" si="118"/>
        <v>0</v>
      </c>
      <c r="BF653" s="87" t="str">
        <f t="shared" si="119"/>
        <v/>
      </c>
      <c r="BG653" s="88" t="str">
        <f t="shared" si="120"/>
        <v/>
      </c>
      <c r="BH653" s="89" t="str">
        <f t="shared" si="121"/>
        <v/>
      </c>
      <c r="BI653" s="90" t="str">
        <f t="shared" si="122"/>
        <v/>
      </c>
      <c r="BJ653" s="90" t="str">
        <f t="shared" si="123"/>
        <v/>
      </c>
      <c r="BK653" s="91">
        <f t="shared" si="124"/>
        <v>0</v>
      </c>
      <c r="BL653" s="92">
        <f t="shared" si="125"/>
        <v>0</v>
      </c>
      <c r="BM653" s="95"/>
    </row>
    <row r="654" spans="1:65">
      <c r="A654" s="61">
        <f t="shared" si="102"/>
        <v>0</v>
      </c>
      <c r="B654" s="62"/>
      <c r="C654" s="62"/>
      <c r="D654" s="63"/>
      <c r="E654" s="64"/>
      <c r="F654" s="64"/>
      <c r="G654" s="65"/>
      <c r="H654" s="66" t="str">
        <f t="shared" si="103"/>
        <v/>
      </c>
      <c r="I654" s="67" t="str">
        <f t="shared" si="104"/>
        <v/>
      </c>
      <c r="J654" s="68" t="str">
        <f t="shared" si="105"/>
        <v/>
      </c>
      <c r="K654" s="69" t="str">
        <f t="shared" si="106"/>
        <v/>
      </c>
      <c r="L654" s="70" t="str">
        <f t="shared" si="107"/>
        <v/>
      </c>
      <c r="M654" s="71"/>
      <c r="N654" s="71"/>
      <c r="O654" s="71"/>
      <c r="P654" s="71"/>
      <c r="Q654" s="61"/>
      <c r="R654" s="63"/>
      <c r="S654" s="72"/>
      <c r="T654" s="61"/>
      <c r="U654" s="73"/>
      <c r="V654" s="62"/>
      <c r="W654" s="62"/>
      <c r="X654" s="62"/>
      <c r="Y654" s="93"/>
      <c r="Z654" s="94"/>
      <c r="AA654" s="74"/>
      <c r="AB654" s="75"/>
      <c r="AC654" s="75"/>
      <c r="AD654" s="76"/>
      <c r="AE654" s="77"/>
      <c r="AF654" s="75"/>
      <c r="AG654" s="78"/>
      <c r="AH654" s="79"/>
      <c r="AI654" s="74"/>
      <c r="AJ654" s="75"/>
      <c r="AK654" s="75"/>
      <c r="AL654" s="80">
        <f t="shared" si="108"/>
        <v>0</v>
      </c>
      <c r="AM654" s="74"/>
      <c r="AN654" s="74"/>
      <c r="AO654" s="81" t="str">
        <f t="shared" si="109"/>
        <v/>
      </c>
      <c r="AP654" s="82"/>
      <c r="AQ654" s="75"/>
      <c r="AR654" s="75"/>
      <c r="AS654" s="80">
        <f t="shared" si="110"/>
        <v>0</v>
      </c>
      <c r="AT654" s="74"/>
      <c r="AU654" s="75"/>
      <c r="AV654" s="75"/>
      <c r="AW654" s="75"/>
      <c r="AX654" s="80">
        <f t="shared" si="111"/>
        <v>0</v>
      </c>
      <c r="AY654" s="81" t="str">
        <f t="shared" si="112"/>
        <v/>
      </c>
      <c r="AZ654" s="83" t="str">
        <f t="shared" si="113"/>
        <v/>
      </c>
      <c r="BA654" s="80" t="str">
        <f t="shared" si="114"/>
        <v/>
      </c>
      <c r="BB654" s="84">
        <f t="shared" si="115"/>
        <v>0</v>
      </c>
      <c r="BC654" s="85" t="str">
        <f t="shared" si="116"/>
        <v/>
      </c>
      <c r="BD654" s="86" t="str">
        <f t="shared" si="117"/>
        <v/>
      </c>
      <c r="BE654" s="84">
        <f t="shared" si="118"/>
        <v>0</v>
      </c>
      <c r="BF654" s="87" t="str">
        <f t="shared" si="119"/>
        <v/>
      </c>
      <c r="BG654" s="88" t="str">
        <f t="shared" si="120"/>
        <v/>
      </c>
      <c r="BH654" s="89" t="str">
        <f t="shared" si="121"/>
        <v/>
      </c>
      <c r="BI654" s="90" t="str">
        <f t="shared" si="122"/>
        <v/>
      </c>
      <c r="BJ654" s="90" t="str">
        <f t="shared" si="123"/>
        <v/>
      </c>
      <c r="BK654" s="91">
        <f t="shared" si="124"/>
        <v>0</v>
      </c>
      <c r="BL654" s="92">
        <f t="shared" si="125"/>
        <v>0</v>
      </c>
      <c r="BM654" s="95"/>
    </row>
    <row r="655" spans="1:65">
      <c r="A655" s="61">
        <f t="shared" si="102"/>
        <v>0</v>
      </c>
      <c r="B655" s="62"/>
      <c r="C655" s="62"/>
      <c r="D655" s="63"/>
      <c r="E655" s="64"/>
      <c r="F655" s="64"/>
      <c r="G655" s="65"/>
      <c r="H655" s="66" t="str">
        <f t="shared" si="103"/>
        <v/>
      </c>
      <c r="I655" s="67" t="str">
        <f t="shared" si="104"/>
        <v/>
      </c>
      <c r="J655" s="68" t="str">
        <f t="shared" si="105"/>
        <v/>
      </c>
      <c r="K655" s="69" t="str">
        <f t="shared" si="106"/>
        <v/>
      </c>
      <c r="L655" s="70" t="str">
        <f t="shared" si="107"/>
        <v/>
      </c>
      <c r="M655" s="71"/>
      <c r="N655" s="71"/>
      <c r="O655" s="71"/>
      <c r="P655" s="71"/>
      <c r="Q655" s="61"/>
      <c r="R655" s="63"/>
      <c r="S655" s="72"/>
      <c r="T655" s="61"/>
      <c r="U655" s="73"/>
      <c r="V655" s="62"/>
      <c r="W655" s="62"/>
      <c r="X655" s="62"/>
      <c r="Y655" s="93"/>
      <c r="Z655" s="94"/>
      <c r="AA655" s="74"/>
      <c r="AB655" s="75"/>
      <c r="AC655" s="75"/>
      <c r="AD655" s="76"/>
      <c r="AE655" s="77"/>
      <c r="AF655" s="75"/>
      <c r="AG655" s="78"/>
      <c r="AH655" s="79"/>
      <c r="AI655" s="74"/>
      <c r="AJ655" s="75"/>
      <c r="AK655" s="75"/>
      <c r="AL655" s="80">
        <f t="shared" si="108"/>
        <v>0</v>
      </c>
      <c r="AM655" s="74"/>
      <c r="AN655" s="74"/>
      <c r="AO655" s="81" t="str">
        <f t="shared" si="109"/>
        <v/>
      </c>
      <c r="AP655" s="82"/>
      <c r="AQ655" s="75"/>
      <c r="AR655" s="75"/>
      <c r="AS655" s="80">
        <f t="shared" si="110"/>
        <v>0</v>
      </c>
      <c r="AT655" s="74"/>
      <c r="AU655" s="75"/>
      <c r="AV655" s="75"/>
      <c r="AW655" s="75"/>
      <c r="AX655" s="80">
        <f t="shared" si="111"/>
        <v>0</v>
      </c>
      <c r="AY655" s="81" t="str">
        <f t="shared" si="112"/>
        <v/>
      </c>
      <c r="AZ655" s="83" t="str">
        <f t="shared" si="113"/>
        <v/>
      </c>
      <c r="BA655" s="80" t="str">
        <f t="shared" si="114"/>
        <v/>
      </c>
      <c r="BB655" s="84">
        <f t="shared" si="115"/>
        <v>0</v>
      </c>
      <c r="BC655" s="85" t="str">
        <f t="shared" si="116"/>
        <v/>
      </c>
      <c r="BD655" s="86" t="str">
        <f t="shared" si="117"/>
        <v/>
      </c>
      <c r="BE655" s="84">
        <f t="shared" si="118"/>
        <v>0</v>
      </c>
      <c r="BF655" s="87" t="str">
        <f t="shared" si="119"/>
        <v/>
      </c>
      <c r="BG655" s="88" t="str">
        <f t="shared" si="120"/>
        <v/>
      </c>
      <c r="BH655" s="89" t="str">
        <f t="shared" si="121"/>
        <v/>
      </c>
      <c r="BI655" s="90" t="str">
        <f t="shared" si="122"/>
        <v/>
      </c>
      <c r="BJ655" s="90" t="str">
        <f t="shared" si="123"/>
        <v/>
      </c>
      <c r="BK655" s="91">
        <f t="shared" si="124"/>
        <v>0</v>
      </c>
      <c r="BL655" s="92">
        <f t="shared" si="125"/>
        <v>0</v>
      </c>
      <c r="BM655" s="95"/>
    </row>
    <row r="656" spans="1:65">
      <c r="A656" s="61">
        <f t="shared" si="102"/>
        <v>0</v>
      </c>
      <c r="B656" s="62"/>
      <c r="C656" s="62"/>
      <c r="D656" s="63"/>
      <c r="E656" s="64"/>
      <c r="F656" s="64"/>
      <c r="G656" s="65"/>
      <c r="H656" s="66" t="str">
        <f t="shared" si="103"/>
        <v/>
      </c>
      <c r="I656" s="67" t="str">
        <f t="shared" si="104"/>
        <v/>
      </c>
      <c r="J656" s="68" t="str">
        <f t="shared" si="105"/>
        <v/>
      </c>
      <c r="K656" s="69" t="str">
        <f t="shared" si="106"/>
        <v/>
      </c>
      <c r="L656" s="70" t="str">
        <f t="shared" si="107"/>
        <v/>
      </c>
      <c r="M656" s="71"/>
      <c r="N656" s="71"/>
      <c r="O656" s="71"/>
      <c r="P656" s="71"/>
      <c r="Q656" s="61"/>
      <c r="R656" s="63"/>
      <c r="S656" s="72"/>
      <c r="T656" s="61"/>
      <c r="U656" s="73"/>
      <c r="V656" s="62"/>
      <c r="W656" s="62"/>
      <c r="X656" s="62"/>
      <c r="Y656" s="93"/>
      <c r="Z656" s="94"/>
      <c r="AA656" s="74"/>
      <c r="AB656" s="75"/>
      <c r="AC656" s="75"/>
      <c r="AD656" s="76"/>
      <c r="AE656" s="77"/>
      <c r="AF656" s="75"/>
      <c r="AG656" s="78"/>
      <c r="AH656" s="79"/>
      <c r="AI656" s="74"/>
      <c r="AJ656" s="75"/>
      <c r="AK656" s="75"/>
      <c r="AL656" s="80">
        <f t="shared" si="108"/>
        <v>0</v>
      </c>
      <c r="AM656" s="74"/>
      <c r="AN656" s="74"/>
      <c r="AO656" s="81" t="str">
        <f t="shared" si="109"/>
        <v/>
      </c>
      <c r="AP656" s="82"/>
      <c r="AQ656" s="75"/>
      <c r="AR656" s="75"/>
      <c r="AS656" s="80">
        <f t="shared" si="110"/>
        <v>0</v>
      </c>
      <c r="AT656" s="74"/>
      <c r="AU656" s="75"/>
      <c r="AV656" s="75"/>
      <c r="AW656" s="75"/>
      <c r="AX656" s="80">
        <f t="shared" si="111"/>
        <v>0</v>
      </c>
      <c r="AY656" s="81" t="str">
        <f t="shared" si="112"/>
        <v/>
      </c>
      <c r="AZ656" s="83" t="str">
        <f t="shared" si="113"/>
        <v/>
      </c>
      <c r="BA656" s="80" t="str">
        <f t="shared" si="114"/>
        <v/>
      </c>
      <c r="BB656" s="84">
        <f t="shared" si="115"/>
        <v>0</v>
      </c>
      <c r="BC656" s="85" t="str">
        <f t="shared" si="116"/>
        <v/>
      </c>
      <c r="BD656" s="86" t="str">
        <f t="shared" si="117"/>
        <v/>
      </c>
      <c r="BE656" s="84">
        <f t="shared" si="118"/>
        <v>0</v>
      </c>
      <c r="BF656" s="87" t="str">
        <f t="shared" si="119"/>
        <v/>
      </c>
      <c r="BG656" s="88" t="str">
        <f t="shared" si="120"/>
        <v/>
      </c>
      <c r="BH656" s="89" t="str">
        <f t="shared" si="121"/>
        <v/>
      </c>
      <c r="BI656" s="90" t="str">
        <f t="shared" si="122"/>
        <v/>
      </c>
      <c r="BJ656" s="90" t="str">
        <f t="shared" si="123"/>
        <v/>
      </c>
      <c r="BK656" s="91">
        <f t="shared" si="124"/>
        <v>0</v>
      </c>
      <c r="BL656" s="92">
        <f t="shared" si="125"/>
        <v>0</v>
      </c>
      <c r="BM656" s="95"/>
    </row>
    <row r="657" spans="1:65">
      <c r="A657" s="61">
        <f t="shared" si="102"/>
        <v>0</v>
      </c>
      <c r="B657" s="62"/>
      <c r="C657" s="62"/>
      <c r="D657" s="63"/>
      <c r="E657" s="64"/>
      <c r="F657" s="64"/>
      <c r="G657" s="65"/>
      <c r="H657" s="66" t="str">
        <f t="shared" si="103"/>
        <v/>
      </c>
      <c r="I657" s="67" t="str">
        <f t="shared" si="104"/>
        <v/>
      </c>
      <c r="J657" s="68" t="str">
        <f t="shared" si="105"/>
        <v/>
      </c>
      <c r="K657" s="69" t="str">
        <f t="shared" si="106"/>
        <v/>
      </c>
      <c r="L657" s="70" t="str">
        <f t="shared" si="107"/>
        <v/>
      </c>
      <c r="M657" s="71"/>
      <c r="N657" s="71"/>
      <c r="O657" s="71"/>
      <c r="P657" s="71"/>
      <c r="Q657" s="61"/>
      <c r="R657" s="63"/>
      <c r="S657" s="72"/>
      <c r="T657" s="61"/>
      <c r="U657" s="73"/>
      <c r="V657" s="62"/>
      <c r="W657" s="62"/>
      <c r="X657" s="62"/>
      <c r="Y657" s="93"/>
      <c r="Z657" s="94"/>
      <c r="AA657" s="74"/>
      <c r="AB657" s="75"/>
      <c r="AC657" s="75"/>
      <c r="AD657" s="76"/>
      <c r="AE657" s="77"/>
      <c r="AF657" s="75"/>
      <c r="AG657" s="78"/>
      <c r="AH657" s="79"/>
      <c r="AI657" s="74"/>
      <c r="AJ657" s="75"/>
      <c r="AK657" s="75"/>
      <c r="AL657" s="80">
        <f t="shared" si="108"/>
        <v>0</v>
      </c>
      <c r="AM657" s="74"/>
      <c r="AN657" s="74"/>
      <c r="AO657" s="81" t="str">
        <f t="shared" si="109"/>
        <v/>
      </c>
      <c r="AP657" s="82"/>
      <c r="AQ657" s="75"/>
      <c r="AR657" s="75"/>
      <c r="AS657" s="80">
        <f t="shared" si="110"/>
        <v>0</v>
      </c>
      <c r="AT657" s="74"/>
      <c r="AU657" s="75"/>
      <c r="AV657" s="75"/>
      <c r="AW657" s="75"/>
      <c r="AX657" s="80">
        <f t="shared" si="111"/>
        <v>0</v>
      </c>
      <c r="AY657" s="81" t="str">
        <f t="shared" si="112"/>
        <v/>
      </c>
      <c r="AZ657" s="83" t="str">
        <f t="shared" si="113"/>
        <v/>
      </c>
      <c r="BA657" s="80" t="str">
        <f t="shared" si="114"/>
        <v/>
      </c>
      <c r="BB657" s="84">
        <f t="shared" si="115"/>
        <v>0</v>
      </c>
      <c r="BC657" s="85" t="str">
        <f t="shared" si="116"/>
        <v/>
      </c>
      <c r="BD657" s="86" t="str">
        <f t="shared" si="117"/>
        <v/>
      </c>
      <c r="BE657" s="84">
        <f t="shared" si="118"/>
        <v>0</v>
      </c>
      <c r="BF657" s="87" t="str">
        <f t="shared" si="119"/>
        <v/>
      </c>
      <c r="BG657" s="88" t="str">
        <f t="shared" si="120"/>
        <v/>
      </c>
      <c r="BH657" s="89" t="str">
        <f t="shared" si="121"/>
        <v/>
      </c>
      <c r="BI657" s="90" t="str">
        <f t="shared" si="122"/>
        <v/>
      </c>
      <c r="BJ657" s="90" t="str">
        <f t="shared" si="123"/>
        <v/>
      </c>
      <c r="BK657" s="91">
        <f t="shared" si="124"/>
        <v>0</v>
      </c>
      <c r="BL657" s="92">
        <f t="shared" si="125"/>
        <v>0</v>
      </c>
      <c r="BM657" s="95"/>
    </row>
    <row r="658" spans="1:65">
      <c r="A658" s="61">
        <f t="shared" si="102"/>
        <v>0</v>
      </c>
      <c r="B658" s="62"/>
      <c r="C658" s="62"/>
      <c r="D658" s="63"/>
      <c r="E658" s="64"/>
      <c r="F658" s="64"/>
      <c r="G658" s="65"/>
      <c r="H658" s="66" t="str">
        <f t="shared" si="103"/>
        <v/>
      </c>
      <c r="I658" s="67" t="str">
        <f t="shared" si="104"/>
        <v/>
      </c>
      <c r="J658" s="68" t="str">
        <f t="shared" si="105"/>
        <v/>
      </c>
      <c r="K658" s="69" t="str">
        <f t="shared" si="106"/>
        <v/>
      </c>
      <c r="L658" s="70" t="str">
        <f t="shared" si="107"/>
        <v/>
      </c>
      <c r="M658" s="71"/>
      <c r="N658" s="71"/>
      <c r="O658" s="71"/>
      <c r="P658" s="71"/>
      <c r="Q658" s="61"/>
      <c r="R658" s="63"/>
      <c r="S658" s="72"/>
      <c r="T658" s="61"/>
      <c r="U658" s="73"/>
      <c r="V658" s="62"/>
      <c r="W658" s="62"/>
      <c r="X658" s="62"/>
      <c r="Y658" s="93"/>
      <c r="Z658" s="94"/>
      <c r="AA658" s="74"/>
      <c r="AB658" s="75"/>
      <c r="AC658" s="75"/>
      <c r="AD658" s="76"/>
      <c r="AE658" s="77"/>
      <c r="AF658" s="75"/>
      <c r="AG658" s="78"/>
      <c r="AH658" s="79"/>
      <c r="AI658" s="74"/>
      <c r="AJ658" s="75"/>
      <c r="AK658" s="75"/>
      <c r="AL658" s="80">
        <f t="shared" si="108"/>
        <v>0</v>
      </c>
      <c r="AM658" s="74"/>
      <c r="AN658" s="74"/>
      <c r="AO658" s="81" t="str">
        <f t="shared" si="109"/>
        <v/>
      </c>
      <c r="AP658" s="82"/>
      <c r="AQ658" s="75"/>
      <c r="AR658" s="75"/>
      <c r="AS658" s="80">
        <f t="shared" si="110"/>
        <v>0</v>
      </c>
      <c r="AT658" s="74"/>
      <c r="AU658" s="75"/>
      <c r="AV658" s="75"/>
      <c r="AW658" s="75"/>
      <c r="AX658" s="80">
        <f t="shared" si="111"/>
        <v>0</v>
      </c>
      <c r="AY658" s="81" t="str">
        <f t="shared" si="112"/>
        <v/>
      </c>
      <c r="AZ658" s="83" t="str">
        <f t="shared" si="113"/>
        <v/>
      </c>
      <c r="BA658" s="80" t="str">
        <f t="shared" si="114"/>
        <v/>
      </c>
      <c r="BB658" s="84">
        <f t="shared" si="115"/>
        <v>0</v>
      </c>
      <c r="BC658" s="85" t="str">
        <f t="shared" si="116"/>
        <v/>
      </c>
      <c r="BD658" s="86" t="str">
        <f t="shared" si="117"/>
        <v/>
      </c>
      <c r="BE658" s="84">
        <f t="shared" si="118"/>
        <v>0</v>
      </c>
      <c r="BF658" s="87" t="str">
        <f t="shared" si="119"/>
        <v/>
      </c>
      <c r="BG658" s="88" t="str">
        <f t="shared" si="120"/>
        <v/>
      </c>
      <c r="BH658" s="89" t="str">
        <f t="shared" si="121"/>
        <v/>
      </c>
      <c r="BI658" s="90" t="str">
        <f t="shared" si="122"/>
        <v/>
      </c>
      <c r="BJ658" s="90" t="str">
        <f t="shared" si="123"/>
        <v/>
      </c>
      <c r="BK658" s="91">
        <f t="shared" si="124"/>
        <v>0</v>
      </c>
      <c r="BL658" s="92">
        <f t="shared" si="125"/>
        <v>0</v>
      </c>
      <c r="BM658" s="95"/>
    </row>
    <row r="659" spans="1:65">
      <c r="A659" s="61">
        <f t="shared" si="102"/>
        <v>0</v>
      </c>
      <c r="B659" s="62"/>
      <c r="C659" s="62"/>
      <c r="D659" s="63"/>
      <c r="E659" s="64"/>
      <c r="F659" s="64"/>
      <c r="G659" s="65"/>
      <c r="H659" s="66" t="str">
        <f t="shared" si="103"/>
        <v/>
      </c>
      <c r="I659" s="67" t="str">
        <f t="shared" si="104"/>
        <v/>
      </c>
      <c r="J659" s="68" t="str">
        <f t="shared" si="105"/>
        <v/>
      </c>
      <c r="K659" s="69" t="str">
        <f t="shared" si="106"/>
        <v/>
      </c>
      <c r="L659" s="70" t="str">
        <f t="shared" si="107"/>
        <v/>
      </c>
      <c r="M659" s="71"/>
      <c r="N659" s="71"/>
      <c r="O659" s="71"/>
      <c r="P659" s="71"/>
      <c r="Q659" s="61"/>
      <c r="R659" s="63"/>
      <c r="S659" s="72"/>
      <c r="T659" s="61"/>
      <c r="U659" s="73"/>
      <c r="V659" s="62"/>
      <c r="W659" s="62"/>
      <c r="X659" s="62"/>
      <c r="Y659" s="93"/>
      <c r="Z659" s="94"/>
      <c r="AA659" s="74"/>
      <c r="AB659" s="75"/>
      <c r="AC659" s="75"/>
      <c r="AD659" s="76"/>
      <c r="AE659" s="77"/>
      <c r="AF659" s="75"/>
      <c r="AG659" s="78"/>
      <c r="AH659" s="79"/>
      <c r="AI659" s="74"/>
      <c r="AJ659" s="75"/>
      <c r="AK659" s="75"/>
      <c r="AL659" s="80">
        <f t="shared" si="108"/>
        <v>0</v>
      </c>
      <c r="AM659" s="74"/>
      <c r="AN659" s="74"/>
      <c r="AO659" s="81" t="str">
        <f t="shared" si="109"/>
        <v/>
      </c>
      <c r="AP659" s="82"/>
      <c r="AQ659" s="75"/>
      <c r="AR659" s="75"/>
      <c r="AS659" s="80">
        <f t="shared" si="110"/>
        <v>0</v>
      </c>
      <c r="AT659" s="74"/>
      <c r="AU659" s="75"/>
      <c r="AV659" s="75"/>
      <c r="AW659" s="75"/>
      <c r="AX659" s="80">
        <f t="shared" si="111"/>
        <v>0</v>
      </c>
      <c r="AY659" s="81" t="str">
        <f t="shared" si="112"/>
        <v/>
      </c>
      <c r="AZ659" s="83" t="str">
        <f t="shared" si="113"/>
        <v/>
      </c>
      <c r="BA659" s="80" t="str">
        <f t="shared" si="114"/>
        <v/>
      </c>
      <c r="BB659" s="84">
        <f t="shared" si="115"/>
        <v>0</v>
      </c>
      <c r="BC659" s="85" t="str">
        <f t="shared" si="116"/>
        <v/>
      </c>
      <c r="BD659" s="86" t="str">
        <f t="shared" si="117"/>
        <v/>
      </c>
      <c r="BE659" s="84">
        <f t="shared" si="118"/>
        <v>0</v>
      </c>
      <c r="BF659" s="87" t="str">
        <f t="shared" si="119"/>
        <v/>
      </c>
      <c r="BG659" s="88" t="str">
        <f t="shared" si="120"/>
        <v/>
      </c>
      <c r="BH659" s="89" t="str">
        <f t="shared" si="121"/>
        <v/>
      </c>
      <c r="BI659" s="90" t="str">
        <f t="shared" si="122"/>
        <v/>
      </c>
      <c r="BJ659" s="90" t="str">
        <f t="shared" si="123"/>
        <v/>
      </c>
      <c r="BK659" s="91">
        <f t="shared" si="124"/>
        <v>0</v>
      </c>
      <c r="BL659" s="92">
        <f t="shared" si="125"/>
        <v>0</v>
      </c>
      <c r="BM659" s="95"/>
    </row>
    <row r="660" spans="1:65">
      <c r="A660" s="61">
        <f t="shared" si="102"/>
        <v>0</v>
      </c>
      <c r="B660" s="62"/>
      <c r="C660" s="62"/>
      <c r="D660" s="63"/>
      <c r="E660" s="64"/>
      <c r="F660" s="64"/>
      <c r="G660" s="65"/>
      <c r="H660" s="66" t="str">
        <f t="shared" si="103"/>
        <v/>
      </c>
      <c r="I660" s="67" t="str">
        <f t="shared" si="104"/>
        <v/>
      </c>
      <c r="J660" s="68" t="str">
        <f t="shared" si="105"/>
        <v/>
      </c>
      <c r="K660" s="69" t="str">
        <f t="shared" si="106"/>
        <v/>
      </c>
      <c r="L660" s="70" t="str">
        <f t="shared" si="107"/>
        <v/>
      </c>
      <c r="M660" s="71"/>
      <c r="N660" s="71"/>
      <c r="O660" s="71"/>
      <c r="P660" s="71"/>
      <c r="Q660" s="61"/>
      <c r="R660" s="63"/>
      <c r="S660" s="72"/>
      <c r="T660" s="61"/>
      <c r="U660" s="73"/>
      <c r="V660" s="62"/>
      <c r="W660" s="62"/>
      <c r="X660" s="62"/>
      <c r="Y660" s="93"/>
      <c r="Z660" s="94"/>
      <c r="AA660" s="74"/>
      <c r="AB660" s="75"/>
      <c r="AC660" s="75"/>
      <c r="AD660" s="76"/>
      <c r="AE660" s="77"/>
      <c r="AF660" s="75"/>
      <c r="AG660" s="78"/>
      <c r="AH660" s="79"/>
      <c r="AI660" s="74"/>
      <c r="AJ660" s="75"/>
      <c r="AK660" s="75"/>
      <c r="AL660" s="80">
        <f t="shared" si="108"/>
        <v>0</v>
      </c>
      <c r="AM660" s="74"/>
      <c r="AN660" s="74"/>
      <c r="AO660" s="81" t="str">
        <f t="shared" si="109"/>
        <v/>
      </c>
      <c r="AP660" s="82"/>
      <c r="AQ660" s="75"/>
      <c r="AR660" s="75"/>
      <c r="AS660" s="80">
        <f t="shared" si="110"/>
        <v>0</v>
      </c>
      <c r="AT660" s="74"/>
      <c r="AU660" s="75"/>
      <c r="AV660" s="75"/>
      <c r="AW660" s="75"/>
      <c r="AX660" s="80">
        <f t="shared" si="111"/>
        <v>0</v>
      </c>
      <c r="AY660" s="81" t="str">
        <f t="shared" si="112"/>
        <v/>
      </c>
      <c r="AZ660" s="83" t="str">
        <f t="shared" si="113"/>
        <v/>
      </c>
      <c r="BA660" s="80" t="str">
        <f t="shared" si="114"/>
        <v/>
      </c>
      <c r="BB660" s="84">
        <f t="shared" si="115"/>
        <v>0</v>
      </c>
      <c r="BC660" s="85" t="str">
        <f t="shared" si="116"/>
        <v/>
      </c>
      <c r="BD660" s="86" t="str">
        <f t="shared" si="117"/>
        <v/>
      </c>
      <c r="BE660" s="84">
        <f t="shared" si="118"/>
        <v>0</v>
      </c>
      <c r="BF660" s="87" t="str">
        <f t="shared" si="119"/>
        <v/>
      </c>
      <c r="BG660" s="88" t="str">
        <f t="shared" si="120"/>
        <v/>
      </c>
      <c r="BH660" s="89" t="str">
        <f t="shared" si="121"/>
        <v/>
      </c>
      <c r="BI660" s="90" t="str">
        <f t="shared" si="122"/>
        <v/>
      </c>
      <c r="BJ660" s="90" t="str">
        <f t="shared" si="123"/>
        <v/>
      </c>
      <c r="BK660" s="91">
        <f t="shared" si="124"/>
        <v>0</v>
      </c>
      <c r="BL660" s="92">
        <f t="shared" si="125"/>
        <v>0</v>
      </c>
      <c r="BM660" s="95"/>
    </row>
    <row r="661" spans="1:65">
      <c r="A661" s="61">
        <f t="shared" si="102"/>
        <v>0</v>
      </c>
      <c r="B661" s="62"/>
      <c r="C661" s="62"/>
      <c r="D661" s="63"/>
      <c r="E661" s="64"/>
      <c r="F661" s="64"/>
      <c r="G661" s="65"/>
      <c r="H661" s="66" t="str">
        <f t="shared" si="103"/>
        <v/>
      </c>
      <c r="I661" s="67" t="str">
        <f t="shared" si="104"/>
        <v/>
      </c>
      <c r="J661" s="68" t="str">
        <f t="shared" si="105"/>
        <v/>
      </c>
      <c r="K661" s="69" t="str">
        <f t="shared" si="106"/>
        <v/>
      </c>
      <c r="L661" s="70" t="str">
        <f t="shared" si="107"/>
        <v/>
      </c>
      <c r="M661" s="71"/>
      <c r="N661" s="71"/>
      <c r="O661" s="71"/>
      <c r="P661" s="71"/>
      <c r="Q661" s="61"/>
      <c r="R661" s="63"/>
      <c r="S661" s="72"/>
      <c r="T661" s="61"/>
      <c r="U661" s="73"/>
      <c r="V661" s="62"/>
      <c r="W661" s="62"/>
      <c r="X661" s="62"/>
      <c r="Y661" s="93"/>
      <c r="Z661" s="94"/>
      <c r="AA661" s="74"/>
      <c r="AB661" s="75"/>
      <c r="AC661" s="75"/>
      <c r="AD661" s="76"/>
      <c r="AE661" s="77"/>
      <c r="AF661" s="75"/>
      <c r="AG661" s="78"/>
      <c r="AH661" s="79"/>
      <c r="AI661" s="74"/>
      <c r="AJ661" s="75"/>
      <c r="AK661" s="75"/>
      <c r="AL661" s="80">
        <f t="shared" si="108"/>
        <v>0</v>
      </c>
      <c r="AM661" s="74"/>
      <c r="AN661" s="74"/>
      <c r="AO661" s="81" t="str">
        <f t="shared" si="109"/>
        <v/>
      </c>
      <c r="AP661" s="82"/>
      <c r="AQ661" s="75"/>
      <c r="AR661" s="75"/>
      <c r="AS661" s="80">
        <f t="shared" si="110"/>
        <v>0</v>
      </c>
      <c r="AT661" s="74"/>
      <c r="AU661" s="75"/>
      <c r="AV661" s="75"/>
      <c r="AW661" s="75"/>
      <c r="AX661" s="80">
        <f t="shared" si="111"/>
        <v>0</v>
      </c>
      <c r="AY661" s="81" t="str">
        <f t="shared" si="112"/>
        <v/>
      </c>
      <c r="AZ661" s="83" t="str">
        <f t="shared" si="113"/>
        <v/>
      </c>
      <c r="BA661" s="80" t="str">
        <f t="shared" si="114"/>
        <v/>
      </c>
      <c r="BB661" s="84">
        <f t="shared" si="115"/>
        <v>0</v>
      </c>
      <c r="BC661" s="85" t="str">
        <f t="shared" si="116"/>
        <v/>
      </c>
      <c r="BD661" s="86" t="str">
        <f t="shared" si="117"/>
        <v/>
      </c>
      <c r="BE661" s="84">
        <f t="shared" si="118"/>
        <v>0</v>
      </c>
      <c r="BF661" s="87" t="str">
        <f t="shared" si="119"/>
        <v/>
      </c>
      <c r="BG661" s="88" t="str">
        <f t="shared" si="120"/>
        <v/>
      </c>
      <c r="BH661" s="89" t="str">
        <f t="shared" si="121"/>
        <v/>
      </c>
      <c r="BI661" s="90" t="str">
        <f t="shared" si="122"/>
        <v/>
      </c>
      <c r="BJ661" s="90" t="str">
        <f t="shared" si="123"/>
        <v/>
      </c>
      <c r="BK661" s="91">
        <f t="shared" si="124"/>
        <v>0</v>
      </c>
      <c r="BL661" s="92">
        <f t="shared" si="125"/>
        <v>0</v>
      </c>
      <c r="BM661" s="95"/>
    </row>
    <row r="662" spans="1:65">
      <c r="A662" s="61">
        <f t="shared" si="102"/>
        <v>0</v>
      </c>
      <c r="B662" s="62"/>
      <c r="C662" s="62"/>
      <c r="D662" s="63"/>
      <c r="E662" s="64"/>
      <c r="F662" s="64"/>
      <c r="G662" s="65"/>
      <c r="H662" s="66" t="str">
        <f t="shared" si="103"/>
        <v/>
      </c>
      <c r="I662" s="67" t="str">
        <f t="shared" si="104"/>
        <v/>
      </c>
      <c r="J662" s="68" t="str">
        <f t="shared" si="105"/>
        <v/>
      </c>
      <c r="K662" s="69" t="str">
        <f t="shared" si="106"/>
        <v/>
      </c>
      <c r="L662" s="70" t="str">
        <f t="shared" si="107"/>
        <v/>
      </c>
      <c r="M662" s="71"/>
      <c r="N662" s="71"/>
      <c r="O662" s="71"/>
      <c r="P662" s="71"/>
      <c r="Q662" s="61"/>
      <c r="R662" s="63"/>
      <c r="S662" s="72"/>
      <c r="T662" s="61"/>
      <c r="U662" s="73"/>
      <c r="V662" s="62"/>
      <c r="W662" s="62"/>
      <c r="X662" s="62"/>
      <c r="Y662" s="93"/>
      <c r="Z662" s="94"/>
      <c r="AA662" s="74"/>
      <c r="AB662" s="75"/>
      <c r="AC662" s="75"/>
      <c r="AD662" s="76"/>
      <c r="AE662" s="77"/>
      <c r="AF662" s="75"/>
      <c r="AG662" s="78"/>
      <c r="AH662" s="79"/>
      <c r="AI662" s="74"/>
      <c r="AJ662" s="75"/>
      <c r="AK662" s="75"/>
      <c r="AL662" s="80">
        <f t="shared" si="108"/>
        <v>0</v>
      </c>
      <c r="AM662" s="74"/>
      <c r="AN662" s="74"/>
      <c r="AO662" s="81" t="str">
        <f t="shared" si="109"/>
        <v/>
      </c>
      <c r="AP662" s="82"/>
      <c r="AQ662" s="75"/>
      <c r="AR662" s="75"/>
      <c r="AS662" s="80">
        <f t="shared" si="110"/>
        <v>0</v>
      </c>
      <c r="AT662" s="74"/>
      <c r="AU662" s="75"/>
      <c r="AV662" s="75"/>
      <c r="AW662" s="75"/>
      <c r="AX662" s="80">
        <f t="shared" si="111"/>
        <v>0</v>
      </c>
      <c r="AY662" s="81" t="str">
        <f t="shared" si="112"/>
        <v/>
      </c>
      <c r="AZ662" s="83" t="str">
        <f t="shared" si="113"/>
        <v/>
      </c>
      <c r="BA662" s="80" t="str">
        <f t="shared" si="114"/>
        <v/>
      </c>
      <c r="BB662" s="84">
        <f t="shared" si="115"/>
        <v>0</v>
      </c>
      <c r="BC662" s="85" t="str">
        <f t="shared" si="116"/>
        <v/>
      </c>
      <c r="BD662" s="86" t="str">
        <f t="shared" si="117"/>
        <v/>
      </c>
      <c r="BE662" s="84">
        <f t="shared" si="118"/>
        <v>0</v>
      </c>
      <c r="BF662" s="87" t="str">
        <f t="shared" si="119"/>
        <v/>
      </c>
      <c r="BG662" s="88" t="str">
        <f t="shared" si="120"/>
        <v/>
      </c>
      <c r="BH662" s="89" t="str">
        <f t="shared" si="121"/>
        <v/>
      </c>
      <c r="BI662" s="90" t="str">
        <f t="shared" si="122"/>
        <v/>
      </c>
      <c r="BJ662" s="90" t="str">
        <f t="shared" si="123"/>
        <v/>
      </c>
      <c r="BK662" s="91">
        <f t="shared" si="124"/>
        <v>0</v>
      </c>
      <c r="BL662" s="92">
        <f t="shared" si="125"/>
        <v>0</v>
      </c>
      <c r="BM662" s="95"/>
    </row>
    <row r="663" spans="1:65">
      <c r="A663" s="61">
        <f t="shared" si="102"/>
        <v>0</v>
      </c>
      <c r="B663" s="62"/>
      <c r="C663" s="62"/>
      <c r="D663" s="63"/>
      <c r="E663" s="64"/>
      <c r="F663" s="64"/>
      <c r="G663" s="65"/>
      <c r="H663" s="66" t="str">
        <f t="shared" si="103"/>
        <v/>
      </c>
      <c r="I663" s="67" t="str">
        <f t="shared" si="104"/>
        <v/>
      </c>
      <c r="J663" s="68" t="str">
        <f t="shared" si="105"/>
        <v/>
      </c>
      <c r="K663" s="69" t="str">
        <f t="shared" si="106"/>
        <v/>
      </c>
      <c r="L663" s="70" t="str">
        <f t="shared" si="107"/>
        <v/>
      </c>
      <c r="M663" s="71"/>
      <c r="N663" s="71"/>
      <c r="O663" s="71"/>
      <c r="P663" s="71"/>
      <c r="Q663" s="61"/>
      <c r="R663" s="63"/>
      <c r="S663" s="72"/>
      <c r="T663" s="61"/>
      <c r="U663" s="73"/>
      <c r="V663" s="62"/>
      <c r="W663" s="62"/>
      <c r="X663" s="62"/>
      <c r="Y663" s="93"/>
      <c r="Z663" s="94"/>
      <c r="AA663" s="74"/>
      <c r="AB663" s="75"/>
      <c r="AC663" s="75"/>
      <c r="AD663" s="76"/>
      <c r="AE663" s="77"/>
      <c r="AF663" s="75"/>
      <c r="AG663" s="78"/>
      <c r="AH663" s="79"/>
      <c r="AI663" s="74"/>
      <c r="AJ663" s="75"/>
      <c r="AK663" s="75"/>
      <c r="AL663" s="80">
        <f t="shared" si="108"/>
        <v>0</v>
      </c>
      <c r="AM663" s="74"/>
      <c r="AN663" s="74"/>
      <c r="AO663" s="81" t="str">
        <f t="shared" si="109"/>
        <v/>
      </c>
      <c r="AP663" s="82"/>
      <c r="AQ663" s="75"/>
      <c r="AR663" s="75"/>
      <c r="AS663" s="80">
        <f t="shared" si="110"/>
        <v>0</v>
      </c>
      <c r="AT663" s="74"/>
      <c r="AU663" s="75"/>
      <c r="AV663" s="75"/>
      <c r="AW663" s="75"/>
      <c r="AX663" s="80">
        <f t="shared" si="111"/>
        <v>0</v>
      </c>
      <c r="AY663" s="81" t="str">
        <f t="shared" si="112"/>
        <v/>
      </c>
      <c r="AZ663" s="83" t="str">
        <f t="shared" si="113"/>
        <v/>
      </c>
      <c r="BA663" s="80" t="str">
        <f t="shared" si="114"/>
        <v/>
      </c>
      <c r="BB663" s="84">
        <f t="shared" si="115"/>
        <v>0</v>
      </c>
      <c r="BC663" s="85" t="str">
        <f t="shared" si="116"/>
        <v/>
      </c>
      <c r="BD663" s="86" t="str">
        <f t="shared" si="117"/>
        <v/>
      </c>
      <c r="BE663" s="84">
        <f t="shared" si="118"/>
        <v>0</v>
      </c>
      <c r="BF663" s="87" t="str">
        <f t="shared" si="119"/>
        <v/>
      </c>
      <c r="BG663" s="88" t="str">
        <f t="shared" si="120"/>
        <v/>
      </c>
      <c r="BH663" s="89" t="str">
        <f t="shared" si="121"/>
        <v/>
      </c>
      <c r="BI663" s="90" t="str">
        <f t="shared" si="122"/>
        <v/>
      </c>
      <c r="BJ663" s="90" t="str">
        <f t="shared" si="123"/>
        <v/>
      </c>
      <c r="BK663" s="91">
        <f t="shared" si="124"/>
        <v>0</v>
      </c>
      <c r="BL663" s="92">
        <f t="shared" si="125"/>
        <v>0</v>
      </c>
      <c r="BM663" s="95"/>
    </row>
    <row r="664" spans="1:65">
      <c r="A664" s="61">
        <f t="shared" si="102"/>
        <v>0</v>
      </c>
      <c r="B664" s="62"/>
      <c r="C664" s="62"/>
      <c r="D664" s="63"/>
      <c r="E664" s="64"/>
      <c r="F664" s="64"/>
      <c r="G664" s="65"/>
      <c r="H664" s="66" t="str">
        <f t="shared" si="103"/>
        <v/>
      </c>
      <c r="I664" s="67" t="str">
        <f t="shared" si="104"/>
        <v/>
      </c>
      <c r="J664" s="68" t="str">
        <f t="shared" si="105"/>
        <v/>
      </c>
      <c r="K664" s="69" t="str">
        <f t="shared" si="106"/>
        <v/>
      </c>
      <c r="L664" s="70" t="str">
        <f t="shared" si="107"/>
        <v/>
      </c>
      <c r="M664" s="71"/>
      <c r="N664" s="71"/>
      <c r="O664" s="71"/>
      <c r="P664" s="71"/>
      <c r="Q664" s="61"/>
      <c r="R664" s="63"/>
      <c r="S664" s="72"/>
      <c r="T664" s="61"/>
      <c r="U664" s="73"/>
      <c r="V664" s="62"/>
      <c r="W664" s="62"/>
      <c r="X664" s="62"/>
      <c r="Y664" s="93"/>
      <c r="Z664" s="94"/>
      <c r="AA664" s="74"/>
      <c r="AB664" s="75"/>
      <c r="AC664" s="75"/>
      <c r="AD664" s="76"/>
      <c r="AE664" s="77"/>
      <c r="AF664" s="75"/>
      <c r="AG664" s="78"/>
      <c r="AH664" s="79"/>
      <c r="AI664" s="74"/>
      <c r="AJ664" s="75"/>
      <c r="AK664" s="75"/>
      <c r="AL664" s="80">
        <f t="shared" si="108"/>
        <v>0</v>
      </c>
      <c r="AM664" s="74"/>
      <c r="AN664" s="74"/>
      <c r="AO664" s="81" t="str">
        <f t="shared" si="109"/>
        <v/>
      </c>
      <c r="AP664" s="82"/>
      <c r="AQ664" s="75"/>
      <c r="AR664" s="75"/>
      <c r="AS664" s="80">
        <f t="shared" si="110"/>
        <v>0</v>
      </c>
      <c r="AT664" s="74"/>
      <c r="AU664" s="75"/>
      <c r="AV664" s="75"/>
      <c r="AW664" s="75"/>
      <c r="AX664" s="80">
        <f t="shared" si="111"/>
        <v>0</v>
      </c>
      <c r="AY664" s="81" t="str">
        <f t="shared" si="112"/>
        <v/>
      </c>
      <c r="AZ664" s="83" t="str">
        <f t="shared" si="113"/>
        <v/>
      </c>
      <c r="BA664" s="80" t="str">
        <f t="shared" si="114"/>
        <v/>
      </c>
      <c r="BB664" s="84">
        <f t="shared" si="115"/>
        <v>0</v>
      </c>
      <c r="BC664" s="85" t="str">
        <f t="shared" si="116"/>
        <v/>
      </c>
      <c r="BD664" s="86" t="str">
        <f t="shared" si="117"/>
        <v/>
      </c>
      <c r="BE664" s="84">
        <f t="shared" si="118"/>
        <v>0</v>
      </c>
      <c r="BF664" s="87" t="str">
        <f t="shared" si="119"/>
        <v/>
      </c>
      <c r="BG664" s="88" t="str">
        <f t="shared" si="120"/>
        <v/>
      </c>
      <c r="BH664" s="89" t="str">
        <f t="shared" si="121"/>
        <v/>
      </c>
      <c r="BI664" s="90" t="str">
        <f t="shared" si="122"/>
        <v/>
      </c>
      <c r="BJ664" s="90" t="str">
        <f t="shared" si="123"/>
        <v/>
      </c>
      <c r="BK664" s="91">
        <f t="shared" si="124"/>
        <v>0</v>
      </c>
      <c r="BL664" s="92">
        <f t="shared" si="125"/>
        <v>0</v>
      </c>
      <c r="BM664" s="95"/>
    </row>
    <row r="665" spans="1:65">
      <c r="A665" s="61">
        <f t="shared" si="102"/>
        <v>0</v>
      </c>
      <c r="B665" s="62"/>
      <c r="C665" s="62"/>
      <c r="D665" s="63"/>
      <c r="E665" s="64"/>
      <c r="F665" s="64"/>
      <c r="G665" s="65"/>
      <c r="H665" s="66" t="str">
        <f t="shared" si="103"/>
        <v/>
      </c>
      <c r="I665" s="67" t="str">
        <f t="shared" si="104"/>
        <v/>
      </c>
      <c r="J665" s="68" t="str">
        <f t="shared" si="105"/>
        <v/>
      </c>
      <c r="K665" s="69" t="str">
        <f t="shared" si="106"/>
        <v/>
      </c>
      <c r="L665" s="70" t="str">
        <f t="shared" si="107"/>
        <v/>
      </c>
      <c r="M665" s="71"/>
      <c r="N665" s="71"/>
      <c r="O665" s="71"/>
      <c r="P665" s="71"/>
      <c r="Q665" s="61"/>
      <c r="R665" s="63"/>
      <c r="S665" s="72"/>
      <c r="T665" s="61"/>
      <c r="U665" s="73"/>
      <c r="V665" s="62"/>
      <c r="W665" s="62"/>
      <c r="X665" s="62"/>
      <c r="Y665" s="93"/>
      <c r="Z665" s="94"/>
      <c r="AA665" s="74"/>
      <c r="AB665" s="75"/>
      <c r="AC665" s="75"/>
      <c r="AD665" s="76"/>
      <c r="AE665" s="77"/>
      <c r="AF665" s="75"/>
      <c r="AG665" s="78"/>
      <c r="AH665" s="79"/>
      <c r="AI665" s="74"/>
      <c r="AJ665" s="75"/>
      <c r="AK665" s="75"/>
      <c r="AL665" s="80">
        <f t="shared" si="108"/>
        <v>0</v>
      </c>
      <c r="AM665" s="74"/>
      <c r="AN665" s="74"/>
      <c r="AO665" s="81" t="str">
        <f t="shared" si="109"/>
        <v/>
      </c>
      <c r="AP665" s="82"/>
      <c r="AQ665" s="75"/>
      <c r="AR665" s="75"/>
      <c r="AS665" s="80">
        <f t="shared" si="110"/>
        <v>0</v>
      </c>
      <c r="AT665" s="74"/>
      <c r="AU665" s="75"/>
      <c r="AV665" s="75"/>
      <c r="AW665" s="75"/>
      <c r="AX665" s="80">
        <f t="shared" si="111"/>
        <v>0</v>
      </c>
      <c r="AY665" s="81" t="str">
        <f t="shared" si="112"/>
        <v/>
      </c>
      <c r="AZ665" s="83" t="str">
        <f t="shared" si="113"/>
        <v/>
      </c>
      <c r="BA665" s="80" t="str">
        <f t="shared" si="114"/>
        <v/>
      </c>
      <c r="BB665" s="84">
        <f t="shared" si="115"/>
        <v>0</v>
      </c>
      <c r="BC665" s="85" t="str">
        <f t="shared" si="116"/>
        <v/>
      </c>
      <c r="BD665" s="86" t="str">
        <f t="shared" si="117"/>
        <v/>
      </c>
      <c r="BE665" s="84">
        <f t="shared" si="118"/>
        <v>0</v>
      </c>
      <c r="BF665" s="87" t="str">
        <f t="shared" si="119"/>
        <v/>
      </c>
      <c r="BG665" s="88" t="str">
        <f t="shared" si="120"/>
        <v/>
      </c>
      <c r="BH665" s="89" t="str">
        <f t="shared" si="121"/>
        <v/>
      </c>
      <c r="BI665" s="90" t="str">
        <f t="shared" si="122"/>
        <v/>
      </c>
      <c r="BJ665" s="90" t="str">
        <f t="shared" si="123"/>
        <v/>
      </c>
      <c r="BK665" s="91">
        <f t="shared" si="124"/>
        <v>0</v>
      </c>
      <c r="BL665" s="92">
        <f t="shared" si="125"/>
        <v>0</v>
      </c>
      <c r="BM665" s="95"/>
    </row>
    <row r="666" spans="1:65">
      <c r="A666" s="61">
        <f t="shared" si="102"/>
        <v>0</v>
      </c>
      <c r="B666" s="62"/>
      <c r="C666" s="62"/>
      <c r="D666" s="63"/>
      <c r="E666" s="64"/>
      <c r="F666" s="64"/>
      <c r="G666" s="65"/>
      <c r="H666" s="66" t="str">
        <f t="shared" si="103"/>
        <v/>
      </c>
      <c r="I666" s="67" t="str">
        <f t="shared" si="104"/>
        <v/>
      </c>
      <c r="J666" s="68" t="str">
        <f t="shared" si="105"/>
        <v/>
      </c>
      <c r="K666" s="69" t="str">
        <f t="shared" si="106"/>
        <v/>
      </c>
      <c r="L666" s="70" t="str">
        <f t="shared" si="107"/>
        <v/>
      </c>
      <c r="M666" s="71"/>
      <c r="N666" s="71"/>
      <c r="O666" s="71"/>
      <c r="P666" s="71"/>
      <c r="Q666" s="61"/>
      <c r="R666" s="63"/>
      <c r="S666" s="72"/>
      <c r="T666" s="61"/>
      <c r="U666" s="73"/>
      <c r="V666" s="62"/>
      <c r="W666" s="62"/>
      <c r="X666" s="62"/>
      <c r="Y666" s="93"/>
      <c r="Z666" s="94"/>
      <c r="AA666" s="74"/>
      <c r="AB666" s="75"/>
      <c r="AC666" s="75"/>
      <c r="AD666" s="76"/>
      <c r="AE666" s="77"/>
      <c r="AF666" s="75"/>
      <c r="AG666" s="78"/>
      <c r="AH666" s="79"/>
      <c r="AI666" s="74"/>
      <c r="AJ666" s="75"/>
      <c r="AK666" s="75"/>
      <c r="AL666" s="80">
        <f t="shared" si="108"/>
        <v>0</v>
      </c>
      <c r="AM666" s="74"/>
      <c r="AN666" s="74"/>
      <c r="AO666" s="81" t="str">
        <f t="shared" si="109"/>
        <v/>
      </c>
      <c r="AP666" s="82"/>
      <c r="AQ666" s="75"/>
      <c r="AR666" s="75"/>
      <c r="AS666" s="80">
        <f t="shared" si="110"/>
        <v>0</v>
      </c>
      <c r="AT666" s="74"/>
      <c r="AU666" s="75"/>
      <c r="AV666" s="75"/>
      <c r="AW666" s="75"/>
      <c r="AX666" s="80">
        <f t="shared" si="111"/>
        <v>0</v>
      </c>
      <c r="AY666" s="81" t="str">
        <f t="shared" si="112"/>
        <v/>
      </c>
      <c r="AZ666" s="83" t="str">
        <f t="shared" si="113"/>
        <v/>
      </c>
      <c r="BA666" s="80" t="str">
        <f t="shared" si="114"/>
        <v/>
      </c>
      <c r="BB666" s="84">
        <f t="shared" si="115"/>
        <v>0</v>
      </c>
      <c r="BC666" s="85" t="str">
        <f t="shared" si="116"/>
        <v/>
      </c>
      <c r="BD666" s="86" t="str">
        <f t="shared" si="117"/>
        <v/>
      </c>
      <c r="BE666" s="84">
        <f t="shared" si="118"/>
        <v>0</v>
      </c>
      <c r="BF666" s="87" t="str">
        <f t="shared" si="119"/>
        <v/>
      </c>
      <c r="BG666" s="88" t="str">
        <f t="shared" si="120"/>
        <v/>
      </c>
      <c r="BH666" s="89" t="str">
        <f t="shared" si="121"/>
        <v/>
      </c>
      <c r="BI666" s="90" t="str">
        <f t="shared" si="122"/>
        <v/>
      </c>
      <c r="BJ666" s="90" t="str">
        <f t="shared" si="123"/>
        <v/>
      </c>
      <c r="BK666" s="91">
        <f t="shared" si="124"/>
        <v>0</v>
      </c>
      <c r="BL666" s="92">
        <f t="shared" si="125"/>
        <v>0</v>
      </c>
      <c r="BM666" s="95"/>
    </row>
    <row r="667" spans="1:65">
      <c r="A667" s="61">
        <f t="shared" si="102"/>
        <v>0</v>
      </c>
      <c r="B667" s="62"/>
      <c r="C667" s="62"/>
      <c r="D667" s="63"/>
      <c r="E667" s="64"/>
      <c r="F667" s="64"/>
      <c r="G667" s="65"/>
      <c r="H667" s="66" t="str">
        <f t="shared" si="103"/>
        <v/>
      </c>
      <c r="I667" s="67" t="str">
        <f t="shared" si="104"/>
        <v/>
      </c>
      <c r="J667" s="68" t="str">
        <f t="shared" si="105"/>
        <v/>
      </c>
      <c r="K667" s="69" t="str">
        <f t="shared" si="106"/>
        <v/>
      </c>
      <c r="L667" s="70" t="str">
        <f t="shared" si="107"/>
        <v/>
      </c>
      <c r="M667" s="71"/>
      <c r="N667" s="71"/>
      <c r="O667" s="71"/>
      <c r="P667" s="71"/>
      <c r="Q667" s="61"/>
      <c r="R667" s="63"/>
      <c r="S667" s="72"/>
      <c r="T667" s="61"/>
      <c r="U667" s="73"/>
      <c r="V667" s="62"/>
      <c r="W667" s="62"/>
      <c r="X667" s="62"/>
      <c r="Y667" s="93"/>
      <c r="Z667" s="94"/>
      <c r="AA667" s="74"/>
      <c r="AB667" s="75"/>
      <c r="AC667" s="75"/>
      <c r="AD667" s="76"/>
      <c r="AE667" s="77"/>
      <c r="AF667" s="75"/>
      <c r="AG667" s="78"/>
      <c r="AH667" s="79"/>
      <c r="AI667" s="74"/>
      <c r="AJ667" s="75"/>
      <c r="AK667" s="75"/>
      <c r="AL667" s="80">
        <f t="shared" si="108"/>
        <v>0</v>
      </c>
      <c r="AM667" s="74"/>
      <c r="AN667" s="74"/>
      <c r="AO667" s="81" t="str">
        <f t="shared" si="109"/>
        <v/>
      </c>
      <c r="AP667" s="82"/>
      <c r="AQ667" s="75"/>
      <c r="AR667" s="75"/>
      <c r="AS667" s="80">
        <f t="shared" si="110"/>
        <v>0</v>
      </c>
      <c r="AT667" s="74"/>
      <c r="AU667" s="75"/>
      <c r="AV667" s="75"/>
      <c r="AW667" s="75"/>
      <c r="AX667" s="80">
        <f t="shared" si="111"/>
        <v>0</v>
      </c>
      <c r="AY667" s="81" t="str">
        <f t="shared" si="112"/>
        <v/>
      </c>
      <c r="AZ667" s="83" t="str">
        <f t="shared" si="113"/>
        <v/>
      </c>
      <c r="BA667" s="80" t="str">
        <f t="shared" si="114"/>
        <v/>
      </c>
      <c r="BB667" s="84">
        <f t="shared" si="115"/>
        <v>0</v>
      </c>
      <c r="BC667" s="85" t="str">
        <f t="shared" si="116"/>
        <v/>
      </c>
      <c r="BD667" s="86" t="str">
        <f t="shared" si="117"/>
        <v/>
      </c>
      <c r="BE667" s="84">
        <f t="shared" si="118"/>
        <v>0</v>
      </c>
      <c r="BF667" s="87" t="str">
        <f t="shared" si="119"/>
        <v/>
      </c>
      <c r="BG667" s="88" t="str">
        <f t="shared" si="120"/>
        <v/>
      </c>
      <c r="BH667" s="89" t="str">
        <f t="shared" si="121"/>
        <v/>
      </c>
      <c r="BI667" s="90" t="str">
        <f t="shared" si="122"/>
        <v/>
      </c>
      <c r="BJ667" s="90" t="str">
        <f t="shared" si="123"/>
        <v/>
      </c>
      <c r="BK667" s="91">
        <f t="shared" si="124"/>
        <v>0</v>
      </c>
      <c r="BL667" s="92">
        <f t="shared" si="125"/>
        <v>0</v>
      </c>
      <c r="BM667" s="95"/>
    </row>
    <row r="668" spans="1:65">
      <c r="A668" s="61">
        <f t="shared" si="102"/>
        <v>0</v>
      </c>
      <c r="B668" s="62"/>
      <c r="C668" s="62"/>
      <c r="D668" s="63"/>
      <c r="E668" s="64"/>
      <c r="F668" s="64"/>
      <c r="G668" s="65"/>
      <c r="H668" s="66" t="str">
        <f t="shared" si="103"/>
        <v/>
      </c>
      <c r="I668" s="67" t="str">
        <f t="shared" si="104"/>
        <v/>
      </c>
      <c r="J668" s="68" t="str">
        <f t="shared" si="105"/>
        <v/>
      </c>
      <c r="K668" s="69" t="str">
        <f t="shared" si="106"/>
        <v/>
      </c>
      <c r="L668" s="70" t="str">
        <f t="shared" si="107"/>
        <v/>
      </c>
      <c r="M668" s="71"/>
      <c r="N668" s="71"/>
      <c r="O668" s="71"/>
      <c r="P668" s="71"/>
      <c r="Q668" s="61"/>
      <c r="R668" s="63"/>
      <c r="S668" s="72"/>
      <c r="T668" s="61"/>
      <c r="U668" s="73"/>
      <c r="V668" s="62"/>
      <c r="W668" s="62"/>
      <c r="X668" s="62"/>
      <c r="Y668" s="93"/>
      <c r="Z668" s="94"/>
      <c r="AA668" s="74"/>
      <c r="AB668" s="75"/>
      <c r="AC668" s="75"/>
      <c r="AD668" s="76"/>
      <c r="AE668" s="77"/>
      <c r="AF668" s="75"/>
      <c r="AG668" s="78"/>
      <c r="AH668" s="79"/>
      <c r="AI668" s="74"/>
      <c r="AJ668" s="75"/>
      <c r="AK668" s="75"/>
      <c r="AL668" s="80">
        <f t="shared" si="108"/>
        <v>0</v>
      </c>
      <c r="AM668" s="74"/>
      <c r="AN668" s="74"/>
      <c r="AO668" s="81" t="str">
        <f t="shared" si="109"/>
        <v/>
      </c>
      <c r="AP668" s="82"/>
      <c r="AQ668" s="75"/>
      <c r="AR668" s="75"/>
      <c r="AS668" s="80">
        <f t="shared" si="110"/>
        <v>0</v>
      </c>
      <c r="AT668" s="74"/>
      <c r="AU668" s="75"/>
      <c r="AV668" s="75"/>
      <c r="AW668" s="75"/>
      <c r="AX668" s="80">
        <f t="shared" si="111"/>
        <v>0</v>
      </c>
      <c r="AY668" s="81" t="str">
        <f t="shared" si="112"/>
        <v/>
      </c>
      <c r="AZ668" s="83" t="str">
        <f t="shared" si="113"/>
        <v/>
      </c>
      <c r="BA668" s="80" t="str">
        <f t="shared" si="114"/>
        <v/>
      </c>
      <c r="BB668" s="84">
        <f t="shared" si="115"/>
        <v>0</v>
      </c>
      <c r="BC668" s="85" t="str">
        <f t="shared" si="116"/>
        <v/>
      </c>
      <c r="BD668" s="86" t="str">
        <f t="shared" si="117"/>
        <v/>
      </c>
      <c r="BE668" s="84">
        <f t="shared" si="118"/>
        <v>0</v>
      </c>
      <c r="BF668" s="87" t="str">
        <f t="shared" si="119"/>
        <v/>
      </c>
      <c r="BG668" s="88" t="str">
        <f t="shared" si="120"/>
        <v/>
      </c>
      <c r="BH668" s="89" t="str">
        <f t="shared" si="121"/>
        <v/>
      </c>
      <c r="BI668" s="90" t="str">
        <f t="shared" si="122"/>
        <v/>
      </c>
      <c r="BJ668" s="90" t="str">
        <f t="shared" si="123"/>
        <v/>
      </c>
      <c r="BK668" s="91">
        <f t="shared" si="124"/>
        <v>0</v>
      </c>
      <c r="BL668" s="92">
        <f t="shared" si="125"/>
        <v>0</v>
      </c>
      <c r="BM668" s="95"/>
    </row>
    <row r="669" spans="1:65">
      <c r="A669" s="61">
        <f t="shared" si="102"/>
        <v>0</v>
      </c>
      <c r="B669" s="62"/>
      <c r="C669" s="62"/>
      <c r="D669" s="63"/>
      <c r="E669" s="64"/>
      <c r="F669" s="64"/>
      <c r="G669" s="65"/>
      <c r="H669" s="66" t="str">
        <f t="shared" si="103"/>
        <v/>
      </c>
      <c r="I669" s="67" t="str">
        <f t="shared" si="104"/>
        <v/>
      </c>
      <c r="J669" s="68" t="str">
        <f t="shared" si="105"/>
        <v/>
      </c>
      <c r="K669" s="69" t="str">
        <f t="shared" si="106"/>
        <v/>
      </c>
      <c r="L669" s="70" t="str">
        <f t="shared" si="107"/>
        <v/>
      </c>
      <c r="M669" s="71"/>
      <c r="N669" s="71"/>
      <c r="O669" s="71"/>
      <c r="P669" s="71"/>
      <c r="Q669" s="61"/>
      <c r="R669" s="63"/>
      <c r="S669" s="72"/>
      <c r="T669" s="61"/>
      <c r="U669" s="73"/>
      <c r="V669" s="62"/>
      <c r="W669" s="62"/>
      <c r="X669" s="62"/>
      <c r="Y669" s="93"/>
      <c r="Z669" s="94"/>
      <c r="AA669" s="74"/>
      <c r="AB669" s="75"/>
      <c r="AC669" s="75"/>
      <c r="AD669" s="76"/>
      <c r="AE669" s="77"/>
      <c r="AF669" s="75"/>
      <c r="AG669" s="78"/>
      <c r="AH669" s="79"/>
      <c r="AI669" s="74"/>
      <c r="AJ669" s="75"/>
      <c r="AK669" s="75"/>
      <c r="AL669" s="80">
        <f t="shared" si="108"/>
        <v>0</v>
      </c>
      <c r="AM669" s="74"/>
      <c r="AN669" s="74"/>
      <c r="AO669" s="81" t="str">
        <f t="shared" si="109"/>
        <v/>
      </c>
      <c r="AP669" s="82"/>
      <c r="AQ669" s="75"/>
      <c r="AR669" s="75"/>
      <c r="AS669" s="80">
        <f t="shared" si="110"/>
        <v>0</v>
      </c>
      <c r="AT669" s="74"/>
      <c r="AU669" s="75"/>
      <c r="AV669" s="75"/>
      <c r="AW669" s="75"/>
      <c r="AX669" s="80">
        <f t="shared" si="111"/>
        <v>0</v>
      </c>
      <c r="AY669" s="81" t="str">
        <f t="shared" si="112"/>
        <v/>
      </c>
      <c r="AZ669" s="83" t="str">
        <f t="shared" si="113"/>
        <v/>
      </c>
      <c r="BA669" s="80" t="str">
        <f t="shared" si="114"/>
        <v/>
      </c>
      <c r="BB669" s="84">
        <f t="shared" si="115"/>
        <v>0</v>
      </c>
      <c r="BC669" s="85" t="str">
        <f t="shared" si="116"/>
        <v/>
      </c>
      <c r="BD669" s="86" t="str">
        <f t="shared" si="117"/>
        <v/>
      </c>
      <c r="BE669" s="84">
        <f t="shared" si="118"/>
        <v>0</v>
      </c>
      <c r="BF669" s="87" t="str">
        <f t="shared" si="119"/>
        <v/>
      </c>
      <c r="BG669" s="88" t="str">
        <f t="shared" si="120"/>
        <v/>
      </c>
      <c r="BH669" s="89" t="str">
        <f t="shared" si="121"/>
        <v/>
      </c>
      <c r="BI669" s="90" t="str">
        <f t="shared" si="122"/>
        <v/>
      </c>
      <c r="BJ669" s="90" t="str">
        <f t="shared" si="123"/>
        <v/>
      </c>
      <c r="BK669" s="91">
        <f t="shared" si="124"/>
        <v>0</v>
      </c>
      <c r="BL669" s="92">
        <f t="shared" si="125"/>
        <v>0</v>
      </c>
      <c r="BM669" s="95"/>
    </row>
    <row r="670" spans="1:65">
      <c r="A670" s="61">
        <f t="shared" si="102"/>
        <v>0</v>
      </c>
      <c r="B670" s="62"/>
      <c r="C670" s="62"/>
      <c r="D670" s="63"/>
      <c r="E670" s="64"/>
      <c r="F670" s="64"/>
      <c r="G670" s="65"/>
      <c r="H670" s="66" t="str">
        <f t="shared" si="103"/>
        <v/>
      </c>
      <c r="I670" s="67" t="str">
        <f t="shared" si="104"/>
        <v/>
      </c>
      <c r="J670" s="68" t="str">
        <f t="shared" si="105"/>
        <v/>
      </c>
      <c r="K670" s="69" t="str">
        <f t="shared" si="106"/>
        <v/>
      </c>
      <c r="L670" s="70" t="str">
        <f t="shared" si="107"/>
        <v/>
      </c>
      <c r="M670" s="71"/>
      <c r="N670" s="71"/>
      <c r="O670" s="71"/>
      <c r="P670" s="71"/>
      <c r="Q670" s="61"/>
      <c r="R670" s="63"/>
      <c r="S670" s="72"/>
      <c r="T670" s="61"/>
      <c r="U670" s="73"/>
      <c r="V670" s="62"/>
      <c r="W670" s="62"/>
      <c r="X670" s="62"/>
      <c r="Y670" s="93"/>
      <c r="Z670" s="94"/>
      <c r="AA670" s="74"/>
      <c r="AB670" s="75"/>
      <c r="AC670" s="75"/>
      <c r="AD670" s="76"/>
      <c r="AE670" s="77"/>
      <c r="AF670" s="75"/>
      <c r="AG670" s="78"/>
      <c r="AH670" s="79"/>
      <c r="AI670" s="74"/>
      <c r="AJ670" s="75"/>
      <c r="AK670" s="75"/>
      <c r="AL670" s="80">
        <f t="shared" si="108"/>
        <v>0</v>
      </c>
      <c r="AM670" s="74"/>
      <c r="AN670" s="74"/>
      <c r="AO670" s="81" t="str">
        <f t="shared" si="109"/>
        <v/>
      </c>
      <c r="AP670" s="82"/>
      <c r="AQ670" s="75"/>
      <c r="AR670" s="75"/>
      <c r="AS670" s="80">
        <f t="shared" si="110"/>
        <v>0</v>
      </c>
      <c r="AT670" s="74"/>
      <c r="AU670" s="75"/>
      <c r="AV670" s="75"/>
      <c r="AW670" s="75"/>
      <c r="AX670" s="80">
        <f t="shared" si="111"/>
        <v>0</v>
      </c>
      <c r="AY670" s="81" t="str">
        <f t="shared" si="112"/>
        <v/>
      </c>
      <c r="AZ670" s="83" t="str">
        <f t="shared" si="113"/>
        <v/>
      </c>
      <c r="BA670" s="80" t="str">
        <f t="shared" si="114"/>
        <v/>
      </c>
      <c r="BB670" s="84">
        <f t="shared" si="115"/>
        <v>0</v>
      </c>
      <c r="BC670" s="85" t="str">
        <f t="shared" si="116"/>
        <v/>
      </c>
      <c r="BD670" s="86" t="str">
        <f t="shared" si="117"/>
        <v/>
      </c>
      <c r="BE670" s="84">
        <f t="shared" si="118"/>
        <v>0</v>
      </c>
      <c r="BF670" s="87" t="str">
        <f t="shared" si="119"/>
        <v/>
      </c>
      <c r="BG670" s="88" t="str">
        <f t="shared" si="120"/>
        <v/>
      </c>
      <c r="BH670" s="89" t="str">
        <f t="shared" si="121"/>
        <v/>
      </c>
      <c r="BI670" s="90" t="str">
        <f t="shared" si="122"/>
        <v/>
      </c>
      <c r="BJ670" s="90" t="str">
        <f t="shared" si="123"/>
        <v/>
      </c>
      <c r="BK670" s="91">
        <f t="shared" si="124"/>
        <v>0</v>
      </c>
      <c r="BL670" s="92">
        <f t="shared" si="125"/>
        <v>0</v>
      </c>
      <c r="BM670" s="95"/>
    </row>
    <row r="671" spans="1:65">
      <c r="A671" s="61">
        <f t="shared" si="102"/>
        <v>0</v>
      </c>
      <c r="B671" s="62"/>
      <c r="C671" s="62"/>
      <c r="D671" s="63"/>
      <c r="E671" s="64"/>
      <c r="F671" s="64"/>
      <c r="G671" s="65"/>
      <c r="H671" s="66" t="str">
        <f t="shared" si="103"/>
        <v/>
      </c>
      <c r="I671" s="67" t="str">
        <f t="shared" si="104"/>
        <v/>
      </c>
      <c r="J671" s="68" t="str">
        <f t="shared" si="105"/>
        <v/>
      </c>
      <c r="K671" s="69" t="str">
        <f t="shared" si="106"/>
        <v/>
      </c>
      <c r="L671" s="70" t="str">
        <f t="shared" si="107"/>
        <v/>
      </c>
      <c r="M671" s="71"/>
      <c r="N671" s="71"/>
      <c r="O671" s="71"/>
      <c r="P671" s="71"/>
      <c r="Q671" s="61"/>
      <c r="R671" s="63"/>
      <c r="S671" s="72"/>
      <c r="T671" s="61"/>
      <c r="U671" s="73"/>
      <c r="V671" s="62"/>
      <c r="W671" s="62"/>
      <c r="X671" s="62"/>
      <c r="Y671" s="93"/>
      <c r="Z671" s="94"/>
      <c r="AA671" s="74"/>
      <c r="AB671" s="75"/>
      <c r="AC671" s="75"/>
      <c r="AD671" s="76"/>
      <c r="AE671" s="77"/>
      <c r="AF671" s="75"/>
      <c r="AG671" s="78"/>
      <c r="AH671" s="79"/>
      <c r="AI671" s="74"/>
      <c r="AJ671" s="75"/>
      <c r="AK671" s="75"/>
      <c r="AL671" s="80">
        <f t="shared" si="108"/>
        <v>0</v>
      </c>
      <c r="AM671" s="74"/>
      <c r="AN671" s="74"/>
      <c r="AO671" s="81" t="str">
        <f t="shared" si="109"/>
        <v/>
      </c>
      <c r="AP671" s="82"/>
      <c r="AQ671" s="75"/>
      <c r="AR671" s="75"/>
      <c r="AS671" s="80">
        <f t="shared" si="110"/>
        <v>0</v>
      </c>
      <c r="AT671" s="74"/>
      <c r="AU671" s="75"/>
      <c r="AV671" s="75"/>
      <c r="AW671" s="75"/>
      <c r="AX671" s="80">
        <f t="shared" si="111"/>
        <v>0</v>
      </c>
      <c r="AY671" s="81" t="str">
        <f t="shared" si="112"/>
        <v/>
      </c>
      <c r="AZ671" s="83" t="str">
        <f t="shared" si="113"/>
        <v/>
      </c>
      <c r="BA671" s="80" t="str">
        <f t="shared" si="114"/>
        <v/>
      </c>
      <c r="BB671" s="84">
        <f t="shared" si="115"/>
        <v>0</v>
      </c>
      <c r="BC671" s="85" t="str">
        <f t="shared" si="116"/>
        <v/>
      </c>
      <c r="BD671" s="86" t="str">
        <f t="shared" si="117"/>
        <v/>
      </c>
      <c r="BE671" s="84">
        <f t="shared" si="118"/>
        <v>0</v>
      </c>
      <c r="BF671" s="87" t="str">
        <f t="shared" si="119"/>
        <v/>
      </c>
      <c r="BG671" s="88" t="str">
        <f t="shared" si="120"/>
        <v/>
      </c>
      <c r="BH671" s="89" t="str">
        <f t="shared" si="121"/>
        <v/>
      </c>
      <c r="BI671" s="90" t="str">
        <f t="shared" si="122"/>
        <v/>
      </c>
      <c r="BJ671" s="90" t="str">
        <f t="shared" si="123"/>
        <v/>
      </c>
      <c r="BK671" s="91">
        <f t="shared" si="124"/>
        <v>0</v>
      </c>
      <c r="BL671" s="92">
        <f t="shared" si="125"/>
        <v>0</v>
      </c>
      <c r="BM671" s="95"/>
    </row>
    <row r="672" spans="1:65">
      <c r="A672" s="61">
        <f t="shared" si="102"/>
        <v>0</v>
      </c>
      <c r="B672" s="62"/>
      <c r="C672" s="62"/>
      <c r="D672" s="63"/>
      <c r="E672" s="64"/>
      <c r="F672" s="64"/>
      <c r="G672" s="65"/>
      <c r="H672" s="66" t="str">
        <f t="shared" si="103"/>
        <v/>
      </c>
      <c r="I672" s="67" t="str">
        <f t="shared" si="104"/>
        <v/>
      </c>
      <c r="J672" s="68" t="str">
        <f t="shared" si="105"/>
        <v/>
      </c>
      <c r="K672" s="69" t="str">
        <f t="shared" si="106"/>
        <v/>
      </c>
      <c r="L672" s="70" t="str">
        <f t="shared" si="107"/>
        <v/>
      </c>
      <c r="M672" s="71"/>
      <c r="N672" s="71"/>
      <c r="O672" s="71"/>
      <c r="P672" s="71"/>
      <c r="Q672" s="61"/>
      <c r="R672" s="63"/>
      <c r="S672" s="72"/>
      <c r="T672" s="61"/>
      <c r="U672" s="73"/>
      <c r="V672" s="62"/>
      <c r="W672" s="62"/>
      <c r="X672" s="62"/>
      <c r="Y672" s="93"/>
      <c r="Z672" s="94"/>
      <c r="AA672" s="74"/>
      <c r="AB672" s="75"/>
      <c r="AC672" s="75"/>
      <c r="AD672" s="76"/>
      <c r="AE672" s="77"/>
      <c r="AF672" s="75"/>
      <c r="AG672" s="78"/>
      <c r="AH672" s="79"/>
      <c r="AI672" s="74"/>
      <c r="AJ672" s="75"/>
      <c r="AK672" s="75"/>
      <c r="AL672" s="80">
        <f t="shared" si="108"/>
        <v>0</v>
      </c>
      <c r="AM672" s="74"/>
      <c r="AN672" s="74"/>
      <c r="AO672" s="81" t="str">
        <f t="shared" si="109"/>
        <v/>
      </c>
      <c r="AP672" s="82"/>
      <c r="AQ672" s="75"/>
      <c r="AR672" s="75"/>
      <c r="AS672" s="80">
        <f t="shared" si="110"/>
        <v>0</v>
      </c>
      <c r="AT672" s="74"/>
      <c r="AU672" s="75"/>
      <c r="AV672" s="75"/>
      <c r="AW672" s="75"/>
      <c r="AX672" s="80">
        <f t="shared" si="111"/>
        <v>0</v>
      </c>
      <c r="AY672" s="81" t="str">
        <f t="shared" si="112"/>
        <v/>
      </c>
      <c r="AZ672" s="83" t="str">
        <f t="shared" si="113"/>
        <v/>
      </c>
      <c r="BA672" s="80" t="str">
        <f t="shared" si="114"/>
        <v/>
      </c>
      <c r="BB672" s="84">
        <f t="shared" si="115"/>
        <v>0</v>
      </c>
      <c r="BC672" s="85" t="str">
        <f t="shared" si="116"/>
        <v/>
      </c>
      <c r="BD672" s="86" t="str">
        <f t="shared" si="117"/>
        <v/>
      </c>
      <c r="BE672" s="84">
        <f t="shared" si="118"/>
        <v>0</v>
      </c>
      <c r="BF672" s="87" t="str">
        <f t="shared" si="119"/>
        <v/>
      </c>
      <c r="BG672" s="88" t="str">
        <f t="shared" si="120"/>
        <v/>
      </c>
      <c r="BH672" s="89" t="str">
        <f t="shared" si="121"/>
        <v/>
      </c>
      <c r="BI672" s="90" t="str">
        <f t="shared" si="122"/>
        <v/>
      </c>
      <c r="BJ672" s="90" t="str">
        <f t="shared" si="123"/>
        <v/>
      </c>
      <c r="BK672" s="91">
        <f t="shared" si="124"/>
        <v>0</v>
      </c>
      <c r="BL672" s="92">
        <f t="shared" si="125"/>
        <v>0</v>
      </c>
      <c r="BM672" s="95"/>
    </row>
    <row r="673" spans="1:65">
      <c r="A673" s="61">
        <f t="shared" si="102"/>
        <v>0</v>
      </c>
      <c r="B673" s="62"/>
      <c r="C673" s="62"/>
      <c r="D673" s="63"/>
      <c r="E673" s="64"/>
      <c r="F673" s="64"/>
      <c r="G673" s="65"/>
      <c r="H673" s="66" t="str">
        <f t="shared" si="103"/>
        <v/>
      </c>
      <c r="I673" s="67" t="str">
        <f t="shared" si="104"/>
        <v/>
      </c>
      <c r="J673" s="68" t="str">
        <f t="shared" si="105"/>
        <v/>
      </c>
      <c r="K673" s="69" t="str">
        <f t="shared" si="106"/>
        <v/>
      </c>
      <c r="L673" s="70" t="str">
        <f t="shared" si="107"/>
        <v/>
      </c>
      <c r="M673" s="71"/>
      <c r="N673" s="71"/>
      <c r="O673" s="71"/>
      <c r="P673" s="71"/>
      <c r="Q673" s="61"/>
      <c r="R673" s="63"/>
      <c r="S673" s="72"/>
      <c r="T673" s="61"/>
      <c r="U673" s="73"/>
      <c r="V673" s="62"/>
      <c r="W673" s="62"/>
      <c r="X673" s="62"/>
      <c r="Y673" s="93"/>
      <c r="Z673" s="94"/>
      <c r="AA673" s="74"/>
      <c r="AB673" s="75"/>
      <c r="AC673" s="75"/>
      <c r="AD673" s="76"/>
      <c r="AE673" s="77"/>
      <c r="AF673" s="75"/>
      <c r="AG673" s="78"/>
      <c r="AH673" s="79"/>
      <c r="AI673" s="74"/>
      <c r="AJ673" s="75"/>
      <c r="AK673" s="75"/>
      <c r="AL673" s="80">
        <f t="shared" si="108"/>
        <v>0</v>
      </c>
      <c r="AM673" s="74"/>
      <c r="AN673" s="74"/>
      <c r="AO673" s="81" t="str">
        <f t="shared" si="109"/>
        <v/>
      </c>
      <c r="AP673" s="82"/>
      <c r="AQ673" s="75"/>
      <c r="AR673" s="75"/>
      <c r="AS673" s="80">
        <f t="shared" si="110"/>
        <v>0</v>
      </c>
      <c r="AT673" s="74"/>
      <c r="AU673" s="75"/>
      <c r="AV673" s="75"/>
      <c r="AW673" s="75"/>
      <c r="AX673" s="80">
        <f t="shared" si="111"/>
        <v>0</v>
      </c>
      <c r="AY673" s="81" t="str">
        <f t="shared" si="112"/>
        <v/>
      </c>
      <c r="AZ673" s="83" t="str">
        <f t="shared" si="113"/>
        <v/>
      </c>
      <c r="BA673" s="80" t="str">
        <f t="shared" si="114"/>
        <v/>
      </c>
      <c r="BB673" s="84">
        <f t="shared" si="115"/>
        <v>0</v>
      </c>
      <c r="BC673" s="85" t="str">
        <f t="shared" si="116"/>
        <v/>
      </c>
      <c r="BD673" s="86" t="str">
        <f t="shared" si="117"/>
        <v/>
      </c>
      <c r="BE673" s="84">
        <f t="shared" si="118"/>
        <v>0</v>
      </c>
      <c r="BF673" s="87" t="str">
        <f t="shared" si="119"/>
        <v/>
      </c>
      <c r="BG673" s="88" t="str">
        <f t="shared" si="120"/>
        <v/>
      </c>
      <c r="BH673" s="89" t="str">
        <f t="shared" si="121"/>
        <v/>
      </c>
      <c r="BI673" s="90" t="str">
        <f t="shared" si="122"/>
        <v/>
      </c>
      <c r="BJ673" s="90" t="str">
        <f t="shared" si="123"/>
        <v/>
      </c>
      <c r="BK673" s="91">
        <f t="shared" si="124"/>
        <v>0</v>
      </c>
      <c r="BL673" s="92">
        <f t="shared" si="125"/>
        <v>0</v>
      </c>
      <c r="BM673" s="95"/>
    </row>
    <row r="674" spans="1:65">
      <c r="A674" s="61">
        <f t="shared" ref="A674:A737" si="126">B674</f>
        <v>0</v>
      </c>
      <c r="B674" s="62"/>
      <c r="C674" s="62"/>
      <c r="D674" s="63"/>
      <c r="E674" s="64"/>
      <c r="F674" s="64"/>
      <c r="G674" s="65"/>
      <c r="H674" s="66" t="str">
        <f t="shared" si="103"/>
        <v/>
      </c>
      <c r="I674" s="67" t="str">
        <f t="shared" si="104"/>
        <v/>
      </c>
      <c r="J674" s="68" t="str">
        <f t="shared" si="105"/>
        <v/>
      </c>
      <c r="K674" s="69" t="str">
        <f t="shared" si="106"/>
        <v/>
      </c>
      <c r="L674" s="70" t="str">
        <f t="shared" si="107"/>
        <v/>
      </c>
      <c r="M674" s="71"/>
      <c r="N674" s="71"/>
      <c r="O674" s="71"/>
      <c r="P674" s="71"/>
      <c r="Q674" s="61"/>
      <c r="R674" s="63"/>
      <c r="S674" s="72"/>
      <c r="T674" s="61"/>
      <c r="U674" s="73"/>
      <c r="V674" s="62"/>
      <c r="W674" s="62"/>
      <c r="X674" s="62"/>
      <c r="Y674" s="93"/>
      <c r="Z674" s="94"/>
      <c r="AA674" s="74"/>
      <c r="AB674" s="75"/>
      <c r="AC674" s="75"/>
      <c r="AD674" s="76"/>
      <c r="AE674" s="77"/>
      <c r="AF674" s="75"/>
      <c r="AG674" s="78"/>
      <c r="AH674" s="79"/>
      <c r="AI674" s="74"/>
      <c r="AJ674" s="75"/>
      <c r="AK674" s="75"/>
      <c r="AL674" s="80">
        <f t="shared" si="108"/>
        <v>0</v>
      </c>
      <c r="AM674" s="74"/>
      <c r="AN674" s="74"/>
      <c r="AO674" s="81" t="str">
        <f t="shared" si="109"/>
        <v/>
      </c>
      <c r="AP674" s="82"/>
      <c r="AQ674" s="75"/>
      <c r="AR674" s="75"/>
      <c r="AS674" s="80">
        <f t="shared" si="110"/>
        <v>0</v>
      </c>
      <c r="AT674" s="74"/>
      <c r="AU674" s="75"/>
      <c r="AV674" s="75"/>
      <c r="AW674" s="75"/>
      <c r="AX674" s="80">
        <f t="shared" si="111"/>
        <v>0</v>
      </c>
      <c r="AY674" s="81" t="str">
        <f t="shared" si="112"/>
        <v/>
      </c>
      <c r="AZ674" s="83" t="str">
        <f t="shared" si="113"/>
        <v/>
      </c>
      <c r="BA674" s="80" t="str">
        <f t="shared" si="114"/>
        <v/>
      </c>
      <c r="BB674" s="84">
        <f t="shared" si="115"/>
        <v>0</v>
      </c>
      <c r="BC674" s="85" t="str">
        <f t="shared" si="116"/>
        <v/>
      </c>
      <c r="BD674" s="86" t="str">
        <f t="shared" si="117"/>
        <v/>
      </c>
      <c r="BE674" s="84">
        <f t="shared" si="118"/>
        <v>0</v>
      </c>
      <c r="BF674" s="87" t="str">
        <f t="shared" si="119"/>
        <v/>
      </c>
      <c r="BG674" s="88" t="str">
        <f t="shared" si="120"/>
        <v/>
      </c>
      <c r="BH674" s="89" t="str">
        <f t="shared" si="121"/>
        <v/>
      </c>
      <c r="BI674" s="90" t="str">
        <f t="shared" si="122"/>
        <v/>
      </c>
      <c r="BJ674" s="90" t="str">
        <f t="shared" si="123"/>
        <v/>
      </c>
      <c r="BK674" s="91">
        <f t="shared" si="124"/>
        <v>0</v>
      </c>
      <c r="BL674" s="92">
        <f t="shared" si="125"/>
        <v>0</v>
      </c>
      <c r="BM674" s="95"/>
    </row>
    <row r="675" spans="1:65">
      <c r="A675" s="61">
        <f t="shared" si="126"/>
        <v>0</v>
      </c>
      <c r="B675" s="62"/>
      <c r="C675" s="62"/>
      <c r="D675" s="63"/>
      <c r="E675" s="64"/>
      <c r="F675" s="64"/>
      <c r="G675" s="65"/>
      <c r="H675" s="66" t="str">
        <f t="shared" si="103"/>
        <v/>
      </c>
      <c r="I675" s="67" t="str">
        <f t="shared" si="104"/>
        <v/>
      </c>
      <c r="J675" s="68" t="str">
        <f t="shared" si="105"/>
        <v/>
      </c>
      <c r="K675" s="69" t="str">
        <f t="shared" si="106"/>
        <v/>
      </c>
      <c r="L675" s="70" t="str">
        <f t="shared" si="107"/>
        <v/>
      </c>
      <c r="M675" s="71"/>
      <c r="N675" s="71"/>
      <c r="O675" s="71"/>
      <c r="P675" s="71"/>
      <c r="Q675" s="61"/>
      <c r="R675" s="63"/>
      <c r="S675" s="72"/>
      <c r="T675" s="61"/>
      <c r="U675" s="73"/>
      <c r="V675" s="62"/>
      <c r="W675" s="62"/>
      <c r="X675" s="62"/>
      <c r="Y675" s="93"/>
      <c r="Z675" s="94"/>
      <c r="AA675" s="74"/>
      <c r="AB675" s="75"/>
      <c r="AC675" s="75"/>
      <c r="AD675" s="76"/>
      <c r="AE675" s="77"/>
      <c r="AF675" s="75"/>
      <c r="AG675" s="78"/>
      <c r="AH675" s="79"/>
      <c r="AI675" s="74"/>
      <c r="AJ675" s="75"/>
      <c r="AK675" s="75"/>
      <c r="AL675" s="80">
        <f t="shared" si="108"/>
        <v>0</v>
      </c>
      <c r="AM675" s="74"/>
      <c r="AN675" s="74"/>
      <c r="AO675" s="81" t="str">
        <f t="shared" si="109"/>
        <v/>
      </c>
      <c r="AP675" s="82"/>
      <c r="AQ675" s="75"/>
      <c r="AR675" s="75"/>
      <c r="AS675" s="80">
        <f t="shared" si="110"/>
        <v>0</v>
      </c>
      <c r="AT675" s="74"/>
      <c r="AU675" s="75"/>
      <c r="AV675" s="75"/>
      <c r="AW675" s="75"/>
      <c r="AX675" s="80">
        <f t="shared" si="111"/>
        <v>0</v>
      </c>
      <c r="AY675" s="81" t="str">
        <f t="shared" si="112"/>
        <v/>
      </c>
      <c r="AZ675" s="83" t="str">
        <f t="shared" si="113"/>
        <v/>
      </c>
      <c r="BA675" s="80" t="str">
        <f t="shared" si="114"/>
        <v/>
      </c>
      <c r="BB675" s="84">
        <f t="shared" si="115"/>
        <v>0</v>
      </c>
      <c r="BC675" s="85" t="str">
        <f t="shared" si="116"/>
        <v/>
      </c>
      <c r="BD675" s="86" t="str">
        <f t="shared" si="117"/>
        <v/>
      </c>
      <c r="BE675" s="84">
        <f t="shared" si="118"/>
        <v>0</v>
      </c>
      <c r="BF675" s="87" t="str">
        <f t="shared" si="119"/>
        <v/>
      </c>
      <c r="BG675" s="88" t="str">
        <f t="shared" si="120"/>
        <v/>
      </c>
      <c r="BH675" s="89" t="str">
        <f t="shared" si="121"/>
        <v/>
      </c>
      <c r="BI675" s="90" t="str">
        <f t="shared" si="122"/>
        <v/>
      </c>
      <c r="BJ675" s="90" t="str">
        <f t="shared" si="123"/>
        <v/>
      </c>
      <c r="BK675" s="91">
        <f t="shared" si="124"/>
        <v>0</v>
      </c>
      <c r="BL675" s="92">
        <f t="shared" si="125"/>
        <v>0</v>
      </c>
      <c r="BM675" s="95"/>
    </row>
    <row r="676" spans="1:65">
      <c r="A676" s="61">
        <f t="shared" si="126"/>
        <v>0</v>
      </c>
      <c r="B676" s="62"/>
      <c r="C676" s="62"/>
      <c r="D676" s="63"/>
      <c r="E676" s="64"/>
      <c r="F676" s="64"/>
      <c r="G676" s="65"/>
      <c r="H676" s="66" t="str">
        <f t="shared" si="103"/>
        <v/>
      </c>
      <c r="I676" s="67" t="str">
        <f t="shared" si="104"/>
        <v/>
      </c>
      <c r="J676" s="68" t="str">
        <f t="shared" si="105"/>
        <v/>
      </c>
      <c r="K676" s="69" t="str">
        <f t="shared" si="106"/>
        <v/>
      </c>
      <c r="L676" s="70" t="str">
        <f t="shared" si="107"/>
        <v/>
      </c>
      <c r="M676" s="71"/>
      <c r="N676" s="71"/>
      <c r="O676" s="71"/>
      <c r="P676" s="71"/>
      <c r="Q676" s="61"/>
      <c r="R676" s="63"/>
      <c r="S676" s="72"/>
      <c r="T676" s="61"/>
      <c r="U676" s="73"/>
      <c r="V676" s="62"/>
      <c r="W676" s="62"/>
      <c r="X676" s="62"/>
      <c r="Y676" s="93"/>
      <c r="Z676" s="94"/>
      <c r="AA676" s="74"/>
      <c r="AB676" s="75"/>
      <c r="AC676" s="75"/>
      <c r="AD676" s="76"/>
      <c r="AE676" s="77"/>
      <c r="AF676" s="75"/>
      <c r="AG676" s="78"/>
      <c r="AH676" s="79"/>
      <c r="AI676" s="74"/>
      <c r="AJ676" s="75"/>
      <c r="AK676" s="75"/>
      <c r="AL676" s="80">
        <f t="shared" si="108"/>
        <v>0</v>
      </c>
      <c r="AM676" s="74"/>
      <c r="AN676" s="74"/>
      <c r="AO676" s="81" t="str">
        <f t="shared" si="109"/>
        <v/>
      </c>
      <c r="AP676" s="82"/>
      <c r="AQ676" s="75"/>
      <c r="AR676" s="75"/>
      <c r="AS676" s="80">
        <f t="shared" si="110"/>
        <v>0</v>
      </c>
      <c r="AT676" s="74"/>
      <c r="AU676" s="75"/>
      <c r="AV676" s="75"/>
      <c r="AW676" s="75"/>
      <c r="AX676" s="80">
        <f t="shared" si="111"/>
        <v>0</v>
      </c>
      <c r="AY676" s="81" t="str">
        <f t="shared" si="112"/>
        <v/>
      </c>
      <c r="AZ676" s="83" t="str">
        <f t="shared" si="113"/>
        <v/>
      </c>
      <c r="BA676" s="80" t="str">
        <f t="shared" si="114"/>
        <v/>
      </c>
      <c r="BB676" s="84">
        <f t="shared" si="115"/>
        <v>0</v>
      </c>
      <c r="BC676" s="85" t="str">
        <f t="shared" si="116"/>
        <v/>
      </c>
      <c r="BD676" s="86" t="str">
        <f t="shared" si="117"/>
        <v/>
      </c>
      <c r="BE676" s="84">
        <f t="shared" si="118"/>
        <v>0</v>
      </c>
      <c r="BF676" s="87" t="str">
        <f t="shared" si="119"/>
        <v/>
      </c>
      <c r="BG676" s="88" t="str">
        <f t="shared" si="120"/>
        <v/>
      </c>
      <c r="BH676" s="89" t="str">
        <f t="shared" si="121"/>
        <v/>
      </c>
      <c r="BI676" s="90" t="str">
        <f t="shared" si="122"/>
        <v/>
      </c>
      <c r="BJ676" s="90" t="str">
        <f t="shared" si="123"/>
        <v/>
      </c>
      <c r="BK676" s="91">
        <f t="shared" si="124"/>
        <v>0</v>
      </c>
      <c r="BL676" s="92">
        <f t="shared" si="125"/>
        <v>0</v>
      </c>
      <c r="BM676" s="95"/>
    </row>
    <row r="677" spans="1:65">
      <c r="A677" s="61">
        <f t="shared" si="126"/>
        <v>0</v>
      </c>
      <c r="B677" s="62"/>
      <c r="C677" s="62"/>
      <c r="D677" s="63"/>
      <c r="E677" s="64"/>
      <c r="F677" s="64"/>
      <c r="G677" s="65"/>
      <c r="H677" s="66" t="str">
        <f t="shared" si="103"/>
        <v/>
      </c>
      <c r="I677" s="67" t="str">
        <f t="shared" si="104"/>
        <v/>
      </c>
      <c r="J677" s="68" t="str">
        <f t="shared" si="105"/>
        <v/>
      </c>
      <c r="K677" s="69" t="str">
        <f t="shared" si="106"/>
        <v/>
      </c>
      <c r="L677" s="70" t="str">
        <f t="shared" si="107"/>
        <v/>
      </c>
      <c r="M677" s="71"/>
      <c r="N677" s="71"/>
      <c r="O677" s="71"/>
      <c r="P677" s="71"/>
      <c r="Q677" s="61"/>
      <c r="R677" s="63"/>
      <c r="S677" s="72"/>
      <c r="T677" s="61"/>
      <c r="U677" s="73"/>
      <c r="V677" s="62"/>
      <c r="W677" s="62"/>
      <c r="X677" s="62"/>
      <c r="Y677" s="93"/>
      <c r="Z677" s="94"/>
      <c r="AA677" s="74"/>
      <c r="AB677" s="75"/>
      <c r="AC677" s="75"/>
      <c r="AD677" s="76"/>
      <c r="AE677" s="77"/>
      <c r="AF677" s="75"/>
      <c r="AG677" s="78"/>
      <c r="AH677" s="79"/>
      <c r="AI677" s="74"/>
      <c r="AJ677" s="75"/>
      <c r="AK677" s="75"/>
      <c r="AL677" s="80">
        <f t="shared" si="108"/>
        <v>0</v>
      </c>
      <c r="AM677" s="74"/>
      <c r="AN677" s="74"/>
      <c r="AO677" s="81" t="str">
        <f t="shared" si="109"/>
        <v/>
      </c>
      <c r="AP677" s="82"/>
      <c r="AQ677" s="75"/>
      <c r="AR677" s="75"/>
      <c r="AS677" s="80">
        <f t="shared" si="110"/>
        <v>0</v>
      </c>
      <c r="AT677" s="74"/>
      <c r="AU677" s="75"/>
      <c r="AV677" s="75"/>
      <c r="AW677" s="75"/>
      <c r="AX677" s="80">
        <f t="shared" si="111"/>
        <v>0</v>
      </c>
      <c r="AY677" s="81" t="str">
        <f t="shared" si="112"/>
        <v/>
      </c>
      <c r="AZ677" s="83" t="str">
        <f t="shared" si="113"/>
        <v/>
      </c>
      <c r="BA677" s="80" t="str">
        <f t="shared" si="114"/>
        <v/>
      </c>
      <c r="BB677" s="84">
        <f t="shared" si="115"/>
        <v>0</v>
      </c>
      <c r="BC677" s="85" t="str">
        <f t="shared" si="116"/>
        <v/>
      </c>
      <c r="BD677" s="86" t="str">
        <f t="shared" si="117"/>
        <v/>
      </c>
      <c r="BE677" s="84">
        <f t="shared" si="118"/>
        <v>0</v>
      </c>
      <c r="BF677" s="87" t="str">
        <f t="shared" si="119"/>
        <v/>
      </c>
      <c r="BG677" s="88" t="str">
        <f t="shared" si="120"/>
        <v/>
      </c>
      <c r="BH677" s="89" t="str">
        <f t="shared" si="121"/>
        <v/>
      </c>
      <c r="BI677" s="90" t="str">
        <f t="shared" si="122"/>
        <v/>
      </c>
      <c r="BJ677" s="90" t="str">
        <f t="shared" si="123"/>
        <v/>
      </c>
      <c r="BK677" s="91">
        <f t="shared" si="124"/>
        <v>0</v>
      </c>
      <c r="BL677" s="92">
        <f t="shared" si="125"/>
        <v>0</v>
      </c>
      <c r="BM677" s="95"/>
    </row>
    <row r="678" spans="1:65">
      <c r="A678" s="61">
        <f t="shared" si="126"/>
        <v>0</v>
      </c>
      <c r="B678" s="62"/>
      <c r="C678" s="62"/>
      <c r="D678" s="63"/>
      <c r="E678" s="64"/>
      <c r="F678" s="64"/>
      <c r="G678" s="65"/>
      <c r="H678" s="66" t="str">
        <f t="shared" si="103"/>
        <v/>
      </c>
      <c r="I678" s="67" t="str">
        <f t="shared" si="104"/>
        <v/>
      </c>
      <c r="J678" s="68" t="str">
        <f t="shared" si="105"/>
        <v/>
      </c>
      <c r="K678" s="69" t="str">
        <f t="shared" si="106"/>
        <v/>
      </c>
      <c r="L678" s="70" t="str">
        <f t="shared" si="107"/>
        <v/>
      </c>
      <c r="M678" s="71"/>
      <c r="N678" s="71"/>
      <c r="O678" s="71"/>
      <c r="P678" s="71"/>
      <c r="Q678" s="61"/>
      <c r="R678" s="63"/>
      <c r="S678" s="72"/>
      <c r="T678" s="61"/>
      <c r="U678" s="73"/>
      <c r="V678" s="62"/>
      <c r="W678" s="62"/>
      <c r="X678" s="62"/>
      <c r="Y678" s="93"/>
      <c r="Z678" s="94"/>
      <c r="AA678" s="74"/>
      <c r="AB678" s="75"/>
      <c r="AC678" s="75"/>
      <c r="AD678" s="76"/>
      <c r="AE678" s="77"/>
      <c r="AF678" s="75"/>
      <c r="AG678" s="78"/>
      <c r="AH678" s="79"/>
      <c r="AI678" s="74"/>
      <c r="AJ678" s="75"/>
      <c r="AK678" s="75"/>
      <c r="AL678" s="80">
        <f t="shared" si="108"/>
        <v>0</v>
      </c>
      <c r="AM678" s="74"/>
      <c r="AN678" s="74"/>
      <c r="AO678" s="81" t="str">
        <f t="shared" si="109"/>
        <v/>
      </c>
      <c r="AP678" s="82"/>
      <c r="AQ678" s="75"/>
      <c r="AR678" s="75"/>
      <c r="AS678" s="80">
        <f t="shared" si="110"/>
        <v>0</v>
      </c>
      <c r="AT678" s="74"/>
      <c r="AU678" s="75"/>
      <c r="AV678" s="75"/>
      <c r="AW678" s="75"/>
      <c r="AX678" s="80">
        <f t="shared" si="111"/>
        <v>0</v>
      </c>
      <c r="AY678" s="81" t="str">
        <f t="shared" si="112"/>
        <v/>
      </c>
      <c r="AZ678" s="83" t="str">
        <f t="shared" si="113"/>
        <v/>
      </c>
      <c r="BA678" s="80" t="str">
        <f t="shared" si="114"/>
        <v/>
      </c>
      <c r="BB678" s="84">
        <f t="shared" si="115"/>
        <v>0</v>
      </c>
      <c r="BC678" s="85" t="str">
        <f t="shared" si="116"/>
        <v/>
      </c>
      <c r="BD678" s="86" t="str">
        <f t="shared" si="117"/>
        <v/>
      </c>
      <c r="BE678" s="84">
        <f t="shared" si="118"/>
        <v>0</v>
      </c>
      <c r="BF678" s="87" t="str">
        <f t="shared" si="119"/>
        <v/>
      </c>
      <c r="BG678" s="88" t="str">
        <f t="shared" si="120"/>
        <v/>
      </c>
      <c r="BH678" s="89" t="str">
        <f t="shared" si="121"/>
        <v/>
      </c>
      <c r="BI678" s="90" t="str">
        <f t="shared" si="122"/>
        <v/>
      </c>
      <c r="BJ678" s="90" t="str">
        <f t="shared" si="123"/>
        <v/>
      </c>
      <c r="BK678" s="91">
        <f t="shared" si="124"/>
        <v>0</v>
      </c>
      <c r="BL678" s="92">
        <f t="shared" si="125"/>
        <v>0</v>
      </c>
      <c r="BM678" s="95"/>
    </row>
    <row r="679" spans="1:65">
      <c r="A679" s="61">
        <f t="shared" si="126"/>
        <v>0</v>
      </c>
      <c r="B679" s="62"/>
      <c r="C679" s="62"/>
      <c r="D679" s="63"/>
      <c r="E679" s="64"/>
      <c r="F679" s="64"/>
      <c r="G679" s="65"/>
      <c r="H679" s="66" t="str">
        <f t="shared" si="103"/>
        <v/>
      </c>
      <c r="I679" s="67" t="str">
        <f t="shared" si="104"/>
        <v/>
      </c>
      <c r="J679" s="68" t="str">
        <f t="shared" si="105"/>
        <v/>
      </c>
      <c r="K679" s="69" t="str">
        <f t="shared" si="106"/>
        <v/>
      </c>
      <c r="L679" s="70" t="str">
        <f t="shared" si="107"/>
        <v/>
      </c>
      <c r="M679" s="71"/>
      <c r="N679" s="71"/>
      <c r="O679" s="71"/>
      <c r="P679" s="71"/>
      <c r="Q679" s="61"/>
      <c r="R679" s="63"/>
      <c r="S679" s="72"/>
      <c r="T679" s="61"/>
      <c r="U679" s="73"/>
      <c r="V679" s="62"/>
      <c r="W679" s="62"/>
      <c r="X679" s="62"/>
      <c r="Y679" s="93"/>
      <c r="Z679" s="94"/>
      <c r="AA679" s="74"/>
      <c r="AB679" s="75"/>
      <c r="AC679" s="75"/>
      <c r="AD679" s="76"/>
      <c r="AE679" s="77"/>
      <c r="AF679" s="75"/>
      <c r="AG679" s="78"/>
      <c r="AH679" s="79"/>
      <c r="AI679" s="74"/>
      <c r="AJ679" s="75"/>
      <c r="AK679" s="75"/>
      <c r="AL679" s="80">
        <f t="shared" si="108"/>
        <v>0</v>
      </c>
      <c r="AM679" s="74"/>
      <c r="AN679" s="74"/>
      <c r="AO679" s="81" t="str">
        <f t="shared" si="109"/>
        <v/>
      </c>
      <c r="AP679" s="82"/>
      <c r="AQ679" s="75"/>
      <c r="AR679" s="75"/>
      <c r="AS679" s="80">
        <f t="shared" si="110"/>
        <v>0</v>
      </c>
      <c r="AT679" s="74"/>
      <c r="AU679" s="75"/>
      <c r="AV679" s="75"/>
      <c r="AW679" s="75"/>
      <c r="AX679" s="80">
        <f t="shared" si="111"/>
        <v>0</v>
      </c>
      <c r="AY679" s="81" t="str">
        <f t="shared" si="112"/>
        <v/>
      </c>
      <c r="AZ679" s="83" t="str">
        <f t="shared" si="113"/>
        <v/>
      </c>
      <c r="BA679" s="80" t="str">
        <f t="shared" si="114"/>
        <v/>
      </c>
      <c r="BB679" s="84">
        <f t="shared" si="115"/>
        <v>0</v>
      </c>
      <c r="BC679" s="85" t="str">
        <f t="shared" si="116"/>
        <v/>
      </c>
      <c r="BD679" s="86" t="str">
        <f t="shared" si="117"/>
        <v/>
      </c>
      <c r="BE679" s="84">
        <f t="shared" si="118"/>
        <v>0</v>
      </c>
      <c r="BF679" s="87" t="str">
        <f t="shared" si="119"/>
        <v/>
      </c>
      <c r="BG679" s="88" t="str">
        <f t="shared" si="120"/>
        <v/>
      </c>
      <c r="BH679" s="89" t="str">
        <f t="shared" si="121"/>
        <v/>
      </c>
      <c r="BI679" s="90" t="str">
        <f t="shared" si="122"/>
        <v/>
      </c>
      <c r="BJ679" s="90" t="str">
        <f t="shared" si="123"/>
        <v/>
      </c>
      <c r="BK679" s="91">
        <f t="shared" si="124"/>
        <v>0</v>
      </c>
      <c r="BL679" s="92">
        <f t="shared" si="125"/>
        <v>0</v>
      </c>
      <c r="BM679" s="95"/>
    </row>
    <row r="680" spans="1:65">
      <c r="A680" s="61">
        <f t="shared" si="126"/>
        <v>0</v>
      </c>
      <c r="B680" s="62"/>
      <c r="C680" s="62"/>
      <c r="D680" s="63"/>
      <c r="E680" s="64"/>
      <c r="F680" s="64"/>
      <c r="G680" s="65"/>
      <c r="H680" s="66" t="str">
        <f t="shared" si="103"/>
        <v/>
      </c>
      <c r="I680" s="67" t="str">
        <f t="shared" si="104"/>
        <v/>
      </c>
      <c r="J680" s="68" t="str">
        <f t="shared" si="105"/>
        <v/>
      </c>
      <c r="K680" s="69" t="str">
        <f t="shared" si="106"/>
        <v/>
      </c>
      <c r="L680" s="70" t="str">
        <f t="shared" si="107"/>
        <v/>
      </c>
      <c r="M680" s="71"/>
      <c r="N680" s="71"/>
      <c r="O680" s="71"/>
      <c r="P680" s="71"/>
      <c r="Q680" s="61"/>
      <c r="R680" s="63"/>
      <c r="S680" s="72"/>
      <c r="T680" s="61"/>
      <c r="U680" s="73"/>
      <c r="V680" s="62"/>
      <c r="W680" s="62"/>
      <c r="X680" s="62"/>
      <c r="Y680" s="93"/>
      <c r="Z680" s="94"/>
      <c r="AA680" s="74"/>
      <c r="AB680" s="75"/>
      <c r="AC680" s="75"/>
      <c r="AD680" s="76"/>
      <c r="AE680" s="77"/>
      <c r="AF680" s="75"/>
      <c r="AG680" s="78"/>
      <c r="AH680" s="79"/>
      <c r="AI680" s="74"/>
      <c r="AJ680" s="75"/>
      <c r="AK680" s="75"/>
      <c r="AL680" s="80">
        <f t="shared" si="108"/>
        <v>0</v>
      </c>
      <c r="AM680" s="74"/>
      <c r="AN680" s="74"/>
      <c r="AO680" s="81" t="str">
        <f t="shared" si="109"/>
        <v/>
      </c>
      <c r="AP680" s="82"/>
      <c r="AQ680" s="75"/>
      <c r="AR680" s="75"/>
      <c r="AS680" s="80">
        <f t="shared" si="110"/>
        <v>0</v>
      </c>
      <c r="AT680" s="74"/>
      <c r="AU680" s="75"/>
      <c r="AV680" s="75"/>
      <c r="AW680" s="75"/>
      <c r="AX680" s="80">
        <f t="shared" si="111"/>
        <v>0</v>
      </c>
      <c r="AY680" s="81" t="str">
        <f t="shared" si="112"/>
        <v/>
      </c>
      <c r="AZ680" s="83" t="str">
        <f t="shared" si="113"/>
        <v/>
      </c>
      <c r="BA680" s="80" t="str">
        <f t="shared" si="114"/>
        <v/>
      </c>
      <c r="BB680" s="84">
        <f t="shared" si="115"/>
        <v>0</v>
      </c>
      <c r="BC680" s="85" t="str">
        <f t="shared" si="116"/>
        <v/>
      </c>
      <c r="BD680" s="86" t="str">
        <f t="shared" si="117"/>
        <v/>
      </c>
      <c r="BE680" s="84">
        <f t="shared" si="118"/>
        <v>0</v>
      </c>
      <c r="BF680" s="87" t="str">
        <f t="shared" si="119"/>
        <v/>
      </c>
      <c r="BG680" s="88" t="str">
        <f t="shared" si="120"/>
        <v/>
      </c>
      <c r="BH680" s="89" t="str">
        <f t="shared" si="121"/>
        <v/>
      </c>
      <c r="BI680" s="90" t="str">
        <f t="shared" si="122"/>
        <v/>
      </c>
      <c r="BJ680" s="90" t="str">
        <f t="shared" si="123"/>
        <v/>
      </c>
      <c r="BK680" s="91">
        <f t="shared" si="124"/>
        <v>0</v>
      </c>
      <c r="BL680" s="92">
        <f t="shared" si="125"/>
        <v>0</v>
      </c>
      <c r="BM680" s="95"/>
    </row>
    <row r="681" spans="1:65">
      <c r="A681" s="61">
        <f t="shared" si="126"/>
        <v>0</v>
      </c>
      <c r="B681" s="62"/>
      <c r="C681" s="62"/>
      <c r="D681" s="63"/>
      <c r="E681" s="64"/>
      <c r="F681" s="64"/>
      <c r="G681" s="65"/>
      <c r="H681" s="66" t="str">
        <f t="shared" si="103"/>
        <v/>
      </c>
      <c r="I681" s="67" t="str">
        <f t="shared" si="104"/>
        <v/>
      </c>
      <c r="J681" s="68" t="str">
        <f t="shared" si="105"/>
        <v/>
      </c>
      <c r="K681" s="69" t="str">
        <f t="shared" si="106"/>
        <v/>
      </c>
      <c r="L681" s="70" t="str">
        <f t="shared" si="107"/>
        <v/>
      </c>
      <c r="M681" s="71"/>
      <c r="N681" s="71"/>
      <c r="O681" s="71"/>
      <c r="P681" s="71"/>
      <c r="Q681" s="61"/>
      <c r="R681" s="63"/>
      <c r="S681" s="72"/>
      <c r="T681" s="61"/>
      <c r="U681" s="73"/>
      <c r="V681" s="62"/>
      <c r="W681" s="62"/>
      <c r="X681" s="62"/>
      <c r="Y681" s="93"/>
      <c r="Z681" s="94"/>
      <c r="AA681" s="74"/>
      <c r="AB681" s="75"/>
      <c r="AC681" s="75"/>
      <c r="AD681" s="76"/>
      <c r="AE681" s="77"/>
      <c r="AF681" s="75"/>
      <c r="AG681" s="78"/>
      <c r="AH681" s="79"/>
      <c r="AI681" s="74"/>
      <c r="AJ681" s="75"/>
      <c r="AK681" s="75"/>
      <c r="AL681" s="80">
        <f t="shared" si="108"/>
        <v>0</v>
      </c>
      <c r="AM681" s="74"/>
      <c r="AN681" s="74"/>
      <c r="AO681" s="81" t="str">
        <f t="shared" si="109"/>
        <v/>
      </c>
      <c r="AP681" s="82"/>
      <c r="AQ681" s="75"/>
      <c r="AR681" s="75"/>
      <c r="AS681" s="80">
        <f t="shared" si="110"/>
        <v>0</v>
      </c>
      <c r="AT681" s="74"/>
      <c r="AU681" s="75"/>
      <c r="AV681" s="75"/>
      <c r="AW681" s="75"/>
      <c r="AX681" s="80">
        <f t="shared" si="111"/>
        <v>0</v>
      </c>
      <c r="AY681" s="81" t="str">
        <f t="shared" si="112"/>
        <v/>
      </c>
      <c r="AZ681" s="83" t="str">
        <f t="shared" si="113"/>
        <v/>
      </c>
      <c r="BA681" s="80" t="str">
        <f t="shared" si="114"/>
        <v/>
      </c>
      <c r="BB681" s="84">
        <f t="shared" si="115"/>
        <v>0</v>
      </c>
      <c r="BC681" s="85" t="str">
        <f t="shared" si="116"/>
        <v/>
      </c>
      <c r="BD681" s="86" t="str">
        <f t="shared" si="117"/>
        <v/>
      </c>
      <c r="BE681" s="84">
        <f t="shared" si="118"/>
        <v>0</v>
      </c>
      <c r="BF681" s="87" t="str">
        <f t="shared" si="119"/>
        <v/>
      </c>
      <c r="BG681" s="88" t="str">
        <f t="shared" si="120"/>
        <v/>
      </c>
      <c r="BH681" s="89" t="str">
        <f t="shared" si="121"/>
        <v/>
      </c>
      <c r="BI681" s="90" t="str">
        <f t="shared" si="122"/>
        <v/>
      </c>
      <c r="BJ681" s="90" t="str">
        <f t="shared" si="123"/>
        <v/>
      </c>
      <c r="BK681" s="91">
        <f t="shared" si="124"/>
        <v>0</v>
      </c>
      <c r="BL681" s="92">
        <f t="shared" si="125"/>
        <v>0</v>
      </c>
      <c r="BM681" s="95"/>
    </row>
    <row r="682" spans="1:65">
      <c r="A682" s="61">
        <f t="shared" si="126"/>
        <v>0</v>
      </c>
      <c r="B682" s="62"/>
      <c r="C682" s="62"/>
      <c r="D682" s="63"/>
      <c r="E682" s="64"/>
      <c r="F682" s="64"/>
      <c r="G682" s="65"/>
      <c r="H682" s="66" t="str">
        <f t="shared" si="103"/>
        <v/>
      </c>
      <c r="I682" s="67" t="str">
        <f t="shared" si="104"/>
        <v/>
      </c>
      <c r="J682" s="68" t="str">
        <f t="shared" si="105"/>
        <v/>
      </c>
      <c r="K682" s="69" t="str">
        <f t="shared" si="106"/>
        <v/>
      </c>
      <c r="L682" s="70" t="str">
        <f t="shared" si="107"/>
        <v/>
      </c>
      <c r="M682" s="71"/>
      <c r="N682" s="71"/>
      <c r="O682" s="71"/>
      <c r="P682" s="71"/>
      <c r="Q682" s="61"/>
      <c r="R682" s="63"/>
      <c r="S682" s="72"/>
      <c r="T682" s="61"/>
      <c r="U682" s="73"/>
      <c r="V682" s="62"/>
      <c r="W682" s="62"/>
      <c r="X682" s="62"/>
      <c r="Y682" s="93"/>
      <c r="Z682" s="94"/>
      <c r="AA682" s="74"/>
      <c r="AB682" s="75"/>
      <c r="AC682" s="75"/>
      <c r="AD682" s="76"/>
      <c r="AE682" s="77"/>
      <c r="AF682" s="75"/>
      <c r="AG682" s="78"/>
      <c r="AH682" s="79"/>
      <c r="AI682" s="74"/>
      <c r="AJ682" s="75"/>
      <c r="AK682" s="75"/>
      <c r="AL682" s="80">
        <f t="shared" si="108"/>
        <v>0</v>
      </c>
      <c r="AM682" s="74"/>
      <c r="AN682" s="74"/>
      <c r="AO682" s="81" t="str">
        <f t="shared" si="109"/>
        <v/>
      </c>
      <c r="AP682" s="82"/>
      <c r="AQ682" s="75"/>
      <c r="AR682" s="75"/>
      <c r="AS682" s="80">
        <f t="shared" si="110"/>
        <v>0</v>
      </c>
      <c r="AT682" s="74"/>
      <c r="AU682" s="75"/>
      <c r="AV682" s="75"/>
      <c r="AW682" s="75"/>
      <c r="AX682" s="80">
        <f t="shared" si="111"/>
        <v>0</v>
      </c>
      <c r="AY682" s="81" t="str">
        <f t="shared" si="112"/>
        <v/>
      </c>
      <c r="AZ682" s="83" t="str">
        <f t="shared" si="113"/>
        <v/>
      </c>
      <c r="BA682" s="80" t="str">
        <f t="shared" si="114"/>
        <v/>
      </c>
      <c r="BB682" s="84">
        <f t="shared" si="115"/>
        <v>0</v>
      </c>
      <c r="BC682" s="85" t="str">
        <f t="shared" si="116"/>
        <v/>
      </c>
      <c r="BD682" s="86" t="str">
        <f t="shared" si="117"/>
        <v/>
      </c>
      <c r="BE682" s="84">
        <f t="shared" si="118"/>
        <v>0</v>
      </c>
      <c r="BF682" s="87" t="str">
        <f t="shared" si="119"/>
        <v/>
      </c>
      <c r="BG682" s="88" t="str">
        <f t="shared" si="120"/>
        <v/>
      </c>
      <c r="BH682" s="89" t="str">
        <f t="shared" si="121"/>
        <v/>
      </c>
      <c r="BI682" s="90" t="str">
        <f t="shared" si="122"/>
        <v/>
      </c>
      <c r="BJ682" s="90" t="str">
        <f t="shared" si="123"/>
        <v/>
      </c>
      <c r="BK682" s="91">
        <f t="shared" si="124"/>
        <v>0</v>
      </c>
      <c r="BL682" s="92">
        <f t="shared" si="125"/>
        <v>0</v>
      </c>
      <c r="BM682" s="95"/>
    </row>
    <row r="683" spans="1:65">
      <c r="A683" s="61">
        <f t="shared" si="126"/>
        <v>0</v>
      </c>
      <c r="B683" s="62"/>
      <c r="C683" s="62"/>
      <c r="D683" s="63"/>
      <c r="E683" s="64"/>
      <c r="F683" s="64"/>
      <c r="G683" s="65"/>
      <c r="H683" s="66" t="str">
        <f t="shared" si="103"/>
        <v/>
      </c>
      <c r="I683" s="67" t="str">
        <f t="shared" si="104"/>
        <v/>
      </c>
      <c r="J683" s="68" t="str">
        <f t="shared" si="105"/>
        <v/>
      </c>
      <c r="K683" s="69" t="str">
        <f t="shared" si="106"/>
        <v/>
      </c>
      <c r="L683" s="70" t="str">
        <f t="shared" si="107"/>
        <v/>
      </c>
      <c r="M683" s="71"/>
      <c r="N683" s="71"/>
      <c r="O683" s="71"/>
      <c r="P683" s="71"/>
      <c r="Q683" s="61"/>
      <c r="R683" s="63"/>
      <c r="S683" s="72"/>
      <c r="T683" s="61"/>
      <c r="U683" s="73"/>
      <c r="V683" s="62"/>
      <c r="W683" s="62"/>
      <c r="X683" s="62"/>
      <c r="Y683" s="93"/>
      <c r="Z683" s="94"/>
      <c r="AA683" s="74"/>
      <c r="AB683" s="75"/>
      <c r="AC683" s="75"/>
      <c r="AD683" s="76"/>
      <c r="AE683" s="77"/>
      <c r="AF683" s="75"/>
      <c r="AG683" s="78"/>
      <c r="AH683" s="79"/>
      <c r="AI683" s="74"/>
      <c r="AJ683" s="75"/>
      <c r="AK683" s="75"/>
      <c r="AL683" s="80">
        <f t="shared" si="108"/>
        <v>0</v>
      </c>
      <c r="AM683" s="74"/>
      <c r="AN683" s="74"/>
      <c r="AO683" s="81" t="str">
        <f t="shared" si="109"/>
        <v/>
      </c>
      <c r="AP683" s="82"/>
      <c r="AQ683" s="75"/>
      <c r="AR683" s="75"/>
      <c r="AS683" s="80">
        <f t="shared" si="110"/>
        <v>0</v>
      </c>
      <c r="AT683" s="74"/>
      <c r="AU683" s="75"/>
      <c r="AV683" s="75"/>
      <c r="AW683" s="75"/>
      <c r="AX683" s="80">
        <f t="shared" si="111"/>
        <v>0</v>
      </c>
      <c r="AY683" s="81" t="str">
        <f t="shared" si="112"/>
        <v/>
      </c>
      <c r="AZ683" s="83" t="str">
        <f t="shared" si="113"/>
        <v/>
      </c>
      <c r="BA683" s="80" t="str">
        <f t="shared" si="114"/>
        <v/>
      </c>
      <c r="BB683" s="84">
        <f t="shared" si="115"/>
        <v>0</v>
      </c>
      <c r="BC683" s="85" t="str">
        <f t="shared" si="116"/>
        <v/>
      </c>
      <c r="BD683" s="86" t="str">
        <f t="shared" si="117"/>
        <v/>
      </c>
      <c r="BE683" s="84">
        <f t="shared" si="118"/>
        <v>0</v>
      </c>
      <c r="BF683" s="87" t="str">
        <f t="shared" si="119"/>
        <v/>
      </c>
      <c r="BG683" s="88" t="str">
        <f t="shared" si="120"/>
        <v/>
      </c>
      <c r="BH683" s="89" t="str">
        <f t="shared" si="121"/>
        <v/>
      </c>
      <c r="BI683" s="90" t="str">
        <f t="shared" si="122"/>
        <v/>
      </c>
      <c r="BJ683" s="90" t="str">
        <f t="shared" si="123"/>
        <v/>
      </c>
      <c r="BK683" s="91">
        <f t="shared" si="124"/>
        <v>0</v>
      </c>
      <c r="BL683" s="92">
        <f t="shared" si="125"/>
        <v>0</v>
      </c>
      <c r="BM683" s="95"/>
    </row>
    <row r="684" spans="1:65">
      <c r="A684" s="61">
        <f t="shared" si="126"/>
        <v>0</v>
      </c>
      <c r="B684" s="62"/>
      <c r="C684" s="62"/>
      <c r="D684" s="63"/>
      <c r="E684" s="64"/>
      <c r="F684" s="64"/>
      <c r="G684" s="65"/>
      <c r="H684" s="66" t="str">
        <f t="shared" si="103"/>
        <v/>
      </c>
      <c r="I684" s="67" t="str">
        <f t="shared" si="104"/>
        <v/>
      </c>
      <c r="J684" s="68" t="str">
        <f t="shared" si="105"/>
        <v/>
      </c>
      <c r="K684" s="69" t="str">
        <f t="shared" si="106"/>
        <v/>
      </c>
      <c r="L684" s="70" t="str">
        <f t="shared" si="107"/>
        <v/>
      </c>
      <c r="M684" s="71"/>
      <c r="N684" s="71"/>
      <c r="O684" s="71"/>
      <c r="P684" s="71"/>
      <c r="Q684" s="61"/>
      <c r="R684" s="63"/>
      <c r="S684" s="72"/>
      <c r="T684" s="61"/>
      <c r="U684" s="73"/>
      <c r="V684" s="62"/>
      <c r="W684" s="62"/>
      <c r="X684" s="62"/>
      <c r="Y684" s="93"/>
      <c r="Z684" s="94"/>
      <c r="AA684" s="74"/>
      <c r="AB684" s="75"/>
      <c r="AC684" s="75"/>
      <c r="AD684" s="76"/>
      <c r="AE684" s="77"/>
      <c r="AF684" s="75"/>
      <c r="AG684" s="78"/>
      <c r="AH684" s="79"/>
      <c r="AI684" s="74"/>
      <c r="AJ684" s="75"/>
      <c r="AK684" s="75"/>
      <c r="AL684" s="80">
        <f t="shared" si="108"/>
        <v>0</v>
      </c>
      <c r="AM684" s="74"/>
      <c r="AN684" s="74"/>
      <c r="AO684" s="81" t="str">
        <f t="shared" si="109"/>
        <v/>
      </c>
      <c r="AP684" s="82"/>
      <c r="AQ684" s="75"/>
      <c r="AR684" s="75"/>
      <c r="AS684" s="80">
        <f t="shared" si="110"/>
        <v>0</v>
      </c>
      <c r="AT684" s="74"/>
      <c r="AU684" s="75"/>
      <c r="AV684" s="75"/>
      <c r="AW684" s="75"/>
      <c r="AX684" s="80">
        <f t="shared" si="111"/>
        <v>0</v>
      </c>
      <c r="AY684" s="81" t="str">
        <f t="shared" si="112"/>
        <v/>
      </c>
      <c r="AZ684" s="83" t="str">
        <f t="shared" si="113"/>
        <v/>
      </c>
      <c r="BA684" s="80" t="str">
        <f t="shared" si="114"/>
        <v/>
      </c>
      <c r="BB684" s="84">
        <f t="shared" si="115"/>
        <v>0</v>
      </c>
      <c r="BC684" s="85" t="str">
        <f t="shared" si="116"/>
        <v/>
      </c>
      <c r="BD684" s="86" t="str">
        <f t="shared" si="117"/>
        <v/>
      </c>
      <c r="BE684" s="84">
        <f t="shared" si="118"/>
        <v>0</v>
      </c>
      <c r="BF684" s="87" t="str">
        <f t="shared" si="119"/>
        <v/>
      </c>
      <c r="BG684" s="88" t="str">
        <f t="shared" si="120"/>
        <v/>
      </c>
      <c r="BH684" s="89" t="str">
        <f t="shared" si="121"/>
        <v/>
      </c>
      <c r="BI684" s="90" t="str">
        <f t="shared" si="122"/>
        <v/>
      </c>
      <c r="BJ684" s="90" t="str">
        <f t="shared" si="123"/>
        <v/>
      </c>
      <c r="BK684" s="91">
        <f t="shared" si="124"/>
        <v>0</v>
      </c>
      <c r="BL684" s="92">
        <f t="shared" si="125"/>
        <v>0</v>
      </c>
      <c r="BM684" s="95"/>
    </row>
    <row r="685" spans="1:65">
      <c r="A685" s="61">
        <f t="shared" si="126"/>
        <v>0</v>
      </c>
      <c r="B685" s="62"/>
      <c r="C685" s="62"/>
      <c r="D685" s="63"/>
      <c r="E685" s="64"/>
      <c r="F685" s="64"/>
      <c r="G685" s="65"/>
      <c r="H685" s="66" t="str">
        <f t="shared" si="103"/>
        <v/>
      </c>
      <c r="I685" s="67" t="str">
        <f t="shared" si="104"/>
        <v/>
      </c>
      <c r="J685" s="68" t="str">
        <f t="shared" si="105"/>
        <v/>
      </c>
      <c r="K685" s="69" t="str">
        <f t="shared" si="106"/>
        <v/>
      </c>
      <c r="L685" s="70" t="str">
        <f t="shared" si="107"/>
        <v/>
      </c>
      <c r="M685" s="71"/>
      <c r="N685" s="71"/>
      <c r="O685" s="71"/>
      <c r="P685" s="71"/>
      <c r="Q685" s="61"/>
      <c r="R685" s="63"/>
      <c r="S685" s="72"/>
      <c r="T685" s="61"/>
      <c r="U685" s="73"/>
      <c r="V685" s="62"/>
      <c r="W685" s="62"/>
      <c r="X685" s="62"/>
      <c r="Y685" s="93"/>
      <c r="Z685" s="94"/>
      <c r="AA685" s="74"/>
      <c r="AB685" s="75"/>
      <c r="AC685" s="75"/>
      <c r="AD685" s="76"/>
      <c r="AE685" s="77"/>
      <c r="AF685" s="75"/>
      <c r="AG685" s="78"/>
      <c r="AH685" s="79"/>
      <c r="AI685" s="74"/>
      <c r="AJ685" s="75"/>
      <c r="AK685" s="75"/>
      <c r="AL685" s="80">
        <f t="shared" si="108"/>
        <v>0</v>
      </c>
      <c r="AM685" s="74"/>
      <c r="AN685" s="74"/>
      <c r="AO685" s="81" t="str">
        <f t="shared" si="109"/>
        <v/>
      </c>
      <c r="AP685" s="82"/>
      <c r="AQ685" s="75"/>
      <c r="AR685" s="75"/>
      <c r="AS685" s="80">
        <f t="shared" si="110"/>
        <v>0</v>
      </c>
      <c r="AT685" s="74"/>
      <c r="AU685" s="75"/>
      <c r="AV685" s="75"/>
      <c r="AW685" s="75"/>
      <c r="AX685" s="80">
        <f t="shared" si="111"/>
        <v>0</v>
      </c>
      <c r="AY685" s="81" t="str">
        <f t="shared" si="112"/>
        <v/>
      </c>
      <c r="AZ685" s="83" t="str">
        <f t="shared" si="113"/>
        <v/>
      </c>
      <c r="BA685" s="80" t="str">
        <f t="shared" si="114"/>
        <v/>
      </c>
      <c r="BB685" s="84">
        <f t="shared" si="115"/>
        <v>0</v>
      </c>
      <c r="BC685" s="85" t="str">
        <f t="shared" si="116"/>
        <v/>
      </c>
      <c r="BD685" s="86" t="str">
        <f t="shared" si="117"/>
        <v/>
      </c>
      <c r="BE685" s="84">
        <f t="shared" si="118"/>
        <v>0</v>
      </c>
      <c r="BF685" s="87" t="str">
        <f t="shared" si="119"/>
        <v/>
      </c>
      <c r="BG685" s="88" t="str">
        <f t="shared" si="120"/>
        <v/>
      </c>
      <c r="BH685" s="89" t="str">
        <f t="shared" si="121"/>
        <v/>
      </c>
      <c r="BI685" s="90" t="str">
        <f t="shared" si="122"/>
        <v/>
      </c>
      <c r="BJ685" s="90" t="str">
        <f t="shared" si="123"/>
        <v/>
      </c>
      <c r="BK685" s="91">
        <f t="shared" si="124"/>
        <v>0</v>
      </c>
      <c r="BL685" s="92">
        <f t="shared" si="125"/>
        <v>0</v>
      </c>
      <c r="BM685" s="95"/>
    </row>
    <row r="686" spans="1:65">
      <c r="A686" s="61">
        <f t="shared" si="126"/>
        <v>0</v>
      </c>
      <c r="B686" s="62"/>
      <c r="C686" s="62"/>
      <c r="D686" s="63"/>
      <c r="E686" s="64"/>
      <c r="F686" s="64"/>
      <c r="G686" s="65"/>
      <c r="H686" s="66" t="str">
        <f t="shared" si="103"/>
        <v/>
      </c>
      <c r="I686" s="67" t="str">
        <f t="shared" si="104"/>
        <v/>
      </c>
      <c r="J686" s="68" t="str">
        <f t="shared" si="105"/>
        <v/>
      </c>
      <c r="K686" s="69" t="str">
        <f t="shared" si="106"/>
        <v/>
      </c>
      <c r="L686" s="70" t="str">
        <f t="shared" si="107"/>
        <v/>
      </c>
      <c r="M686" s="71"/>
      <c r="N686" s="71"/>
      <c r="O686" s="71"/>
      <c r="P686" s="71"/>
      <c r="Q686" s="61"/>
      <c r="R686" s="63"/>
      <c r="S686" s="72"/>
      <c r="T686" s="61"/>
      <c r="U686" s="73"/>
      <c r="V686" s="62"/>
      <c r="W686" s="62"/>
      <c r="X686" s="62"/>
      <c r="Y686" s="93"/>
      <c r="Z686" s="94"/>
      <c r="AA686" s="74"/>
      <c r="AB686" s="75"/>
      <c r="AC686" s="75"/>
      <c r="AD686" s="76"/>
      <c r="AE686" s="77"/>
      <c r="AF686" s="75"/>
      <c r="AG686" s="78"/>
      <c r="AH686" s="79"/>
      <c r="AI686" s="74"/>
      <c r="AJ686" s="75"/>
      <c r="AK686" s="75"/>
      <c r="AL686" s="80">
        <f t="shared" si="108"/>
        <v>0</v>
      </c>
      <c r="AM686" s="74"/>
      <c r="AN686" s="74"/>
      <c r="AO686" s="81" t="str">
        <f t="shared" si="109"/>
        <v/>
      </c>
      <c r="AP686" s="82"/>
      <c r="AQ686" s="75"/>
      <c r="AR686" s="75"/>
      <c r="AS686" s="80">
        <f t="shared" si="110"/>
        <v>0</v>
      </c>
      <c r="AT686" s="74"/>
      <c r="AU686" s="75"/>
      <c r="AV686" s="75"/>
      <c r="AW686" s="75"/>
      <c r="AX686" s="80">
        <f t="shared" si="111"/>
        <v>0</v>
      </c>
      <c r="AY686" s="81" t="str">
        <f t="shared" si="112"/>
        <v/>
      </c>
      <c r="AZ686" s="83" t="str">
        <f t="shared" si="113"/>
        <v/>
      </c>
      <c r="BA686" s="80" t="str">
        <f t="shared" si="114"/>
        <v/>
      </c>
      <c r="BB686" s="84">
        <f t="shared" si="115"/>
        <v>0</v>
      </c>
      <c r="BC686" s="85" t="str">
        <f t="shared" si="116"/>
        <v/>
      </c>
      <c r="BD686" s="86" t="str">
        <f t="shared" si="117"/>
        <v/>
      </c>
      <c r="BE686" s="84">
        <f t="shared" si="118"/>
        <v>0</v>
      </c>
      <c r="BF686" s="87" t="str">
        <f t="shared" si="119"/>
        <v/>
      </c>
      <c r="BG686" s="88" t="str">
        <f t="shared" si="120"/>
        <v/>
      </c>
      <c r="BH686" s="89" t="str">
        <f t="shared" si="121"/>
        <v/>
      </c>
      <c r="BI686" s="90" t="str">
        <f t="shared" si="122"/>
        <v/>
      </c>
      <c r="BJ686" s="90" t="str">
        <f t="shared" si="123"/>
        <v/>
      </c>
      <c r="BK686" s="91">
        <f t="shared" si="124"/>
        <v>0</v>
      </c>
      <c r="BL686" s="92">
        <f t="shared" si="125"/>
        <v>0</v>
      </c>
      <c r="BM686" s="95"/>
    </row>
    <row r="687" spans="1:65">
      <c r="A687" s="61">
        <f t="shared" si="126"/>
        <v>0</v>
      </c>
      <c r="B687" s="62"/>
      <c r="C687" s="62"/>
      <c r="D687" s="63"/>
      <c r="E687" s="64"/>
      <c r="F687" s="64"/>
      <c r="G687" s="65"/>
      <c r="H687" s="66" t="str">
        <f t="shared" si="103"/>
        <v/>
      </c>
      <c r="I687" s="67" t="str">
        <f t="shared" si="104"/>
        <v/>
      </c>
      <c r="J687" s="68" t="str">
        <f t="shared" si="105"/>
        <v/>
      </c>
      <c r="K687" s="69" t="str">
        <f t="shared" si="106"/>
        <v/>
      </c>
      <c r="L687" s="70" t="str">
        <f t="shared" si="107"/>
        <v/>
      </c>
      <c r="M687" s="71"/>
      <c r="N687" s="71"/>
      <c r="O687" s="71"/>
      <c r="P687" s="71"/>
      <c r="Q687" s="61"/>
      <c r="R687" s="63"/>
      <c r="S687" s="72"/>
      <c r="T687" s="61"/>
      <c r="U687" s="73"/>
      <c r="V687" s="62"/>
      <c r="W687" s="62"/>
      <c r="X687" s="62"/>
      <c r="Y687" s="93"/>
      <c r="Z687" s="94"/>
      <c r="AA687" s="74"/>
      <c r="AB687" s="75"/>
      <c r="AC687" s="75"/>
      <c r="AD687" s="76"/>
      <c r="AE687" s="77"/>
      <c r="AF687" s="75"/>
      <c r="AG687" s="78"/>
      <c r="AH687" s="79"/>
      <c r="AI687" s="74"/>
      <c r="AJ687" s="75"/>
      <c r="AK687" s="75"/>
      <c r="AL687" s="80">
        <f t="shared" si="108"/>
        <v>0</v>
      </c>
      <c r="AM687" s="74"/>
      <c r="AN687" s="74"/>
      <c r="AO687" s="81" t="str">
        <f t="shared" si="109"/>
        <v/>
      </c>
      <c r="AP687" s="82"/>
      <c r="AQ687" s="75"/>
      <c r="AR687" s="75"/>
      <c r="AS687" s="80">
        <f t="shared" si="110"/>
        <v>0</v>
      </c>
      <c r="AT687" s="74"/>
      <c r="AU687" s="75"/>
      <c r="AV687" s="75"/>
      <c r="AW687" s="75"/>
      <c r="AX687" s="80">
        <f t="shared" si="111"/>
        <v>0</v>
      </c>
      <c r="AY687" s="81" t="str">
        <f t="shared" si="112"/>
        <v/>
      </c>
      <c r="AZ687" s="83" t="str">
        <f t="shared" si="113"/>
        <v/>
      </c>
      <c r="BA687" s="80" t="str">
        <f t="shared" si="114"/>
        <v/>
      </c>
      <c r="BB687" s="84">
        <f t="shared" si="115"/>
        <v>0</v>
      </c>
      <c r="BC687" s="85" t="str">
        <f t="shared" si="116"/>
        <v/>
      </c>
      <c r="BD687" s="86" t="str">
        <f t="shared" si="117"/>
        <v/>
      </c>
      <c r="BE687" s="84">
        <f t="shared" si="118"/>
        <v>0</v>
      </c>
      <c r="BF687" s="87" t="str">
        <f t="shared" si="119"/>
        <v/>
      </c>
      <c r="BG687" s="88" t="str">
        <f t="shared" si="120"/>
        <v/>
      </c>
      <c r="BH687" s="89" t="str">
        <f t="shared" si="121"/>
        <v/>
      </c>
      <c r="BI687" s="90" t="str">
        <f t="shared" si="122"/>
        <v/>
      </c>
      <c r="BJ687" s="90" t="str">
        <f t="shared" si="123"/>
        <v/>
      </c>
      <c r="BK687" s="91">
        <f t="shared" si="124"/>
        <v>0</v>
      </c>
      <c r="BL687" s="92">
        <f t="shared" si="125"/>
        <v>0</v>
      </c>
      <c r="BM687" s="95"/>
    </row>
    <row r="688" spans="1:65">
      <c r="A688" s="61">
        <f t="shared" si="126"/>
        <v>0</v>
      </c>
      <c r="B688" s="62"/>
      <c r="C688" s="62"/>
      <c r="D688" s="63"/>
      <c r="E688" s="64"/>
      <c r="F688" s="64"/>
      <c r="G688" s="65"/>
      <c r="H688" s="66" t="str">
        <f t="shared" si="103"/>
        <v/>
      </c>
      <c r="I688" s="67" t="str">
        <f t="shared" si="104"/>
        <v/>
      </c>
      <c r="J688" s="68" t="str">
        <f t="shared" si="105"/>
        <v/>
      </c>
      <c r="K688" s="69" t="str">
        <f t="shared" si="106"/>
        <v/>
      </c>
      <c r="L688" s="70" t="str">
        <f t="shared" si="107"/>
        <v/>
      </c>
      <c r="M688" s="71"/>
      <c r="N688" s="71"/>
      <c r="O688" s="71"/>
      <c r="P688" s="71"/>
      <c r="Q688" s="61"/>
      <c r="R688" s="63"/>
      <c r="S688" s="72"/>
      <c r="T688" s="61"/>
      <c r="U688" s="73"/>
      <c r="V688" s="62"/>
      <c r="W688" s="62"/>
      <c r="X688" s="62"/>
      <c r="Y688" s="93"/>
      <c r="Z688" s="94"/>
      <c r="AA688" s="74"/>
      <c r="AB688" s="75"/>
      <c r="AC688" s="75"/>
      <c r="AD688" s="76"/>
      <c r="AE688" s="77"/>
      <c r="AF688" s="75"/>
      <c r="AG688" s="78"/>
      <c r="AH688" s="79"/>
      <c r="AI688" s="74"/>
      <c r="AJ688" s="75"/>
      <c r="AK688" s="75"/>
      <c r="AL688" s="80">
        <f t="shared" si="108"/>
        <v>0</v>
      </c>
      <c r="AM688" s="74"/>
      <c r="AN688" s="74"/>
      <c r="AO688" s="81" t="str">
        <f t="shared" si="109"/>
        <v/>
      </c>
      <c r="AP688" s="82"/>
      <c r="AQ688" s="75"/>
      <c r="AR688" s="75"/>
      <c r="AS688" s="80">
        <f t="shared" si="110"/>
        <v>0</v>
      </c>
      <c r="AT688" s="74"/>
      <c r="AU688" s="75"/>
      <c r="AV688" s="75"/>
      <c r="AW688" s="75"/>
      <c r="AX688" s="80">
        <f t="shared" si="111"/>
        <v>0</v>
      </c>
      <c r="AY688" s="81" t="str">
        <f t="shared" si="112"/>
        <v/>
      </c>
      <c r="AZ688" s="83" t="str">
        <f t="shared" si="113"/>
        <v/>
      </c>
      <c r="BA688" s="80" t="str">
        <f t="shared" si="114"/>
        <v/>
      </c>
      <c r="BB688" s="84">
        <f t="shared" si="115"/>
        <v>0</v>
      </c>
      <c r="BC688" s="85" t="str">
        <f t="shared" si="116"/>
        <v/>
      </c>
      <c r="BD688" s="86" t="str">
        <f t="shared" si="117"/>
        <v/>
      </c>
      <c r="BE688" s="84">
        <f t="shared" si="118"/>
        <v>0</v>
      </c>
      <c r="BF688" s="87" t="str">
        <f t="shared" si="119"/>
        <v/>
      </c>
      <c r="BG688" s="88" t="str">
        <f t="shared" si="120"/>
        <v/>
      </c>
      <c r="BH688" s="89" t="str">
        <f t="shared" si="121"/>
        <v/>
      </c>
      <c r="BI688" s="90" t="str">
        <f t="shared" si="122"/>
        <v/>
      </c>
      <c r="BJ688" s="90" t="str">
        <f t="shared" si="123"/>
        <v/>
      </c>
      <c r="BK688" s="91">
        <f t="shared" si="124"/>
        <v>0</v>
      </c>
      <c r="BL688" s="92">
        <f t="shared" si="125"/>
        <v>0</v>
      </c>
      <c r="BM688" s="95"/>
    </row>
    <row r="689" spans="1:65">
      <c r="A689" s="61">
        <f t="shared" si="126"/>
        <v>0</v>
      </c>
      <c r="B689" s="62"/>
      <c r="C689" s="62"/>
      <c r="D689" s="63"/>
      <c r="E689" s="64"/>
      <c r="F689" s="64"/>
      <c r="G689" s="65"/>
      <c r="H689" s="66" t="str">
        <f t="shared" si="103"/>
        <v/>
      </c>
      <c r="I689" s="67" t="str">
        <f t="shared" si="104"/>
        <v/>
      </c>
      <c r="J689" s="68" t="str">
        <f t="shared" si="105"/>
        <v/>
      </c>
      <c r="K689" s="69" t="str">
        <f t="shared" si="106"/>
        <v/>
      </c>
      <c r="L689" s="70" t="str">
        <f t="shared" si="107"/>
        <v/>
      </c>
      <c r="M689" s="71"/>
      <c r="N689" s="71"/>
      <c r="O689" s="71"/>
      <c r="P689" s="71"/>
      <c r="Q689" s="61"/>
      <c r="R689" s="63"/>
      <c r="S689" s="72"/>
      <c r="T689" s="61"/>
      <c r="U689" s="73"/>
      <c r="V689" s="62"/>
      <c r="W689" s="62"/>
      <c r="X689" s="62"/>
      <c r="Y689" s="93"/>
      <c r="Z689" s="94"/>
      <c r="AA689" s="74"/>
      <c r="AB689" s="75"/>
      <c r="AC689" s="75"/>
      <c r="AD689" s="76"/>
      <c r="AE689" s="77"/>
      <c r="AF689" s="75"/>
      <c r="AG689" s="78"/>
      <c r="AH689" s="79"/>
      <c r="AI689" s="74"/>
      <c r="AJ689" s="75"/>
      <c r="AK689" s="75"/>
      <c r="AL689" s="80">
        <f t="shared" si="108"/>
        <v>0</v>
      </c>
      <c r="AM689" s="74"/>
      <c r="AN689" s="74"/>
      <c r="AO689" s="81" t="str">
        <f t="shared" si="109"/>
        <v/>
      </c>
      <c r="AP689" s="82"/>
      <c r="AQ689" s="75"/>
      <c r="AR689" s="75"/>
      <c r="AS689" s="80">
        <f t="shared" si="110"/>
        <v>0</v>
      </c>
      <c r="AT689" s="74"/>
      <c r="AU689" s="75"/>
      <c r="AV689" s="75"/>
      <c r="AW689" s="75"/>
      <c r="AX689" s="80">
        <f t="shared" si="111"/>
        <v>0</v>
      </c>
      <c r="AY689" s="81" t="str">
        <f t="shared" si="112"/>
        <v/>
      </c>
      <c r="AZ689" s="83" t="str">
        <f t="shared" si="113"/>
        <v/>
      </c>
      <c r="BA689" s="80" t="str">
        <f t="shared" si="114"/>
        <v/>
      </c>
      <c r="BB689" s="84">
        <f t="shared" si="115"/>
        <v>0</v>
      </c>
      <c r="BC689" s="85" t="str">
        <f t="shared" si="116"/>
        <v/>
      </c>
      <c r="BD689" s="86" t="str">
        <f t="shared" si="117"/>
        <v/>
      </c>
      <c r="BE689" s="84">
        <f t="shared" si="118"/>
        <v>0</v>
      </c>
      <c r="BF689" s="87" t="str">
        <f t="shared" si="119"/>
        <v/>
      </c>
      <c r="BG689" s="88" t="str">
        <f t="shared" si="120"/>
        <v/>
      </c>
      <c r="BH689" s="89" t="str">
        <f t="shared" si="121"/>
        <v/>
      </c>
      <c r="BI689" s="90" t="str">
        <f t="shared" si="122"/>
        <v/>
      </c>
      <c r="BJ689" s="90" t="str">
        <f t="shared" si="123"/>
        <v/>
      </c>
      <c r="BK689" s="91">
        <f t="shared" si="124"/>
        <v>0</v>
      </c>
      <c r="BL689" s="92">
        <f t="shared" si="125"/>
        <v>0</v>
      </c>
      <c r="BM689" s="95"/>
    </row>
    <row r="690" spans="1:65">
      <c r="A690" s="61">
        <f t="shared" si="126"/>
        <v>0</v>
      </c>
      <c r="B690" s="62"/>
      <c r="C690" s="62"/>
      <c r="D690" s="63"/>
      <c r="E690" s="64"/>
      <c r="F690" s="64"/>
      <c r="G690" s="65"/>
      <c r="H690" s="66" t="str">
        <f t="shared" si="103"/>
        <v/>
      </c>
      <c r="I690" s="67" t="str">
        <f t="shared" si="104"/>
        <v/>
      </c>
      <c r="J690" s="68" t="str">
        <f t="shared" si="105"/>
        <v/>
      </c>
      <c r="K690" s="69" t="str">
        <f t="shared" si="106"/>
        <v/>
      </c>
      <c r="L690" s="70" t="str">
        <f t="shared" si="107"/>
        <v/>
      </c>
      <c r="M690" s="71"/>
      <c r="N690" s="71"/>
      <c r="O690" s="71"/>
      <c r="P690" s="71"/>
      <c r="Q690" s="61"/>
      <c r="R690" s="63"/>
      <c r="S690" s="72"/>
      <c r="T690" s="61"/>
      <c r="U690" s="73"/>
      <c r="V690" s="62"/>
      <c r="W690" s="62"/>
      <c r="X690" s="62"/>
      <c r="Y690" s="93"/>
      <c r="Z690" s="94"/>
      <c r="AA690" s="74"/>
      <c r="AB690" s="75"/>
      <c r="AC690" s="75"/>
      <c r="AD690" s="76"/>
      <c r="AE690" s="77"/>
      <c r="AF690" s="75"/>
      <c r="AG690" s="78"/>
      <c r="AH690" s="79"/>
      <c r="AI690" s="74"/>
      <c r="AJ690" s="75"/>
      <c r="AK690" s="75"/>
      <c r="AL690" s="80">
        <f t="shared" si="108"/>
        <v>0</v>
      </c>
      <c r="AM690" s="74"/>
      <c r="AN690" s="74"/>
      <c r="AO690" s="81" t="str">
        <f t="shared" si="109"/>
        <v/>
      </c>
      <c r="AP690" s="82"/>
      <c r="AQ690" s="75"/>
      <c r="AR690" s="75"/>
      <c r="AS690" s="80">
        <f t="shared" si="110"/>
        <v>0</v>
      </c>
      <c r="AT690" s="74"/>
      <c r="AU690" s="75"/>
      <c r="AV690" s="75"/>
      <c r="AW690" s="75"/>
      <c r="AX690" s="80">
        <f t="shared" si="111"/>
        <v>0</v>
      </c>
      <c r="AY690" s="81" t="str">
        <f t="shared" si="112"/>
        <v/>
      </c>
      <c r="AZ690" s="83" t="str">
        <f t="shared" si="113"/>
        <v/>
      </c>
      <c r="BA690" s="80" t="str">
        <f t="shared" si="114"/>
        <v/>
      </c>
      <c r="BB690" s="84">
        <f t="shared" si="115"/>
        <v>0</v>
      </c>
      <c r="BC690" s="85" t="str">
        <f t="shared" si="116"/>
        <v/>
      </c>
      <c r="BD690" s="86" t="str">
        <f t="shared" si="117"/>
        <v/>
      </c>
      <c r="BE690" s="84">
        <f t="shared" si="118"/>
        <v>0</v>
      </c>
      <c r="BF690" s="87" t="str">
        <f t="shared" si="119"/>
        <v/>
      </c>
      <c r="BG690" s="88" t="str">
        <f t="shared" si="120"/>
        <v/>
      </c>
      <c r="BH690" s="89" t="str">
        <f t="shared" si="121"/>
        <v/>
      </c>
      <c r="BI690" s="90" t="str">
        <f t="shared" si="122"/>
        <v/>
      </c>
      <c r="BJ690" s="90" t="str">
        <f t="shared" si="123"/>
        <v/>
      </c>
      <c r="BK690" s="91">
        <f t="shared" si="124"/>
        <v>0</v>
      </c>
      <c r="BL690" s="92">
        <f t="shared" si="125"/>
        <v>0</v>
      </c>
      <c r="BM690" s="95"/>
    </row>
    <row r="691" spans="1:65">
      <c r="A691" s="61">
        <f t="shared" si="126"/>
        <v>0</v>
      </c>
      <c r="B691" s="62"/>
      <c r="C691" s="62"/>
      <c r="D691" s="63"/>
      <c r="E691" s="64"/>
      <c r="F691" s="64"/>
      <c r="G691" s="65"/>
      <c r="H691" s="66" t="str">
        <f t="shared" si="103"/>
        <v/>
      </c>
      <c r="I691" s="67" t="str">
        <f t="shared" si="104"/>
        <v/>
      </c>
      <c r="J691" s="68" t="str">
        <f t="shared" si="105"/>
        <v/>
      </c>
      <c r="K691" s="69" t="str">
        <f t="shared" si="106"/>
        <v/>
      </c>
      <c r="L691" s="70" t="str">
        <f t="shared" si="107"/>
        <v/>
      </c>
      <c r="M691" s="71"/>
      <c r="N691" s="71"/>
      <c r="O691" s="71"/>
      <c r="P691" s="71"/>
      <c r="Q691" s="61"/>
      <c r="R691" s="63"/>
      <c r="S691" s="72"/>
      <c r="T691" s="61"/>
      <c r="U691" s="73"/>
      <c r="V691" s="62"/>
      <c r="W691" s="62"/>
      <c r="X691" s="62"/>
      <c r="Y691" s="93"/>
      <c r="Z691" s="94"/>
      <c r="AA691" s="74"/>
      <c r="AB691" s="75"/>
      <c r="AC691" s="75"/>
      <c r="AD691" s="76"/>
      <c r="AE691" s="77"/>
      <c r="AF691" s="75"/>
      <c r="AG691" s="78"/>
      <c r="AH691" s="79"/>
      <c r="AI691" s="74"/>
      <c r="AJ691" s="75"/>
      <c r="AK691" s="75"/>
      <c r="AL691" s="80">
        <f t="shared" si="108"/>
        <v>0</v>
      </c>
      <c r="AM691" s="74"/>
      <c r="AN691" s="74"/>
      <c r="AO691" s="81" t="str">
        <f t="shared" si="109"/>
        <v/>
      </c>
      <c r="AP691" s="82"/>
      <c r="AQ691" s="75"/>
      <c r="AR691" s="75"/>
      <c r="AS691" s="80">
        <f t="shared" si="110"/>
        <v>0</v>
      </c>
      <c r="AT691" s="74"/>
      <c r="AU691" s="75"/>
      <c r="AV691" s="75"/>
      <c r="AW691" s="75"/>
      <c r="AX691" s="80">
        <f t="shared" si="111"/>
        <v>0</v>
      </c>
      <c r="AY691" s="81" t="str">
        <f t="shared" si="112"/>
        <v/>
      </c>
      <c r="AZ691" s="83" t="str">
        <f t="shared" si="113"/>
        <v/>
      </c>
      <c r="BA691" s="80" t="str">
        <f t="shared" si="114"/>
        <v/>
      </c>
      <c r="BB691" s="84">
        <f t="shared" si="115"/>
        <v>0</v>
      </c>
      <c r="BC691" s="85" t="str">
        <f t="shared" si="116"/>
        <v/>
      </c>
      <c r="BD691" s="86" t="str">
        <f t="shared" si="117"/>
        <v/>
      </c>
      <c r="BE691" s="84">
        <f t="shared" si="118"/>
        <v>0</v>
      </c>
      <c r="BF691" s="87" t="str">
        <f t="shared" si="119"/>
        <v/>
      </c>
      <c r="BG691" s="88" t="str">
        <f t="shared" si="120"/>
        <v/>
      </c>
      <c r="BH691" s="89" t="str">
        <f t="shared" si="121"/>
        <v/>
      </c>
      <c r="BI691" s="90" t="str">
        <f t="shared" si="122"/>
        <v/>
      </c>
      <c r="BJ691" s="90" t="str">
        <f t="shared" si="123"/>
        <v/>
      </c>
      <c r="BK691" s="91">
        <f t="shared" si="124"/>
        <v>0</v>
      </c>
      <c r="BL691" s="92">
        <f t="shared" si="125"/>
        <v>0</v>
      </c>
      <c r="BM691" s="95"/>
    </row>
    <row r="692" spans="1:65">
      <c r="A692" s="61">
        <f t="shared" si="126"/>
        <v>0</v>
      </c>
      <c r="B692" s="62"/>
      <c r="C692" s="62"/>
      <c r="D692" s="63"/>
      <c r="E692" s="64"/>
      <c r="F692" s="64"/>
      <c r="G692" s="65"/>
      <c r="H692" s="66" t="str">
        <f t="shared" si="103"/>
        <v/>
      </c>
      <c r="I692" s="67" t="str">
        <f t="shared" si="104"/>
        <v/>
      </c>
      <c r="J692" s="68" t="str">
        <f t="shared" si="105"/>
        <v/>
      </c>
      <c r="K692" s="69" t="str">
        <f t="shared" si="106"/>
        <v/>
      </c>
      <c r="L692" s="70" t="str">
        <f t="shared" si="107"/>
        <v/>
      </c>
      <c r="M692" s="71"/>
      <c r="N692" s="71"/>
      <c r="O692" s="71"/>
      <c r="P692" s="71"/>
      <c r="Q692" s="61"/>
      <c r="R692" s="63"/>
      <c r="S692" s="72"/>
      <c r="T692" s="61"/>
      <c r="U692" s="73"/>
      <c r="V692" s="62"/>
      <c r="W692" s="62"/>
      <c r="X692" s="62"/>
      <c r="Y692" s="93"/>
      <c r="Z692" s="94"/>
      <c r="AA692" s="74"/>
      <c r="AB692" s="75"/>
      <c r="AC692" s="75"/>
      <c r="AD692" s="76"/>
      <c r="AE692" s="77"/>
      <c r="AF692" s="75"/>
      <c r="AG692" s="78"/>
      <c r="AH692" s="79"/>
      <c r="AI692" s="74"/>
      <c r="AJ692" s="75"/>
      <c r="AK692" s="75"/>
      <c r="AL692" s="80">
        <f t="shared" si="108"/>
        <v>0</v>
      </c>
      <c r="AM692" s="74"/>
      <c r="AN692" s="74"/>
      <c r="AO692" s="81" t="str">
        <f t="shared" si="109"/>
        <v/>
      </c>
      <c r="AP692" s="82"/>
      <c r="AQ692" s="75"/>
      <c r="AR692" s="75"/>
      <c r="AS692" s="80">
        <f t="shared" si="110"/>
        <v>0</v>
      </c>
      <c r="AT692" s="74"/>
      <c r="AU692" s="75"/>
      <c r="AV692" s="75"/>
      <c r="AW692" s="75"/>
      <c r="AX692" s="80">
        <f t="shared" si="111"/>
        <v>0</v>
      </c>
      <c r="AY692" s="81" t="str">
        <f t="shared" si="112"/>
        <v/>
      </c>
      <c r="AZ692" s="83" t="str">
        <f t="shared" si="113"/>
        <v/>
      </c>
      <c r="BA692" s="80" t="str">
        <f t="shared" si="114"/>
        <v/>
      </c>
      <c r="BB692" s="84">
        <f t="shared" si="115"/>
        <v>0</v>
      </c>
      <c r="BC692" s="85" t="str">
        <f t="shared" si="116"/>
        <v/>
      </c>
      <c r="BD692" s="86" t="str">
        <f t="shared" si="117"/>
        <v/>
      </c>
      <c r="BE692" s="84">
        <f t="shared" si="118"/>
        <v>0</v>
      </c>
      <c r="BF692" s="87" t="str">
        <f t="shared" si="119"/>
        <v/>
      </c>
      <c r="BG692" s="88" t="str">
        <f t="shared" si="120"/>
        <v/>
      </c>
      <c r="BH692" s="89" t="str">
        <f t="shared" si="121"/>
        <v/>
      </c>
      <c r="BI692" s="90" t="str">
        <f t="shared" si="122"/>
        <v/>
      </c>
      <c r="BJ692" s="90" t="str">
        <f t="shared" si="123"/>
        <v/>
      </c>
      <c r="BK692" s="91">
        <f t="shared" si="124"/>
        <v>0</v>
      </c>
      <c r="BL692" s="92">
        <f t="shared" si="125"/>
        <v>0</v>
      </c>
      <c r="BM692" s="95"/>
    </row>
    <row r="693" spans="1:65">
      <c r="A693" s="61">
        <f t="shared" si="126"/>
        <v>0</v>
      </c>
      <c r="B693" s="62"/>
      <c r="C693" s="62"/>
      <c r="D693" s="63"/>
      <c r="E693" s="64"/>
      <c r="F693" s="64"/>
      <c r="G693" s="65"/>
      <c r="H693" s="66" t="str">
        <f t="shared" si="103"/>
        <v/>
      </c>
      <c r="I693" s="67" t="str">
        <f t="shared" si="104"/>
        <v/>
      </c>
      <c r="J693" s="68" t="str">
        <f t="shared" si="105"/>
        <v/>
      </c>
      <c r="K693" s="69" t="str">
        <f t="shared" si="106"/>
        <v/>
      </c>
      <c r="L693" s="70" t="str">
        <f t="shared" si="107"/>
        <v/>
      </c>
      <c r="M693" s="71"/>
      <c r="N693" s="71"/>
      <c r="O693" s="71"/>
      <c r="P693" s="71"/>
      <c r="Q693" s="61"/>
      <c r="R693" s="63"/>
      <c r="S693" s="72"/>
      <c r="T693" s="61"/>
      <c r="U693" s="73"/>
      <c r="V693" s="62"/>
      <c r="W693" s="62"/>
      <c r="X693" s="62"/>
      <c r="Y693" s="93"/>
      <c r="Z693" s="94"/>
      <c r="AA693" s="74"/>
      <c r="AB693" s="75"/>
      <c r="AC693" s="75"/>
      <c r="AD693" s="76"/>
      <c r="AE693" s="77"/>
      <c r="AF693" s="75"/>
      <c r="AG693" s="78"/>
      <c r="AH693" s="79"/>
      <c r="AI693" s="74"/>
      <c r="AJ693" s="75"/>
      <c r="AK693" s="75"/>
      <c r="AL693" s="80">
        <f t="shared" si="108"/>
        <v>0</v>
      </c>
      <c r="AM693" s="74"/>
      <c r="AN693" s="74"/>
      <c r="AO693" s="81" t="str">
        <f t="shared" si="109"/>
        <v/>
      </c>
      <c r="AP693" s="82"/>
      <c r="AQ693" s="75"/>
      <c r="AR693" s="75"/>
      <c r="AS693" s="80">
        <f t="shared" si="110"/>
        <v>0</v>
      </c>
      <c r="AT693" s="74"/>
      <c r="AU693" s="75"/>
      <c r="AV693" s="75"/>
      <c r="AW693" s="75"/>
      <c r="AX693" s="80">
        <f t="shared" si="111"/>
        <v>0</v>
      </c>
      <c r="AY693" s="81" t="str">
        <f t="shared" si="112"/>
        <v/>
      </c>
      <c r="AZ693" s="83" t="str">
        <f t="shared" si="113"/>
        <v/>
      </c>
      <c r="BA693" s="80" t="str">
        <f t="shared" si="114"/>
        <v/>
      </c>
      <c r="BB693" s="84">
        <f t="shared" si="115"/>
        <v>0</v>
      </c>
      <c r="BC693" s="85" t="str">
        <f t="shared" si="116"/>
        <v/>
      </c>
      <c r="BD693" s="86" t="str">
        <f t="shared" si="117"/>
        <v/>
      </c>
      <c r="BE693" s="84">
        <f t="shared" si="118"/>
        <v>0</v>
      </c>
      <c r="BF693" s="87" t="str">
        <f t="shared" si="119"/>
        <v/>
      </c>
      <c r="BG693" s="88" t="str">
        <f t="shared" si="120"/>
        <v/>
      </c>
      <c r="BH693" s="89" t="str">
        <f t="shared" si="121"/>
        <v/>
      </c>
      <c r="BI693" s="90" t="str">
        <f t="shared" si="122"/>
        <v/>
      </c>
      <c r="BJ693" s="90" t="str">
        <f t="shared" si="123"/>
        <v/>
      </c>
      <c r="BK693" s="91">
        <f t="shared" si="124"/>
        <v>0</v>
      </c>
      <c r="BL693" s="92">
        <f t="shared" si="125"/>
        <v>0</v>
      </c>
      <c r="BM693" s="95"/>
    </row>
    <row r="694" spans="1:65">
      <c r="A694" s="61">
        <f t="shared" si="126"/>
        <v>0</v>
      </c>
      <c r="B694" s="62"/>
      <c r="C694" s="62"/>
      <c r="D694" s="63"/>
      <c r="E694" s="64"/>
      <c r="F694" s="64"/>
      <c r="G694" s="65"/>
      <c r="H694" s="66" t="str">
        <f t="shared" si="103"/>
        <v/>
      </c>
      <c r="I694" s="67" t="str">
        <f t="shared" si="104"/>
        <v/>
      </c>
      <c r="J694" s="68" t="str">
        <f t="shared" si="105"/>
        <v/>
      </c>
      <c r="K694" s="69" t="str">
        <f t="shared" si="106"/>
        <v/>
      </c>
      <c r="L694" s="70" t="str">
        <f t="shared" si="107"/>
        <v/>
      </c>
      <c r="M694" s="71"/>
      <c r="N694" s="71"/>
      <c r="O694" s="71"/>
      <c r="P694" s="71"/>
      <c r="Q694" s="61"/>
      <c r="R694" s="63"/>
      <c r="S694" s="72"/>
      <c r="T694" s="61"/>
      <c r="U694" s="73"/>
      <c r="V694" s="62"/>
      <c r="W694" s="62"/>
      <c r="X694" s="62"/>
      <c r="Y694" s="93"/>
      <c r="Z694" s="94"/>
      <c r="AA694" s="74"/>
      <c r="AB694" s="75"/>
      <c r="AC694" s="75"/>
      <c r="AD694" s="76"/>
      <c r="AE694" s="77"/>
      <c r="AF694" s="75"/>
      <c r="AG694" s="78"/>
      <c r="AH694" s="79"/>
      <c r="AI694" s="74"/>
      <c r="AJ694" s="75"/>
      <c r="AK694" s="75"/>
      <c r="AL694" s="80">
        <f t="shared" si="108"/>
        <v>0</v>
      </c>
      <c r="AM694" s="74"/>
      <c r="AN694" s="74"/>
      <c r="AO694" s="81" t="str">
        <f t="shared" si="109"/>
        <v/>
      </c>
      <c r="AP694" s="82"/>
      <c r="AQ694" s="75"/>
      <c r="AR694" s="75"/>
      <c r="AS694" s="80">
        <f t="shared" si="110"/>
        <v>0</v>
      </c>
      <c r="AT694" s="74"/>
      <c r="AU694" s="75"/>
      <c r="AV694" s="75"/>
      <c r="AW694" s="75"/>
      <c r="AX694" s="80">
        <f t="shared" si="111"/>
        <v>0</v>
      </c>
      <c r="AY694" s="81" t="str">
        <f t="shared" si="112"/>
        <v/>
      </c>
      <c r="AZ694" s="83" t="str">
        <f t="shared" si="113"/>
        <v/>
      </c>
      <c r="BA694" s="80" t="str">
        <f t="shared" si="114"/>
        <v/>
      </c>
      <c r="BB694" s="84">
        <f t="shared" si="115"/>
        <v>0</v>
      </c>
      <c r="BC694" s="85" t="str">
        <f t="shared" si="116"/>
        <v/>
      </c>
      <c r="BD694" s="86" t="str">
        <f t="shared" si="117"/>
        <v/>
      </c>
      <c r="BE694" s="84">
        <f t="shared" si="118"/>
        <v>0</v>
      </c>
      <c r="BF694" s="87" t="str">
        <f t="shared" si="119"/>
        <v/>
      </c>
      <c r="BG694" s="88" t="str">
        <f t="shared" si="120"/>
        <v/>
      </c>
      <c r="BH694" s="89" t="str">
        <f t="shared" si="121"/>
        <v/>
      </c>
      <c r="BI694" s="90" t="str">
        <f t="shared" si="122"/>
        <v/>
      </c>
      <c r="BJ694" s="90" t="str">
        <f t="shared" si="123"/>
        <v/>
      </c>
      <c r="BK694" s="91">
        <f t="shared" si="124"/>
        <v>0</v>
      </c>
      <c r="BL694" s="92">
        <f t="shared" si="125"/>
        <v>0</v>
      </c>
      <c r="BM694" s="95"/>
    </row>
    <row r="695" spans="1:65">
      <c r="A695" s="61">
        <f t="shared" si="126"/>
        <v>0</v>
      </c>
      <c r="B695" s="62"/>
      <c r="C695" s="62"/>
      <c r="D695" s="63"/>
      <c r="E695" s="64"/>
      <c r="F695" s="64"/>
      <c r="G695" s="65"/>
      <c r="H695" s="66" t="str">
        <f t="shared" si="103"/>
        <v/>
      </c>
      <c r="I695" s="67" t="str">
        <f t="shared" si="104"/>
        <v/>
      </c>
      <c r="J695" s="68" t="str">
        <f t="shared" si="105"/>
        <v/>
      </c>
      <c r="K695" s="69" t="str">
        <f t="shared" si="106"/>
        <v/>
      </c>
      <c r="L695" s="70" t="str">
        <f t="shared" si="107"/>
        <v/>
      </c>
      <c r="M695" s="71"/>
      <c r="N695" s="71"/>
      <c r="O695" s="71"/>
      <c r="P695" s="71"/>
      <c r="Q695" s="61"/>
      <c r="R695" s="63"/>
      <c r="S695" s="72"/>
      <c r="T695" s="61"/>
      <c r="U695" s="73"/>
      <c r="V695" s="62"/>
      <c r="W695" s="62"/>
      <c r="X695" s="62"/>
      <c r="Y695" s="93"/>
      <c r="Z695" s="94"/>
      <c r="AA695" s="74"/>
      <c r="AB695" s="75"/>
      <c r="AC695" s="75"/>
      <c r="AD695" s="76"/>
      <c r="AE695" s="77"/>
      <c r="AF695" s="75"/>
      <c r="AG695" s="78"/>
      <c r="AH695" s="79"/>
      <c r="AI695" s="74"/>
      <c r="AJ695" s="75"/>
      <c r="AK695" s="75"/>
      <c r="AL695" s="80">
        <f t="shared" si="108"/>
        <v>0</v>
      </c>
      <c r="AM695" s="74"/>
      <c r="AN695" s="74"/>
      <c r="AO695" s="81" t="str">
        <f t="shared" si="109"/>
        <v/>
      </c>
      <c r="AP695" s="82"/>
      <c r="AQ695" s="75"/>
      <c r="AR695" s="75"/>
      <c r="AS695" s="80">
        <f t="shared" si="110"/>
        <v>0</v>
      </c>
      <c r="AT695" s="74"/>
      <c r="AU695" s="75"/>
      <c r="AV695" s="75"/>
      <c r="AW695" s="75"/>
      <c r="AX695" s="80">
        <f t="shared" si="111"/>
        <v>0</v>
      </c>
      <c r="AY695" s="81" t="str">
        <f t="shared" si="112"/>
        <v/>
      </c>
      <c r="AZ695" s="83" t="str">
        <f t="shared" si="113"/>
        <v/>
      </c>
      <c r="BA695" s="80" t="str">
        <f t="shared" si="114"/>
        <v/>
      </c>
      <c r="BB695" s="84">
        <f t="shared" si="115"/>
        <v>0</v>
      </c>
      <c r="BC695" s="85" t="str">
        <f t="shared" si="116"/>
        <v/>
      </c>
      <c r="BD695" s="86" t="str">
        <f t="shared" si="117"/>
        <v/>
      </c>
      <c r="BE695" s="84">
        <f t="shared" si="118"/>
        <v>0</v>
      </c>
      <c r="BF695" s="87" t="str">
        <f t="shared" si="119"/>
        <v/>
      </c>
      <c r="BG695" s="88" t="str">
        <f t="shared" si="120"/>
        <v/>
      </c>
      <c r="BH695" s="89" t="str">
        <f t="shared" si="121"/>
        <v/>
      </c>
      <c r="BI695" s="90" t="str">
        <f t="shared" si="122"/>
        <v/>
      </c>
      <c r="BJ695" s="90" t="str">
        <f t="shared" si="123"/>
        <v/>
      </c>
      <c r="BK695" s="91">
        <f t="shared" si="124"/>
        <v>0</v>
      </c>
      <c r="BL695" s="92">
        <f t="shared" si="125"/>
        <v>0</v>
      </c>
      <c r="BM695" s="95"/>
    </row>
    <row r="696" spans="1:65">
      <c r="A696" s="61">
        <f t="shared" si="126"/>
        <v>0</v>
      </c>
      <c r="B696" s="62"/>
      <c r="C696" s="62"/>
      <c r="D696" s="63"/>
      <c r="E696" s="64"/>
      <c r="F696" s="64"/>
      <c r="G696" s="65"/>
      <c r="H696" s="66" t="str">
        <f t="shared" si="103"/>
        <v/>
      </c>
      <c r="I696" s="67" t="str">
        <f t="shared" si="104"/>
        <v/>
      </c>
      <c r="J696" s="68" t="str">
        <f t="shared" si="105"/>
        <v/>
      </c>
      <c r="K696" s="69" t="str">
        <f t="shared" si="106"/>
        <v/>
      </c>
      <c r="L696" s="70" t="str">
        <f t="shared" si="107"/>
        <v/>
      </c>
      <c r="M696" s="71"/>
      <c r="N696" s="71"/>
      <c r="O696" s="71"/>
      <c r="P696" s="71"/>
      <c r="Q696" s="61"/>
      <c r="R696" s="63"/>
      <c r="S696" s="72"/>
      <c r="T696" s="61"/>
      <c r="U696" s="73"/>
      <c r="V696" s="62"/>
      <c r="W696" s="62"/>
      <c r="X696" s="62"/>
      <c r="Y696" s="93"/>
      <c r="Z696" s="94"/>
      <c r="AA696" s="74"/>
      <c r="AB696" s="75"/>
      <c r="AC696" s="75"/>
      <c r="AD696" s="76"/>
      <c r="AE696" s="77"/>
      <c r="AF696" s="75"/>
      <c r="AG696" s="78"/>
      <c r="AH696" s="79"/>
      <c r="AI696" s="74"/>
      <c r="AJ696" s="75"/>
      <c r="AK696" s="75"/>
      <c r="AL696" s="80">
        <f t="shared" si="108"/>
        <v>0</v>
      </c>
      <c r="AM696" s="74"/>
      <c r="AN696" s="74"/>
      <c r="AO696" s="81" t="str">
        <f t="shared" si="109"/>
        <v/>
      </c>
      <c r="AP696" s="82"/>
      <c r="AQ696" s="75"/>
      <c r="AR696" s="75"/>
      <c r="AS696" s="80">
        <f t="shared" si="110"/>
        <v>0</v>
      </c>
      <c r="AT696" s="74"/>
      <c r="AU696" s="75"/>
      <c r="AV696" s="75"/>
      <c r="AW696" s="75"/>
      <c r="AX696" s="80">
        <f t="shared" si="111"/>
        <v>0</v>
      </c>
      <c r="AY696" s="81" t="str">
        <f t="shared" si="112"/>
        <v/>
      </c>
      <c r="AZ696" s="83" t="str">
        <f t="shared" si="113"/>
        <v/>
      </c>
      <c r="BA696" s="80" t="str">
        <f t="shared" si="114"/>
        <v/>
      </c>
      <c r="BB696" s="84">
        <f t="shared" si="115"/>
        <v>0</v>
      </c>
      <c r="BC696" s="85" t="str">
        <f t="shared" si="116"/>
        <v/>
      </c>
      <c r="BD696" s="86" t="str">
        <f t="shared" si="117"/>
        <v/>
      </c>
      <c r="BE696" s="84">
        <f t="shared" si="118"/>
        <v>0</v>
      </c>
      <c r="BF696" s="87" t="str">
        <f t="shared" si="119"/>
        <v/>
      </c>
      <c r="BG696" s="88" t="str">
        <f t="shared" si="120"/>
        <v/>
      </c>
      <c r="BH696" s="89" t="str">
        <f t="shared" si="121"/>
        <v/>
      </c>
      <c r="BI696" s="90" t="str">
        <f t="shared" si="122"/>
        <v/>
      </c>
      <c r="BJ696" s="90" t="str">
        <f t="shared" si="123"/>
        <v/>
      </c>
      <c r="BK696" s="91">
        <f t="shared" si="124"/>
        <v>0</v>
      </c>
      <c r="BL696" s="92">
        <f t="shared" si="125"/>
        <v>0</v>
      </c>
      <c r="BM696" s="95"/>
    </row>
    <row r="697" spans="1:65">
      <c r="A697" s="61">
        <f t="shared" si="126"/>
        <v>0</v>
      </c>
      <c r="B697" s="62"/>
      <c r="C697" s="62"/>
      <c r="D697" s="63"/>
      <c r="E697" s="64"/>
      <c r="F697" s="64"/>
      <c r="G697" s="65"/>
      <c r="H697" s="66" t="str">
        <f t="shared" si="103"/>
        <v/>
      </c>
      <c r="I697" s="67" t="str">
        <f t="shared" si="104"/>
        <v/>
      </c>
      <c r="J697" s="68" t="str">
        <f t="shared" si="105"/>
        <v/>
      </c>
      <c r="K697" s="69" t="str">
        <f t="shared" si="106"/>
        <v/>
      </c>
      <c r="L697" s="70" t="str">
        <f t="shared" si="107"/>
        <v/>
      </c>
      <c r="M697" s="71"/>
      <c r="N697" s="71"/>
      <c r="O697" s="71"/>
      <c r="P697" s="71"/>
      <c r="Q697" s="61"/>
      <c r="R697" s="63"/>
      <c r="S697" s="72"/>
      <c r="T697" s="61"/>
      <c r="U697" s="73"/>
      <c r="V697" s="62"/>
      <c r="W697" s="62"/>
      <c r="X697" s="62"/>
      <c r="Y697" s="93"/>
      <c r="Z697" s="94"/>
      <c r="AA697" s="74"/>
      <c r="AB697" s="75"/>
      <c r="AC697" s="75"/>
      <c r="AD697" s="76"/>
      <c r="AE697" s="77"/>
      <c r="AF697" s="75"/>
      <c r="AG697" s="78"/>
      <c r="AH697" s="79"/>
      <c r="AI697" s="74"/>
      <c r="AJ697" s="75"/>
      <c r="AK697" s="75"/>
      <c r="AL697" s="80">
        <f t="shared" si="108"/>
        <v>0</v>
      </c>
      <c r="AM697" s="74"/>
      <c r="AN697" s="74"/>
      <c r="AO697" s="81" t="str">
        <f t="shared" si="109"/>
        <v/>
      </c>
      <c r="AP697" s="82"/>
      <c r="AQ697" s="75"/>
      <c r="AR697" s="75"/>
      <c r="AS697" s="80">
        <f t="shared" si="110"/>
        <v>0</v>
      </c>
      <c r="AT697" s="74"/>
      <c r="AU697" s="75"/>
      <c r="AV697" s="75"/>
      <c r="AW697" s="75"/>
      <c r="AX697" s="80">
        <f t="shared" si="111"/>
        <v>0</v>
      </c>
      <c r="AY697" s="81" t="str">
        <f t="shared" si="112"/>
        <v/>
      </c>
      <c r="AZ697" s="83" t="str">
        <f t="shared" si="113"/>
        <v/>
      </c>
      <c r="BA697" s="80" t="str">
        <f t="shared" si="114"/>
        <v/>
      </c>
      <c r="BB697" s="84">
        <f t="shared" si="115"/>
        <v>0</v>
      </c>
      <c r="BC697" s="85" t="str">
        <f t="shared" si="116"/>
        <v/>
      </c>
      <c r="BD697" s="86" t="str">
        <f t="shared" si="117"/>
        <v/>
      </c>
      <c r="BE697" s="84">
        <f t="shared" si="118"/>
        <v>0</v>
      </c>
      <c r="BF697" s="87" t="str">
        <f t="shared" si="119"/>
        <v/>
      </c>
      <c r="BG697" s="88" t="str">
        <f t="shared" si="120"/>
        <v/>
      </c>
      <c r="BH697" s="89" t="str">
        <f t="shared" si="121"/>
        <v/>
      </c>
      <c r="BI697" s="90" t="str">
        <f t="shared" si="122"/>
        <v/>
      </c>
      <c r="BJ697" s="90" t="str">
        <f t="shared" si="123"/>
        <v/>
      </c>
      <c r="BK697" s="91">
        <f t="shared" si="124"/>
        <v>0</v>
      </c>
      <c r="BL697" s="92">
        <f t="shared" si="125"/>
        <v>0</v>
      </c>
      <c r="BM697" s="95"/>
    </row>
    <row r="698" spans="1:65">
      <c r="A698" s="61">
        <f t="shared" si="126"/>
        <v>0</v>
      </c>
      <c r="B698" s="62"/>
      <c r="C698" s="62"/>
      <c r="D698" s="63"/>
      <c r="E698" s="64"/>
      <c r="F698" s="64"/>
      <c r="G698" s="65"/>
      <c r="H698" s="66" t="str">
        <f t="shared" si="103"/>
        <v/>
      </c>
      <c r="I698" s="67" t="str">
        <f t="shared" si="104"/>
        <v/>
      </c>
      <c r="J698" s="68" t="str">
        <f t="shared" si="105"/>
        <v/>
      </c>
      <c r="K698" s="69" t="str">
        <f t="shared" si="106"/>
        <v/>
      </c>
      <c r="L698" s="70" t="str">
        <f t="shared" si="107"/>
        <v/>
      </c>
      <c r="M698" s="71"/>
      <c r="N698" s="71"/>
      <c r="O698" s="71"/>
      <c r="P698" s="71"/>
      <c r="Q698" s="61"/>
      <c r="R698" s="63"/>
      <c r="S698" s="72"/>
      <c r="T698" s="61"/>
      <c r="U698" s="73"/>
      <c r="V698" s="62"/>
      <c r="W698" s="62"/>
      <c r="X698" s="62"/>
      <c r="Y698" s="93"/>
      <c r="Z698" s="94"/>
      <c r="AA698" s="74"/>
      <c r="AB698" s="75"/>
      <c r="AC698" s="75"/>
      <c r="AD698" s="76"/>
      <c r="AE698" s="77"/>
      <c r="AF698" s="75"/>
      <c r="AG698" s="78"/>
      <c r="AH698" s="79"/>
      <c r="AI698" s="74"/>
      <c r="AJ698" s="75"/>
      <c r="AK698" s="75"/>
      <c r="AL698" s="80">
        <f t="shared" si="108"/>
        <v>0</v>
      </c>
      <c r="AM698" s="74"/>
      <c r="AN698" s="74"/>
      <c r="AO698" s="81" t="str">
        <f t="shared" si="109"/>
        <v/>
      </c>
      <c r="AP698" s="82"/>
      <c r="AQ698" s="75"/>
      <c r="AR698" s="75"/>
      <c r="AS698" s="80">
        <f t="shared" si="110"/>
        <v>0</v>
      </c>
      <c r="AT698" s="74"/>
      <c r="AU698" s="75"/>
      <c r="AV698" s="75"/>
      <c r="AW698" s="75"/>
      <c r="AX698" s="80">
        <f t="shared" si="111"/>
        <v>0</v>
      </c>
      <c r="AY698" s="81" t="str">
        <f t="shared" si="112"/>
        <v/>
      </c>
      <c r="AZ698" s="83" t="str">
        <f t="shared" si="113"/>
        <v/>
      </c>
      <c r="BA698" s="80" t="str">
        <f t="shared" si="114"/>
        <v/>
      </c>
      <c r="BB698" s="84">
        <f t="shared" si="115"/>
        <v>0</v>
      </c>
      <c r="BC698" s="85" t="str">
        <f t="shared" si="116"/>
        <v/>
      </c>
      <c r="BD698" s="86" t="str">
        <f t="shared" si="117"/>
        <v/>
      </c>
      <c r="BE698" s="84">
        <f t="shared" si="118"/>
        <v>0</v>
      </c>
      <c r="BF698" s="87" t="str">
        <f t="shared" si="119"/>
        <v/>
      </c>
      <c r="BG698" s="88" t="str">
        <f t="shared" si="120"/>
        <v/>
      </c>
      <c r="BH698" s="89" t="str">
        <f t="shared" si="121"/>
        <v/>
      </c>
      <c r="BI698" s="90" t="str">
        <f t="shared" si="122"/>
        <v/>
      </c>
      <c r="BJ698" s="90" t="str">
        <f t="shared" si="123"/>
        <v/>
      </c>
      <c r="BK698" s="91">
        <f t="shared" si="124"/>
        <v>0</v>
      </c>
      <c r="BL698" s="92">
        <f t="shared" si="125"/>
        <v>0</v>
      </c>
      <c r="BM698" s="95"/>
    </row>
    <row r="699" spans="1:65">
      <c r="A699" s="61">
        <f t="shared" si="126"/>
        <v>0</v>
      </c>
      <c r="B699" s="62"/>
      <c r="C699" s="62"/>
      <c r="D699" s="63"/>
      <c r="E699" s="64"/>
      <c r="F699" s="64"/>
      <c r="G699" s="65"/>
      <c r="H699" s="66" t="str">
        <f t="shared" si="103"/>
        <v/>
      </c>
      <c r="I699" s="67" t="str">
        <f t="shared" si="104"/>
        <v/>
      </c>
      <c r="J699" s="68" t="str">
        <f t="shared" si="105"/>
        <v/>
      </c>
      <c r="K699" s="69" t="str">
        <f t="shared" si="106"/>
        <v/>
      </c>
      <c r="L699" s="70" t="str">
        <f t="shared" si="107"/>
        <v/>
      </c>
      <c r="M699" s="71"/>
      <c r="N699" s="71"/>
      <c r="O699" s="71"/>
      <c r="P699" s="71"/>
      <c r="Q699" s="61"/>
      <c r="R699" s="63"/>
      <c r="S699" s="72"/>
      <c r="T699" s="61"/>
      <c r="U699" s="73"/>
      <c r="V699" s="62"/>
      <c r="W699" s="62"/>
      <c r="X699" s="62"/>
      <c r="Y699" s="93"/>
      <c r="Z699" s="94"/>
      <c r="AA699" s="74"/>
      <c r="AB699" s="75"/>
      <c r="AC699" s="75"/>
      <c r="AD699" s="76"/>
      <c r="AE699" s="77"/>
      <c r="AF699" s="75"/>
      <c r="AG699" s="78"/>
      <c r="AH699" s="79"/>
      <c r="AI699" s="74"/>
      <c r="AJ699" s="75"/>
      <c r="AK699" s="75"/>
      <c r="AL699" s="80">
        <f t="shared" si="108"/>
        <v>0</v>
      </c>
      <c r="AM699" s="74"/>
      <c r="AN699" s="74"/>
      <c r="AO699" s="81" t="str">
        <f t="shared" si="109"/>
        <v/>
      </c>
      <c r="AP699" s="82"/>
      <c r="AQ699" s="75"/>
      <c r="AR699" s="75"/>
      <c r="AS699" s="80">
        <f t="shared" si="110"/>
        <v>0</v>
      </c>
      <c r="AT699" s="74"/>
      <c r="AU699" s="75"/>
      <c r="AV699" s="75"/>
      <c r="AW699" s="75"/>
      <c r="AX699" s="80">
        <f t="shared" si="111"/>
        <v>0</v>
      </c>
      <c r="AY699" s="81" t="str">
        <f t="shared" si="112"/>
        <v/>
      </c>
      <c r="AZ699" s="83" t="str">
        <f t="shared" si="113"/>
        <v/>
      </c>
      <c r="BA699" s="80" t="str">
        <f t="shared" si="114"/>
        <v/>
      </c>
      <c r="BB699" s="84">
        <f t="shared" si="115"/>
        <v>0</v>
      </c>
      <c r="BC699" s="85" t="str">
        <f t="shared" si="116"/>
        <v/>
      </c>
      <c r="BD699" s="86" t="str">
        <f t="shared" si="117"/>
        <v/>
      </c>
      <c r="BE699" s="84">
        <f t="shared" si="118"/>
        <v>0</v>
      </c>
      <c r="BF699" s="87" t="str">
        <f t="shared" si="119"/>
        <v/>
      </c>
      <c r="BG699" s="88" t="str">
        <f t="shared" si="120"/>
        <v/>
      </c>
      <c r="BH699" s="89" t="str">
        <f t="shared" si="121"/>
        <v/>
      </c>
      <c r="BI699" s="90" t="str">
        <f t="shared" si="122"/>
        <v/>
      </c>
      <c r="BJ699" s="90" t="str">
        <f t="shared" si="123"/>
        <v/>
      </c>
      <c r="BK699" s="91">
        <f t="shared" si="124"/>
        <v>0</v>
      </c>
      <c r="BL699" s="92">
        <f t="shared" si="125"/>
        <v>0</v>
      </c>
      <c r="BM699" s="95"/>
    </row>
    <row r="700" spans="1:65">
      <c r="A700" s="61">
        <f t="shared" si="126"/>
        <v>0</v>
      </c>
      <c r="B700" s="62"/>
      <c r="C700" s="62"/>
      <c r="D700" s="63"/>
      <c r="E700" s="64"/>
      <c r="F700" s="64"/>
      <c r="G700" s="65"/>
      <c r="H700" s="66" t="str">
        <f t="shared" si="103"/>
        <v/>
      </c>
      <c r="I700" s="67" t="str">
        <f t="shared" si="104"/>
        <v/>
      </c>
      <c r="J700" s="68" t="str">
        <f t="shared" si="105"/>
        <v/>
      </c>
      <c r="K700" s="69" t="str">
        <f t="shared" si="106"/>
        <v/>
      </c>
      <c r="L700" s="70" t="str">
        <f t="shared" si="107"/>
        <v/>
      </c>
      <c r="M700" s="71"/>
      <c r="N700" s="71"/>
      <c r="O700" s="71"/>
      <c r="P700" s="71"/>
      <c r="Q700" s="61"/>
      <c r="R700" s="63"/>
      <c r="S700" s="72"/>
      <c r="T700" s="61"/>
      <c r="U700" s="73"/>
      <c r="V700" s="62"/>
      <c r="W700" s="62"/>
      <c r="X700" s="62"/>
      <c r="Y700" s="93"/>
      <c r="Z700" s="94"/>
      <c r="AA700" s="74"/>
      <c r="AB700" s="75"/>
      <c r="AC700" s="75"/>
      <c r="AD700" s="76"/>
      <c r="AE700" s="77"/>
      <c r="AF700" s="75"/>
      <c r="AG700" s="78"/>
      <c r="AH700" s="79"/>
      <c r="AI700" s="74"/>
      <c r="AJ700" s="75"/>
      <c r="AK700" s="75"/>
      <c r="AL700" s="80">
        <f t="shared" si="108"/>
        <v>0</v>
      </c>
      <c r="AM700" s="74"/>
      <c r="AN700" s="74"/>
      <c r="AO700" s="81" t="str">
        <f t="shared" si="109"/>
        <v/>
      </c>
      <c r="AP700" s="82"/>
      <c r="AQ700" s="75"/>
      <c r="AR700" s="75"/>
      <c r="AS700" s="80">
        <f t="shared" si="110"/>
        <v>0</v>
      </c>
      <c r="AT700" s="74"/>
      <c r="AU700" s="75"/>
      <c r="AV700" s="75"/>
      <c r="AW700" s="75"/>
      <c r="AX700" s="80">
        <f t="shared" si="111"/>
        <v>0</v>
      </c>
      <c r="AY700" s="81" t="str">
        <f t="shared" si="112"/>
        <v/>
      </c>
      <c r="AZ700" s="83" t="str">
        <f t="shared" si="113"/>
        <v/>
      </c>
      <c r="BA700" s="80" t="str">
        <f t="shared" si="114"/>
        <v/>
      </c>
      <c r="BB700" s="84">
        <f t="shared" si="115"/>
        <v>0</v>
      </c>
      <c r="BC700" s="85" t="str">
        <f t="shared" si="116"/>
        <v/>
      </c>
      <c r="BD700" s="86" t="str">
        <f t="shared" si="117"/>
        <v/>
      </c>
      <c r="BE700" s="84">
        <f t="shared" si="118"/>
        <v>0</v>
      </c>
      <c r="BF700" s="87" t="str">
        <f t="shared" si="119"/>
        <v/>
      </c>
      <c r="BG700" s="88" t="str">
        <f t="shared" si="120"/>
        <v/>
      </c>
      <c r="BH700" s="89" t="str">
        <f t="shared" si="121"/>
        <v/>
      </c>
      <c r="BI700" s="90" t="str">
        <f t="shared" si="122"/>
        <v/>
      </c>
      <c r="BJ700" s="90" t="str">
        <f t="shared" si="123"/>
        <v/>
      </c>
      <c r="BK700" s="91">
        <f t="shared" si="124"/>
        <v>0</v>
      </c>
      <c r="BL700" s="92">
        <f t="shared" si="125"/>
        <v>0</v>
      </c>
      <c r="BM700" s="95"/>
    </row>
    <row r="701" spans="1:65">
      <c r="A701" s="61">
        <f t="shared" si="126"/>
        <v>0</v>
      </c>
      <c r="B701" s="62"/>
      <c r="C701" s="62"/>
      <c r="D701" s="63"/>
      <c r="E701" s="64"/>
      <c r="F701" s="64"/>
      <c r="G701" s="65"/>
      <c r="H701" s="66" t="str">
        <f t="shared" si="103"/>
        <v/>
      </c>
      <c r="I701" s="67" t="str">
        <f t="shared" si="104"/>
        <v/>
      </c>
      <c r="J701" s="68" t="str">
        <f t="shared" si="105"/>
        <v/>
      </c>
      <c r="K701" s="69" t="str">
        <f t="shared" si="106"/>
        <v/>
      </c>
      <c r="L701" s="70" t="str">
        <f t="shared" si="107"/>
        <v/>
      </c>
      <c r="M701" s="71"/>
      <c r="N701" s="71"/>
      <c r="O701" s="71"/>
      <c r="P701" s="71"/>
      <c r="Q701" s="61"/>
      <c r="R701" s="63"/>
      <c r="S701" s="72"/>
      <c r="T701" s="61"/>
      <c r="U701" s="73"/>
      <c r="V701" s="62"/>
      <c r="W701" s="62"/>
      <c r="X701" s="62"/>
      <c r="Y701" s="93"/>
      <c r="Z701" s="94"/>
      <c r="AA701" s="74"/>
      <c r="AB701" s="75"/>
      <c r="AC701" s="75"/>
      <c r="AD701" s="76"/>
      <c r="AE701" s="77"/>
      <c r="AF701" s="75"/>
      <c r="AG701" s="78"/>
      <c r="AH701" s="79"/>
      <c r="AI701" s="74"/>
      <c r="AJ701" s="75"/>
      <c r="AK701" s="75"/>
      <c r="AL701" s="80">
        <f t="shared" si="108"/>
        <v>0</v>
      </c>
      <c r="AM701" s="74"/>
      <c r="AN701" s="74"/>
      <c r="AO701" s="81" t="str">
        <f t="shared" si="109"/>
        <v/>
      </c>
      <c r="AP701" s="82"/>
      <c r="AQ701" s="75"/>
      <c r="AR701" s="75"/>
      <c r="AS701" s="80">
        <f t="shared" si="110"/>
        <v>0</v>
      </c>
      <c r="AT701" s="74"/>
      <c r="AU701" s="75"/>
      <c r="AV701" s="75"/>
      <c r="AW701" s="75"/>
      <c r="AX701" s="80">
        <f t="shared" si="111"/>
        <v>0</v>
      </c>
      <c r="AY701" s="81" t="str">
        <f t="shared" si="112"/>
        <v/>
      </c>
      <c r="AZ701" s="83" t="str">
        <f t="shared" si="113"/>
        <v/>
      </c>
      <c r="BA701" s="80" t="str">
        <f t="shared" si="114"/>
        <v/>
      </c>
      <c r="BB701" s="84">
        <f t="shared" si="115"/>
        <v>0</v>
      </c>
      <c r="BC701" s="85" t="str">
        <f t="shared" si="116"/>
        <v/>
      </c>
      <c r="BD701" s="86" t="str">
        <f t="shared" si="117"/>
        <v/>
      </c>
      <c r="BE701" s="84">
        <f t="shared" si="118"/>
        <v>0</v>
      </c>
      <c r="BF701" s="87" t="str">
        <f t="shared" si="119"/>
        <v/>
      </c>
      <c r="BG701" s="88" t="str">
        <f t="shared" si="120"/>
        <v/>
      </c>
      <c r="BH701" s="89" t="str">
        <f t="shared" si="121"/>
        <v/>
      </c>
      <c r="BI701" s="90" t="str">
        <f t="shared" si="122"/>
        <v/>
      </c>
      <c r="BJ701" s="90" t="str">
        <f t="shared" si="123"/>
        <v/>
      </c>
      <c r="BK701" s="91">
        <f t="shared" si="124"/>
        <v>0</v>
      </c>
      <c r="BL701" s="92">
        <f t="shared" si="125"/>
        <v>0</v>
      </c>
      <c r="BM701" s="95"/>
    </row>
    <row r="702" spans="1:65">
      <c r="A702" s="61">
        <f t="shared" si="126"/>
        <v>0</v>
      </c>
      <c r="B702" s="62"/>
      <c r="C702" s="62"/>
      <c r="D702" s="63"/>
      <c r="E702" s="64"/>
      <c r="F702" s="64"/>
      <c r="G702" s="65"/>
      <c r="H702" s="66" t="str">
        <f t="shared" si="103"/>
        <v/>
      </c>
      <c r="I702" s="67" t="str">
        <f t="shared" si="104"/>
        <v/>
      </c>
      <c r="J702" s="68" t="str">
        <f t="shared" si="105"/>
        <v/>
      </c>
      <c r="K702" s="69" t="str">
        <f t="shared" si="106"/>
        <v/>
      </c>
      <c r="L702" s="70" t="str">
        <f t="shared" si="107"/>
        <v/>
      </c>
      <c r="M702" s="71"/>
      <c r="N702" s="71"/>
      <c r="O702" s="71"/>
      <c r="P702" s="71"/>
      <c r="Q702" s="61"/>
      <c r="R702" s="63"/>
      <c r="S702" s="72"/>
      <c r="T702" s="61"/>
      <c r="U702" s="73"/>
      <c r="V702" s="62"/>
      <c r="W702" s="62"/>
      <c r="X702" s="62"/>
      <c r="Y702" s="93"/>
      <c r="Z702" s="94"/>
      <c r="AA702" s="74"/>
      <c r="AB702" s="75"/>
      <c r="AC702" s="75"/>
      <c r="AD702" s="76"/>
      <c r="AE702" s="77"/>
      <c r="AF702" s="75"/>
      <c r="AG702" s="78"/>
      <c r="AH702" s="79"/>
      <c r="AI702" s="74"/>
      <c r="AJ702" s="75"/>
      <c r="AK702" s="75"/>
      <c r="AL702" s="80">
        <f t="shared" si="108"/>
        <v>0</v>
      </c>
      <c r="AM702" s="74"/>
      <c r="AN702" s="74"/>
      <c r="AO702" s="81" t="str">
        <f t="shared" si="109"/>
        <v/>
      </c>
      <c r="AP702" s="82"/>
      <c r="AQ702" s="75"/>
      <c r="AR702" s="75"/>
      <c r="AS702" s="80">
        <f t="shared" si="110"/>
        <v>0</v>
      </c>
      <c r="AT702" s="74"/>
      <c r="AU702" s="75"/>
      <c r="AV702" s="75"/>
      <c r="AW702" s="75"/>
      <c r="AX702" s="80">
        <f t="shared" si="111"/>
        <v>0</v>
      </c>
      <c r="AY702" s="81" t="str">
        <f t="shared" si="112"/>
        <v/>
      </c>
      <c r="AZ702" s="83" t="str">
        <f t="shared" si="113"/>
        <v/>
      </c>
      <c r="BA702" s="80" t="str">
        <f t="shared" si="114"/>
        <v/>
      </c>
      <c r="BB702" s="84">
        <f t="shared" si="115"/>
        <v>0</v>
      </c>
      <c r="BC702" s="85" t="str">
        <f t="shared" si="116"/>
        <v/>
      </c>
      <c r="BD702" s="86" t="str">
        <f t="shared" si="117"/>
        <v/>
      </c>
      <c r="BE702" s="84">
        <f t="shared" si="118"/>
        <v>0</v>
      </c>
      <c r="BF702" s="87" t="str">
        <f t="shared" si="119"/>
        <v/>
      </c>
      <c r="BG702" s="88" t="str">
        <f t="shared" si="120"/>
        <v/>
      </c>
      <c r="BH702" s="89" t="str">
        <f t="shared" si="121"/>
        <v/>
      </c>
      <c r="BI702" s="90" t="str">
        <f t="shared" si="122"/>
        <v/>
      </c>
      <c r="BJ702" s="90" t="str">
        <f t="shared" si="123"/>
        <v/>
      </c>
      <c r="BK702" s="91">
        <f t="shared" si="124"/>
        <v>0</v>
      </c>
      <c r="BL702" s="92">
        <f t="shared" si="125"/>
        <v>0</v>
      </c>
      <c r="BM702" s="95"/>
    </row>
    <row r="703" spans="1:65">
      <c r="A703" s="61">
        <f t="shared" si="126"/>
        <v>0</v>
      </c>
      <c r="B703" s="62"/>
      <c r="C703" s="62"/>
      <c r="D703" s="63"/>
      <c r="E703" s="64"/>
      <c r="F703" s="64"/>
      <c r="G703" s="65"/>
      <c r="H703" s="66" t="str">
        <f t="shared" si="103"/>
        <v/>
      </c>
      <c r="I703" s="67" t="str">
        <f t="shared" si="104"/>
        <v/>
      </c>
      <c r="J703" s="68" t="str">
        <f t="shared" si="105"/>
        <v/>
      </c>
      <c r="K703" s="69" t="str">
        <f t="shared" si="106"/>
        <v/>
      </c>
      <c r="L703" s="70" t="str">
        <f t="shared" si="107"/>
        <v/>
      </c>
      <c r="M703" s="71"/>
      <c r="N703" s="71"/>
      <c r="O703" s="71"/>
      <c r="P703" s="71"/>
      <c r="Q703" s="61"/>
      <c r="R703" s="63"/>
      <c r="S703" s="72"/>
      <c r="T703" s="61"/>
      <c r="U703" s="73"/>
      <c r="V703" s="62"/>
      <c r="W703" s="62"/>
      <c r="X703" s="62"/>
      <c r="Y703" s="93"/>
      <c r="Z703" s="94"/>
      <c r="AA703" s="74"/>
      <c r="AB703" s="75"/>
      <c r="AC703" s="75"/>
      <c r="AD703" s="76"/>
      <c r="AE703" s="77"/>
      <c r="AF703" s="75"/>
      <c r="AG703" s="78"/>
      <c r="AH703" s="79"/>
      <c r="AI703" s="74"/>
      <c r="AJ703" s="75"/>
      <c r="AK703" s="75"/>
      <c r="AL703" s="80">
        <f t="shared" si="108"/>
        <v>0</v>
      </c>
      <c r="AM703" s="74"/>
      <c r="AN703" s="74"/>
      <c r="AO703" s="81" t="str">
        <f t="shared" si="109"/>
        <v/>
      </c>
      <c r="AP703" s="82"/>
      <c r="AQ703" s="75"/>
      <c r="AR703" s="75"/>
      <c r="AS703" s="80">
        <f t="shared" si="110"/>
        <v>0</v>
      </c>
      <c r="AT703" s="74"/>
      <c r="AU703" s="75"/>
      <c r="AV703" s="75"/>
      <c r="AW703" s="75"/>
      <c r="AX703" s="80">
        <f t="shared" si="111"/>
        <v>0</v>
      </c>
      <c r="AY703" s="81" t="str">
        <f t="shared" si="112"/>
        <v/>
      </c>
      <c r="AZ703" s="83" t="str">
        <f t="shared" si="113"/>
        <v/>
      </c>
      <c r="BA703" s="80" t="str">
        <f t="shared" si="114"/>
        <v/>
      </c>
      <c r="BB703" s="84">
        <f t="shared" si="115"/>
        <v>0</v>
      </c>
      <c r="BC703" s="85" t="str">
        <f t="shared" si="116"/>
        <v/>
      </c>
      <c r="BD703" s="86" t="str">
        <f t="shared" si="117"/>
        <v/>
      </c>
      <c r="BE703" s="84">
        <f t="shared" si="118"/>
        <v>0</v>
      </c>
      <c r="BF703" s="87" t="str">
        <f t="shared" si="119"/>
        <v/>
      </c>
      <c r="BG703" s="88" t="str">
        <f t="shared" si="120"/>
        <v/>
      </c>
      <c r="BH703" s="89" t="str">
        <f t="shared" si="121"/>
        <v/>
      </c>
      <c r="BI703" s="90" t="str">
        <f t="shared" si="122"/>
        <v/>
      </c>
      <c r="BJ703" s="90" t="str">
        <f t="shared" si="123"/>
        <v/>
      </c>
      <c r="BK703" s="91">
        <f t="shared" si="124"/>
        <v>0</v>
      </c>
      <c r="BL703" s="92">
        <f t="shared" si="125"/>
        <v>0</v>
      </c>
      <c r="BM703" s="95"/>
    </row>
    <row r="704" spans="1:65">
      <c r="A704" s="61">
        <f t="shared" si="126"/>
        <v>0</v>
      </c>
      <c r="B704" s="62"/>
      <c r="C704" s="62"/>
      <c r="D704" s="63"/>
      <c r="E704" s="64"/>
      <c r="F704" s="64"/>
      <c r="G704" s="65"/>
      <c r="H704" s="66" t="str">
        <f t="shared" si="103"/>
        <v/>
      </c>
      <c r="I704" s="67" t="str">
        <f t="shared" si="104"/>
        <v/>
      </c>
      <c r="J704" s="68" t="str">
        <f t="shared" si="105"/>
        <v/>
      </c>
      <c r="K704" s="69" t="str">
        <f t="shared" si="106"/>
        <v/>
      </c>
      <c r="L704" s="70" t="str">
        <f t="shared" si="107"/>
        <v/>
      </c>
      <c r="M704" s="71"/>
      <c r="N704" s="71"/>
      <c r="O704" s="71"/>
      <c r="P704" s="71"/>
      <c r="Q704" s="61"/>
      <c r="R704" s="63"/>
      <c r="S704" s="72"/>
      <c r="T704" s="61"/>
      <c r="U704" s="73"/>
      <c r="V704" s="62"/>
      <c r="W704" s="62"/>
      <c r="X704" s="62"/>
      <c r="Y704" s="93"/>
      <c r="Z704" s="94"/>
      <c r="AA704" s="74"/>
      <c r="AB704" s="75"/>
      <c r="AC704" s="75"/>
      <c r="AD704" s="76"/>
      <c r="AE704" s="77"/>
      <c r="AF704" s="75"/>
      <c r="AG704" s="78"/>
      <c r="AH704" s="79"/>
      <c r="AI704" s="74"/>
      <c r="AJ704" s="75"/>
      <c r="AK704" s="75"/>
      <c r="AL704" s="80">
        <f t="shared" si="108"/>
        <v>0</v>
      </c>
      <c r="AM704" s="74"/>
      <c r="AN704" s="74"/>
      <c r="AO704" s="81" t="str">
        <f t="shared" si="109"/>
        <v/>
      </c>
      <c r="AP704" s="82"/>
      <c r="AQ704" s="75"/>
      <c r="AR704" s="75"/>
      <c r="AS704" s="80">
        <f t="shared" si="110"/>
        <v>0</v>
      </c>
      <c r="AT704" s="74"/>
      <c r="AU704" s="75"/>
      <c r="AV704" s="75"/>
      <c r="AW704" s="75"/>
      <c r="AX704" s="80">
        <f t="shared" si="111"/>
        <v>0</v>
      </c>
      <c r="AY704" s="81" t="str">
        <f t="shared" si="112"/>
        <v/>
      </c>
      <c r="AZ704" s="83" t="str">
        <f t="shared" si="113"/>
        <v/>
      </c>
      <c r="BA704" s="80" t="str">
        <f t="shared" si="114"/>
        <v/>
      </c>
      <c r="BB704" s="84">
        <f t="shared" si="115"/>
        <v>0</v>
      </c>
      <c r="BC704" s="85" t="str">
        <f t="shared" si="116"/>
        <v/>
      </c>
      <c r="BD704" s="86" t="str">
        <f t="shared" si="117"/>
        <v/>
      </c>
      <c r="BE704" s="84">
        <f t="shared" si="118"/>
        <v>0</v>
      </c>
      <c r="BF704" s="87" t="str">
        <f t="shared" si="119"/>
        <v/>
      </c>
      <c r="BG704" s="88" t="str">
        <f t="shared" si="120"/>
        <v/>
      </c>
      <c r="BH704" s="89" t="str">
        <f t="shared" si="121"/>
        <v/>
      </c>
      <c r="BI704" s="90" t="str">
        <f t="shared" si="122"/>
        <v/>
      </c>
      <c r="BJ704" s="90" t="str">
        <f t="shared" si="123"/>
        <v/>
      </c>
      <c r="BK704" s="91">
        <f t="shared" si="124"/>
        <v>0</v>
      </c>
      <c r="BL704" s="92">
        <f t="shared" si="125"/>
        <v>0</v>
      </c>
      <c r="BM704" s="95"/>
    </row>
    <row r="705" spans="1:65">
      <c r="A705" s="61">
        <f t="shared" si="126"/>
        <v>0</v>
      </c>
      <c r="B705" s="62"/>
      <c r="C705" s="62"/>
      <c r="D705" s="63"/>
      <c r="E705" s="64"/>
      <c r="F705" s="64"/>
      <c r="G705" s="65"/>
      <c r="H705" s="66" t="str">
        <f t="shared" si="103"/>
        <v/>
      </c>
      <c r="I705" s="67" t="str">
        <f t="shared" si="104"/>
        <v/>
      </c>
      <c r="J705" s="68" t="str">
        <f t="shared" si="105"/>
        <v/>
      </c>
      <c r="K705" s="69" t="str">
        <f t="shared" si="106"/>
        <v/>
      </c>
      <c r="L705" s="70" t="str">
        <f t="shared" si="107"/>
        <v/>
      </c>
      <c r="M705" s="71"/>
      <c r="N705" s="71"/>
      <c r="O705" s="71"/>
      <c r="P705" s="71"/>
      <c r="Q705" s="61"/>
      <c r="R705" s="63"/>
      <c r="S705" s="72"/>
      <c r="T705" s="61"/>
      <c r="U705" s="73"/>
      <c r="V705" s="62"/>
      <c r="W705" s="62"/>
      <c r="X705" s="62"/>
      <c r="Y705" s="93"/>
      <c r="Z705" s="94"/>
      <c r="AA705" s="74"/>
      <c r="AB705" s="75"/>
      <c r="AC705" s="75"/>
      <c r="AD705" s="76"/>
      <c r="AE705" s="77"/>
      <c r="AF705" s="75"/>
      <c r="AG705" s="78"/>
      <c r="AH705" s="79"/>
      <c r="AI705" s="74"/>
      <c r="AJ705" s="75"/>
      <c r="AK705" s="75"/>
      <c r="AL705" s="80">
        <f t="shared" si="108"/>
        <v>0</v>
      </c>
      <c r="AM705" s="74"/>
      <c r="AN705" s="74"/>
      <c r="AO705" s="81" t="str">
        <f t="shared" si="109"/>
        <v/>
      </c>
      <c r="AP705" s="82"/>
      <c r="AQ705" s="75"/>
      <c r="AR705" s="75"/>
      <c r="AS705" s="80">
        <f t="shared" si="110"/>
        <v>0</v>
      </c>
      <c r="AT705" s="74"/>
      <c r="AU705" s="75"/>
      <c r="AV705" s="75"/>
      <c r="AW705" s="75"/>
      <c r="AX705" s="80">
        <f t="shared" si="111"/>
        <v>0</v>
      </c>
      <c r="AY705" s="81" t="str">
        <f t="shared" si="112"/>
        <v/>
      </c>
      <c r="AZ705" s="83" t="str">
        <f t="shared" si="113"/>
        <v/>
      </c>
      <c r="BA705" s="80" t="str">
        <f t="shared" si="114"/>
        <v/>
      </c>
      <c r="BB705" s="84">
        <f t="shared" si="115"/>
        <v>0</v>
      </c>
      <c r="BC705" s="85" t="str">
        <f t="shared" si="116"/>
        <v/>
      </c>
      <c r="BD705" s="86" t="str">
        <f t="shared" si="117"/>
        <v/>
      </c>
      <c r="BE705" s="84">
        <f t="shared" si="118"/>
        <v>0</v>
      </c>
      <c r="BF705" s="87" t="str">
        <f t="shared" si="119"/>
        <v/>
      </c>
      <c r="BG705" s="88" t="str">
        <f t="shared" si="120"/>
        <v/>
      </c>
      <c r="BH705" s="89" t="str">
        <f t="shared" si="121"/>
        <v/>
      </c>
      <c r="BI705" s="90" t="str">
        <f t="shared" si="122"/>
        <v/>
      </c>
      <c r="BJ705" s="90" t="str">
        <f t="shared" si="123"/>
        <v/>
      </c>
      <c r="BK705" s="91">
        <f t="shared" si="124"/>
        <v>0</v>
      </c>
      <c r="BL705" s="92">
        <f t="shared" si="125"/>
        <v>0</v>
      </c>
      <c r="BM705" s="95"/>
    </row>
    <row r="706" spans="1:65">
      <c r="A706" s="61">
        <f t="shared" si="126"/>
        <v>0</v>
      </c>
      <c r="B706" s="62"/>
      <c r="C706" s="62"/>
      <c r="D706" s="63"/>
      <c r="E706" s="64"/>
      <c r="F706" s="64"/>
      <c r="G706" s="65"/>
      <c r="H706" s="66" t="str">
        <f t="shared" si="103"/>
        <v/>
      </c>
      <c r="I706" s="67" t="str">
        <f t="shared" si="104"/>
        <v/>
      </c>
      <c r="J706" s="68" t="str">
        <f t="shared" si="105"/>
        <v/>
      </c>
      <c r="K706" s="69" t="str">
        <f t="shared" si="106"/>
        <v/>
      </c>
      <c r="L706" s="70" t="str">
        <f t="shared" si="107"/>
        <v/>
      </c>
      <c r="M706" s="71"/>
      <c r="N706" s="71"/>
      <c r="O706" s="71"/>
      <c r="P706" s="71"/>
      <c r="Q706" s="61"/>
      <c r="R706" s="63"/>
      <c r="S706" s="72"/>
      <c r="T706" s="61"/>
      <c r="U706" s="73"/>
      <c r="V706" s="62"/>
      <c r="W706" s="62"/>
      <c r="X706" s="62"/>
      <c r="Y706" s="93"/>
      <c r="Z706" s="94"/>
      <c r="AA706" s="74"/>
      <c r="AB706" s="75"/>
      <c r="AC706" s="75"/>
      <c r="AD706" s="76"/>
      <c r="AE706" s="77"/>
      <c r="AF706" s="75"/>
      <c r="AG706" s="78"/>
      <c r="AH706" s="79"/>
      <c r="AI706" s="74"/>
      <c r="AJ706" s="75"/>
      <c r="AK706" s="75"/>
      <c r="AL706" s="80">
        <f t="shared" si="108"/>
        <v>0</v>
      </c>
      <c r="AM706" s="74"/>
      <c r="AN706" s="74"/>
      <c r="AO706" s="81" t="str">
        <f t="shared" si="109"/>
        <v/>
      </c>
      <c r="AP706" s="82"/>
      <c r="AQ706" s="75"/>
      <c r="AR706" s="75"/>
      <c r="AS706" s="80">
        <f t="shared" si="110"/>
        <v>0</v>
      </c>
      <c r="AT706" s="74"/>
      <c r="AU706" s="75"/>
      <c r="AV706" s="75"/>
      <c r="AW706" s="75"/>
      <c r="AX706" s="80">
        <f t="shared" si="111"/>
        <v>0</v>
      </c>
      <c r="AY706" s="81" t="str">
        <f t="shared" si="112"/>
        <v/>
      </c>
      <c r="AZ706" s="83" t="str">
        <f t="shared" si="113"/>
        <v/>
      </c>
      <c r="BA706" s="80" t="str">
        <f t="shared" si="114"/>
        <v/>
      </c>
      <c r="BB706" s="84">
        <f t="shared" si="115"/>
        <v>0</v>
      </c>
      <c r="BC706" s="85" t="str">
        <f t="shared" si="116"/>
        <v/>
      </c>
      <c r="BD706" s="86" t="str">
        <f t="shared" si="117"/>
        <v/>
      </c>
      <c r="BE706" s="84">
        <f t="shared" si="118"/>
        <v>0</v>
      </c>
      <c r="BF706" s="87" t="str">
        <f t="shared" si="119"/>
        <v/>
      </c>
      <c r="BG706" s="88" t="str">
        <f t="shared" si="120"/>
        <v/>
      </c>
      <c r="BH706" s="89" t="str">
        <f t="shared" si="121"/>
        <v/>
      </c>
      <c r="BI706" s="90" t="str">
        <f t="shared" si="122"/>
        <v/>
      </c>
      <c r="BJ706" s="90" t="str">
        <f t="shared" si="123"/>
        <v/>
      </c>
      <c r="BK706" s="91">
        <f t="shared" si="124"/>
        <v>0</v>
      </c>
      <c r="BL706" s="92">
        <f t="shared" si="125"/>
        <v>0</v>
      </c>
      <c r="BM706" s="95"/>
    </row>
    <row r="707" spans="1:65">
      <c r="A707" s="61">
        <f t="shared" si="126"/>
        <v>0</v>
      </c>
      <c r="B707" s="62"/>
      <c r="C707" s="62"/>
      <c r="D707" s="63"/>
      <c r="E707" s="64"/>
      <c r="F707" s="64"/>
      <c r="G707" s="65"/>
      <c r="H707" s="66" t="str">
        <f t="shared" si="103"/>
        <v/>
      </c>
      <c r="I707" s="67" t="str">
        <f t="shared" si="104"/>
        <v/>
      </c>
      <c r="J707" s="68" t="str">
        <f t="shared" si="105"/>
        <v/>
      </c>
      <c r="K707" s="69" t="str">
        <f t="shared" si="106"/>
        <v/>
      </c>
      <c r="L707" s="70" t="str">
        <f t="shared" si="107"/>
        <v/>
      </c>
      <c r="M707" s="71"/>
      <c r="N707" s="71"/>
      <c r="O707" s="71"/>
      <c r="P707" s="71"/>
      <c r="Q707" s="61"/>
      <c r="R707" s="63"/>
      <c r="S707" s="72"/>
      <c r="T707" s="61"/>
      <c r="U707" s="73"/>
      <c r="V707" s="62"/>
      <c r="W707" s="62"/>
      <c r="X707" s="62"/>
      <c r="Y707" s="93"/>
      <c r="Z707" s="94"/>
      <c r="AA707" s="74"/>
      <c r="AB707" s="75"/>
      <c r="AC707" s="75"/>
      <c r="AD707" s="76"/>
      <c r="AE707" s="77"/>
      <c r="AF707" s="75"/>
      <c r="AG707" s="78"/>
      <c r="AH707" s="79"/>
      <c r="AI707" s="74"/>
      <c r="AJ707" s="75"/>
      <c r="AK707" s="75"/>
      <c r="AL707" s="80">
        <f t="shared" si="108"/>
        <v>0</v>
      </c>
      <c r="AM707" s="74"/>
      <c r="AN707" s="74"/>
      <c r="AO707" s="81" t="str">
        <f t="shared" si="109"/>
        <v/>
      </c>
      <c r="AP707" s="82"/>
      <c r="AQ707" s="75"/>
      <c r="AR707" s="75"/>
      <c r="AS707" s="80">
        <f t="shared" si="110"/>
        <v>0</v>
      </c>
      <c r="AT707" s="74"/>
      <c r="AU707" s="75"/>
      <c r="AV707" s="75"/>
      <c r="AW707" s="75"/>
      <c r="AX707" s="80">
        <f t="shared" si="111"/>
        <v>0</v>
      </c>
      <c r="AY707" s="81" t="str">
        <f t="shared" si="112"/>
        <v/>
      </c>
      <c r="AZ707" s="83" t="str">
        <f t="shared" si="113"/>
        <v/>
      </c>
      <c r="BA707" s="80" t="str">
        <f t="shared" si="114"/>
        <v/>
      </c>
      <c r="BB707" s="84">
        <f t="shared" si="115"/>
        <v>0</v>
      </c>
      <c r="BC707" s="85" t="str">
        <f t="shared" si="116"/>
        <v/>
      </c>
      <c r="BD707" s="86" t="str">
        <f t="shared" si="117"/>
        <v/>
      </c>
      <c r="BE707" s="84">
        <f t="shared" si="118"/>
        <v>0</v>
      </c>
      <c r="BF707" s="87" t="str">
        <f t="shared" si="119"/>
        <v/>
      </c>
      <c r="BG707" s="88" t="str">
        <f t="shared" si="120"/>
        <v/>
      </c>
      <c r="BH707" s="89" t="str">
        <f t="shared" si="121"/>
        <v/>
      </c>
      <c r="BI707" s="90" t="str">
        <f t="shared" si="122"/>
        <v/>
      </c>
      <c r="BJ707" s="90" t="str">
        <f t="shared" si="123"/>
        <v/>
      </c>
      <c r="BK707" s="91">
        <f t="shared" si="124"/>
        <v>0</v>
      </c>
      <c r="BL707" s="92">
        <f t="shared" si="125"/>
        <v>0</v>
      </c>
      <c r="BM707" s="95"/>
    </row>
    <row r="708" spans="1:65">
      <c r="A708" s="61">
        <f t="shared" si="126"/>
        <v>0</v>
      </c>
      <c r="B708" s="62"/>
      <c r="C708" s="62"/>
      <c r="D708" s="63"/>
      <c r="E708" s="64"/>
      <c r="F708" s="64"/>
      <c r="G708" s="65"/>
      <c r="H708" s="66" t="str">
        <f t="shared" si="103"/>
        <v/>
      </c>
      <c r="I708" s="67" t="str">
        <f t="shared" si="104"/>
        <v/>
      </c>
      <c r="J708" s="68" t="str">
        <f t="shared" si="105"/>
        <v/>
      </c>
      <c r="K708" s="69" t="str">
        <f t="shared" si="106"/>
        <v/>
      </c>
      <c r="L708" s="70" t="str">
        <f t="shared" si="107"/>
        <v/>
      </c>
      <c r="M708" s="71"/>
      <c r="N708" s="71"/>
      <c r="O708" s="71"/>
      <c r="P708" s="71"/>
      <c r="Q708" s="61"/>
      <c r="R708" s="63"/>
      <c r="S708" s="72"/>
      <c r="T708" s="61"/>
      <c r="U708" s="73"/>
      <c r="V708" s="62"/>
      <c r="W708" s="62"/>
      <c r="X708" s="62"/>
      <c r="Y708" s="93"/>
      <c r="Z708" s="94"/>
      <c r="AA708" s="74"/>
      <c r="AB708" s="75"/>
      <c r="AC708" s="75"/>
      <c r="AD708" s="76"/>
      <c r="AE708" s="77"/>
      <c r="AF708" s="75"/>
      <c r="AG708" s="78"/>
      <c r="AH708" s="79"/>
      <c r="AI708" s="74"/>
      <c r="AJ708" s="75"/>
      <c r="AK708" s="75"/>
      <c r="AL708" s="80">
        <f t="shared" si="108"/>
        <v>0</v>
      </c>
      <c r="AM708" s="74"/>
      <c r="AN708" s="74"/>
      <c r="AO708" s="81" t="str">
        <f t="shared" si="109"/>
        <v/>
      </c>
      <c r="AP708" s="82"/>
      <c r="AQ708" s="75"/>
      <c r="AR708" s="75"/>
      <c r="AS708" s="80">
        <f t="shared" si="110"/>
        <v>0</v>
      </c>
      <c r="AT708" s="74"/>
      <c r="AU708" s="75"/>
      <c r="AV708" s="75"/>
      <c r="AW708" s="75"/>
      <c r="AX708" s="80">
        <f t="shared" si="111"/>
        <v>0</v>
      </c>
      <c r="AY708" s="81" t="str">
        <f t="shared" si="112"/>
        <v/>
      </c>
      <c r="AZ708" s="83" t="str">
        <f t="shared" si="113"/>
        <v/>
      </c>
      <c r="BA708" s="80" t="str">
        <f t="shared" si="114"/>
        <v/>
      </c>
      <c r="BB708" s="84">
        <f t="shared" si="115"/>
        <v>0</v>
      </c>
      <c r="BC708" s="85" t="str">
        <f t="shared" si="116"/>
        <v/>
      </c>
      <c r="BD708" s="86" t="str">
        <f t="shared" si="117"/>
        <v/>
      </c>
      <c r="BE708" s="84">
        <f t="shared" si="118"/>
        <v>0</v>
      </c>
      <c r="BF708" s="87" t="str">
        <f t="shared" si="119"/>
        <v/>
      </c>
      <c r="BG708" s="88" t="str">
        <f t="shared" si="120"/>
        <v/>
      </c>
      <c r="BH708" s="89" t="str">
        <f t="shared" si="121"/>
        <v/>
      </c>
      <c r="BI708" s="90" t="str">
        <f t="shared" si="122"/>
        <v/>
      </c>
      <c r="BJ708" s="90" t="str">
        <f t="shared" si="123"/>
        <v/>
      </c>
      <c r="BK708" s="91">
        <f t="shared" si="124"/>
        <v>0</v>
      </c>
      <c r="BL708" s="92">
        <f t="shared" si="125"/>
        <v>0</v>
      </c>
      <c r="BM708" s="95"/>
    </row>
    <row r="709" spans="1:65">
      <c r="A709" s="61">
        <f t="shared" si="126"/>
        <v>0</v>
      </c>
      <c r="B709" s="62"/>
      <c r="C709" s="62"/>
      <c r="D709" s="63"/>
      <c r="E709" s="64"/>
      <c r="F709" s="64"/>
      <c r="G709" s="65"/>
      <c r="H709" s="66" t="str">
        <f t="shared" si="103"/>
        <v/>
      </c>
      <c r="I709" s="67" t="str">
        <f t="shared" si="104"/>
        <v/>
      </c>
      <c r="J709" s="68" t="str">
        <f t="shared" si="105"/>
        <v/>
      </c>
      <c r="K709" s="69" t="str">
        <f t="shared" si="106"/>
        <v/>
      </c>
      <c r="L709" s="70" t="str">
        <f t="shared" si="107"/>
        <v/>
      </c>
      <c r="M709" s="71"/>
      <c r="N709" s="71"/>
      <c r="O709" s="71"/>
      <c r="P709" s="71"/>
      <c r="Q709" s="61"/>
      <c r="R709" s="63"/>
      <c r="S709" s="72"/>
      <c r="T709" s="61"/>
      <c r="U709" s="73"/>
      <c r="V709" s="62"/>
      <c r="W709" s="62"/>
      <c r="X709" s="62"/>
      <c r="Y709" s="93"/>
      <c r="Z709" s="94"/>
      <c r="AA709" s="74"/>
      <c r="AB709" s="75"/>
      <c r="AC709" s="75"/>
      <c r="AD709" s="76"/>
      <c r="AE709" s="77"/>
      <c r="AF709" s="75"/>
      <c r="AG709" s="78"/>
      <c r="AH709" s="79"/>
      <c r="AI709" s="74"/>
      <c r="AJ709" s="75"/>
      <c r="AK709" s="75"/>
      <c r="AL709" s="80">
        <f t="shared" si="108"/>
        <v>0</v>
      </c>
      <c r="AM709" s="74"/>
      <c r="AN709" s="74"/>
      <c r="AO709" s="81" t="str">
        <f t="shared" si="109"/>
        <v/>
      </c>
      <c r="AP709" s="82"/>
      <c r="AQ709" s="75"/>
      <c r="AR709" s="75"/>
      <c r="AS709" s="80">
        <f t="shared" si="110"/>
        <v>0</v>
      </c>
      <c r="AT709" s="74"/>
      <c r="AU709" s="75"/>
      <c r="AV709" s="75"/>
      <c r="AW709" s="75"/>
      <c r="AX709" s="80">
        <f t="shared" si="111"/>
        <v>0</v>
      </c>
      <c r="AY709" s="81" t="str">
        <f t="shared" si="112"/>
        <v/>
      </c>
      <c r="AZ709" s="83" t="str">
        <f t="shared" si="113"/>
        <v/>
      </c>
      <c r="BA709" s="80" t="str">
        <f t="shared" si="114"/>
        <v/>
      </c>
      <c r="BB709" s="84">
        <f t="shared" si="115"/>
        <v>0</v>
      </c>
      <c r="BC709" s="85" t="str">
        <f t="shared" si="116"/>
        <v/>
      </c>
      <c r="BD709" s="86" t="str">
        <f t="shared" si="117"/>
        <v/>
      </c>
      <c r="BE709" s="84">
        <f t="shared" si="118"/>
        <v>0</v>
      </c>
      <c r="BF709" s="87" t="str">
        <f t="shared" si="119"/>
        <v/>
      </c>
      <c r="BG709" s="88" t="str">
        <f t="shared" si="120"/>
        <v/>
      </c>
      <c r="BH709" s="89" t="str">
        <f t="shared" si="121"/>
        <v/>
      </c>
      <c r="BI709" s="90" t="str">
        <f t="shared" si="122"/>
        <v/>
      </c>
      <c r="BJ709" s="90" t="str">
        <f t="shared" si="123"/>
        <v/>
      </c>
      <c r="BK709" s="91">
        <f t="shared" si="124"/>
        <v>0</v>
      </c>
      <c r="BL709" s="92">
        <f t="shared" si="125"/>
        <v>0</v>
      </c>
      <c r="BM709" s="95"/>
    </row>
    <row r="710" spans="1:65">
      <c r="A710" s="61">
        <f t="shared" si="126"/>
        <v>0</v>
      </c>
      <c r="B710" s="62"/>
      <c r="C710" s="62"/>
      <c r="D710" s="63"/>
      <c r="E710" s="64"/>
      <c r="F710" s="64"/>
      <c r="G710" s="65"/>
      <c r="H710" s="66" t="str">
        <f t="shared" si="103"/>
        <v/>
      </c>
      <c r="I710" s="67" t="str">
        <f t="shared" si="104"/>
        <v/>
      </c>
      <c r="J710" s="68" t="str">
        <f t="shared" si="105"/>
        <v/>
      </c>
      <c r="K710" s="69" t="str">
        <f t="shared" si="106"/>
        <v/>
      </c>
      <c r="L710" s="70" t="str">
        <f t="shared" si="107"/>
        <v/>
      </c>
      <c r="M710" s="71"/>
      <c r="N710" s="71"/>
      <c r="O710" s="71"/>
      <c r="P710" s="71"/>
      <c r="Q710" s="61"/>
      <c r="R710" s="63"/>
      <c r="S710" s="72"/>
      <c r="T710" s="61"/>
      <c r="U710" s="73"/>
      <c r="V710" s="62"/>
      <c r="W710" s="62"/>
      <c r="X710" s="62"/>
      <c r="Y710" s="93"/>
      <c r="Z710" s="94"/>
      <c r="AA710" s="74"/>
      <c r="AB710" s="75"/>
      <c r="AC710" s="75"/>
      <c r="AD710" s="76"/>
      <c r="AE710" s="77"/>
      <c r="AF710" s="75"/>
      <c r="AG710" s="78"/>
      <c r="AH710" s="79"/>
      <c r="AI710" s="74"/>
      <c r="AJ710" s="75"/>
      <c r="AK710" s="75"/>
      <c r="AL710" s="80">
        <f t="shared" si="108"/>
        <v>0</v>
      </c>
      <c r="AM710" s="74"/>
      <c r="AN710" s="74"/>
      <c r="AO710" s="81" t="str">
        <f t="shared" si="109"/>
        <v/>
      </c>
      <c r="AP710" s="82"/>
      <c r="AQ710" s="75"/>
      <c r="AR710" s="75"/>
      <c r="AS710" s="80">
        <f t="shared" si="110"/>
        <v>0</v>
      </c>
      <c r="AT710" s="74"/>
      <c r="AU710" s="75"/>
      <c r="AV710" s="75"/>
      <c r="AW710" s="75"/>
      <c r="AX710" s="80">
        <f t="shared" si="111"/>
        <v>0</v>
      </c>
      <c r="AY710" s="81" t="str">
        <f t="shared" si="112"/>
        <v/>
      </c>
      <c r="AZ710" s="83" t="str">
        <f t="shared" si="113"/>
        <v/>
      </c>
      <c r="BA710" s="80" t="str">
        <f t="shared" si="114"/>
        <v/>
      </c>
      <c r="BB710" s="84">
        <f t="shared" si="115"/>
        <v>0</v>
      </c>
      <c r="BC710" s="85" t="str">
        <f t="shared" si="116"/>
        <v/>
      </c>
      <c r="BD710" s="86" t="str">
        <f t="shared" si="117"/>
        <v/>
      </c>
      <c r="BE710" s="84">
        <f t="shared" si="118"/>
        <v>0</v>
      </c>
      <c r="BF710" s="87" t="str">
        <f t="shared" si="119"/>
        <v/>
      </c>
      <c r="BG710" s="88" t="str">
        <f t="shared" si="120"/>
        <v/>
      </c>
      <c r="BH710" s="89" t="str">
        <f t="shared" si="121"/>
        <v/>
      </c>
      <c r="BI710" s="90" t="str">
        <f t="shared" si="122"/>
        <v/>
      </c>
      <c r="BJ710" s="90" t="str">
        <f t="shared" si="123"/>
        <v/>
      </c>
      <c r="BK710" s="91">
        <f t="shared" si="124"/>
        <v>0</v>
      </c>
      <c r="BL710" s="92">
        <f t="shared" si="125"/>
        <v>0</v>
      </c>
      <c r="BM710" s="95"/>
    </row>
    <row r="711" spans="1:65">
      <c r="A711" s="61">
        <f t="shared" si="126"/>
        <v>0</v>
      </c>
      <c r="B711" s="62"/>
      <c r="C711" s="62"/>
      <c r="D711" s="63"/>
      <c r="E711" s="64"/>
      <c r="F711" s="64"/>
      <c r="G711" s="65"/>
      <c r="H711" s="66" t="str">
        <f t="shared" si="103"/>
        <v/>
      </c>
      <c r="I711" s="67" t="str">
        <f t="shared" si="104"/>
        <v/>
      </c>
      <c r="J711" s="68" t="str">
        <f t="shared" si="105"/>
        <v/>
      </c>
      <c r="K711" s="69" t="str">
        <f t="shared" si="106"/>
        <v/>
      </c>
      <c r="L711" s="70" t="str">
        <f t="shared" si="107"/>
        <v/>
      </c>
      <c r="M711" s="71"/>
      <c r="N711" s="71"/>
      <c r="O711" s="71"/>
      <c r="P711" s="71"/>
      <c r="Q711" s="61"/>
      <c r="R711" s="63"/>
      <c r="S711" s="72"/>
      <c r="T711" s="61"/>
      <c r="U711" s="73"/>
      <c r="V711" s="62"/>
      <c r="W711" s="62"/>
      <c r="X711" s="62"/>
      <c r="Y711" s="93"/>
      <c r="Z711" s="94"/>
      <c r="AA711" s="74"/>
      <c r="AB711" s="75"/>
      <c r="AC711" s="75"/>
      <c r="AD711" s="76"/>
      <c r="AE711" s="77"/>
      <c r="AF711" s="75"/>
      <c r="AG711" s="78"/>
      <c r="AH711" s="79"/>
      <c r="AI711" s="74"/>
      <c r="AJ711" s="75"/>
      <c r="AK711" s="75"/>
      <c r="AL711" s="80">
        <f t="shared" si="108"/>
        <v>0</v>
      </c>
      <c r="AM711" s="74"/>
      <c r="AN711" s="74"/>
      <c r="AO711" s="81" t="str">
        <f t="shared" si="109"/>
        <v/>
      </c>
      <c r="AP711" s="82"/>
      <c r="AQ711" s="75"/>
      <c r="AR711" s="75"/>
      <c r="AS711" s="80">
        <f t="shared" si="110"/>
        <v>0</v>
      </c>
      <c r="AT711" s="74"/>
      <c r="AU711" s="75"/>
      <c r="AV711" s="75"/>
      <c r="AW711" s="75"/>
      <c r="AX711" s="80">
        <f t="shared" si="111"/>
        <v>0</v>
      </c>
      <c r="AY711" s="81" t="str">
        <f t="shared" si="112"/>
        <v/>
      </c>
      <c r="AZ711" s="83" t="str">
        <f t="shared" si="113"/>
        <v/>
      </c>
      <c r="BA711" s="80" t="str">
        <f t="shared" si="114"/>
        <v/>
      </c>
      <c r="BB711" s="84">
        <f t="shared" si="115"/>
        <v>0</v>
      </c>
      <c r="BC711" s="85" t="str">
        <f t="shared" si="116"/>
        <v/>
      </c>
      <c r="BD711" s="86" t="str">
        <f t="shared" si="117"/>
        <v/>
      </c>
      <c r="BE711" s="84">
        <f t="shared" si="118"/>
        <v>0</v>
      </c>
      <c r="BF711" s="87" t="str">
        <f t="shared" si="119"/>
        <v/>
      </c>
      <c r="BG711" s="88" t="str">
        <f t="shared" si="120"/>
        <v/>
      </c>
      <c r="BH711" s="89" t="str">
        <f t="shared" si="121"/>
        <v/>
      </c>
      <c r="BI711" s="90" t="str">
        <f t="shared" si="122"/>
        <v/>
      </c>
      <c r="BJ711" s="90" t="str">
        <f t="shared" si="123"/>
        <v/>
      </c>
      <c r="BK711" s="91">
        <f t="shared" si="124"/>
        <v>0</v>
      </c>
      <c r="BL711" s="92">
        <f t="shared" si="125"/>
        <v>0</v>
      </c>
      <c r="BM711" s="95"/>
    </row>
    <row r="712" spans="1:65">
      <c r="A712" s="61">
        <f t="shared" si="126"/>
        <v>0</v>
      </c>
      <c r="B712" s="62"/>
      <c r="C712" s="62"/>
      <c r="D712" s="63"/>
      <c r="E712" s="64"/>
      <c r="F712" s="64"/>
      <c r="G712" s="65"/>
      <c r="H712" s="66" t="str">
        <f t="shared" ref="H712:H775" si="127">IF(F712="","",IF(F712="","",IF((F712-E712+1)&gt;360,"Most Recently 12 Months","Year To Date")))</f>
        <v/>
      </c>
      <c r="I712" s="67" t="str">
        <f t="shared" ref="I712:I775" si="128">IF(F712="","",ROUND((F712-E712+1)/(((365*3+366)/4)/12),0))</f>
        <v/>
      </c>
      <c r="J712" s="68" t="str">
        <f t="shared" ref="J712:J775" si="129">IF(F712="","",YEAR(F712))</f>
        <v/>
      </c>
      <c r="K712" s="69" t="str">
        <f t="shared" ref="K712:K775" si="130">IF(F712="","",CEILING(L712/3,1))</f>
        <v/>
      </c>
      <c r="L712" s="70" t="str">
        <f t="shared" ref="L712:L775" si="131">IF(F712="","",MONTH(F712))</f>
        <v/>
      </c>
      <c r="M712" s="71"/>
      <c r="N712" s="71"/>
      <c r="O712" s="71"/>
      <c r="P712" s="71"/>
      <c r="Q712" s="61"/>
      <c r="R712" s="63"/>
      <c r="S712" s="72"/>
      <c r="T712" s="61"/>
      <c r="U712" s="73"/>
      <c r="V712" s="62"/>
      <c r="W712" s="62"/>
      <c r="X712" s="62"/>
      <c r="Y712" s="93"/>
      <c r="Z712" s="94"/>
      <c r="AA712" s="74"/>
      <c r="AB712" s="75"/>
      <c r="AC712" s="75"/>
      <c r="AD712" s="76"/>
      <c r="AE712" s="77"/>
      <c r="AF712" s="75"/>
      <c r="AG712" s="78"/>
      <c r="AH712" s="79"/>
      <c r="AI712" s="74"/>
      <c r="AJ712" s="75"/>
      <c r="AK712" s="75"/>
      <c r="AL712" s="80">
        <f t="shared" ref="AL712:AL775" si="132">SUM(AI712:AK712)</f>
        <v>0</v>
      </c>
      <c r="AM712" s="74"/>
      <c r="AN712" s="74"/>
      <c r="AO712" s="81" t="str">
        <f t="shared" ref="AO712:AO775" si="133">IFERROR(AN712/AM712,"")</f>
        <v/>
      </c>
      <c r="AP712" s="82"/>
      <c r="AQ712" s="75"/>
      <c r="AR712" s="75"/>
      <c r="AS712" s="80">
        <f t="shared" ref="AS712:AS775" si="134">SUM(AQ712:AR712)</f>
        <v>0</v>
      </c>
      <c r="AT712" s="74"/>
      <c r="AU712" s="75"/>
      <c r="AV712" s="75"/>
      <c r="AW712" s="75"/>
      <c r="AX712" s="80">
        <f t="shared" ref="AX712:AX775" si="135">SUM(AT712:AW712)</f>
        <v>0</v>
      </c>
      <c r="AY712" s="81" t="str">
        <f t="shared" ref="AY712:AY775" si="136">IFERROR(AP712/AF712,"")</f>
        <v/>
      </c>
      <c r="AZ712" s="83" t="str">
        <f t="shared" ref="AZ712:AZ775" si="137">IFERROR(AS712/AP712,"")</f>
        <v/>
      </c>
      <c r="BA712" s="80" t="str">
        <f t="shared" ref="BA712:BA775" si="138">IFERROR(AY712*AZ712,"")</f>
        <v/>
      </c>
      <c r="BB712" s="84">
        <f t="shared" ref="BB712:BB775" si="139">AG712-SUM(AL712,AS712:AU712,AW712)</f>
        <v>0</v>
      </c>
      <c r="BC712" s="85" t="str">
        <f t="shared" ref="BC712:BC775" si="140">IFERROR(BB712/AV712,"")</f>
        <v/>
      </c>
      <c r="BD712" s="86" t="str">
        <f t="shared" ref="BD712:BD775" si="141">IFERROR(BB712/AG712,"")</f>
        <v/>
      </c>
      <c r="BE712" s="84">
        <f t="shared" ref="BE712:BE775" si="142">AG712-SUM(AL712,AS712:AU712)</f>
        <v>0</v>
      </c>
      <c r="BF712" s="87" t="str">
        <f t="shared" ref="BF712:BF775" si="143">IFERROR(BE712/SUM(AV712:AW712),"")</f>
        <v/>
      </c>
      <c r="BG712" s="88" t="str">
        <f t="shared" ref="BG712:BG775" si="144">IFERROR(BE712/AG712,"")</f>
        <v/>
      </c>
      <c r="BH712" s="89" t="str">
        <f t="shared" ref="BH712:BH775" si="145">IFERROR(AS712/AG712,"")</f>
        <v/>
      </c>
      <c r="BI712" s="90" t="str">
        <f t="shared" ref="BI712:BI775" si="146">IFERROR(AL712/AG712,"")</f>
        <v/>
      </c>
      <c r="BJ712" s="90" t="str">
        <f t="shared" ref="BJ712:BJ775" si="147">IFERROR(AX712/AG712,"")</f>
        <v/>
      </c>
      <c r="BK712" s="91">
        <f t="shared" ref="BK712:BK775" si="148">SUM(BH712:BJ712)</f>
        <v>0</v>
      </c>
      <c r="BL712" s="92">
        <f t="shared" ref="BL712:BL775" si="149">AG712-SUM(AL712,AS712,AX712)</f>
        <v>0</v>
      </c>
      <c r="BM712" s="95"/>
    </row>
    <row r="713" spans="1:65">
      <c r="A713" s="61">
        <f t="shared" si="126"/>
        <v>0</v>
      </c>
      <c r="B713" s="62"/>
      <c r="C713" s="62"/>
      <c r="D713" s="63"/>
      <c r="E713" s="64"/>
      <c r="F713" s="64"/>
      <c r="G713" s="65"/>
      <c r="H713" s="66" t="str">
        <f t="shared" si="127"/>
        <v/>
      </c>
      <c r="I713" s="67" t="str">
        <f t="shared" si="128"/>
        <v/>
      </c>
      <c r="J713" s="68" t="str">
        <f t="shared" si="129"/>
        <v/>
      </c>
      <c r="K713" s="69" t="str">
        <f t="shared" si="130"/>
        <v/>
      </c>
      <c r="L713" s="70" t="str">
        <f t="shared" si="131"/>
        <v/>
      </c>
      <c r="M713" s="71"/>
      <c r="N713" s="71"/>
      <c r="O713" s="71"/>
      <c r="P713" s="71"/>
      <c r="Q713" s="61"/>
      <c r="R713" s="63"/>
      <c r="S713" s="72"/>
      <c r="T713" s="61"/>
      <c r="U713" s="73"/>
      <c r="V713" s="62"/>
      <c r="W713" s="62"/>
      <c r="X713" s="62"/>
      <c r="Y713" s="93"/>
      <c r="Z713" s="94"/>
      <c r="AA713" s="74"/>
      <c r="AB713" s="75"/>
      <c r="AC713" s="75"/>
      <c r="AD713" s="76"/>
      <c r="AE713" s="77"/>
      <c r="AF713" s="75"/>
      <c r="AG713" s="78"/>
      <c r="AH713" s="79"/>
      <c r="AI713" s="74"/>
      <c r="AJ713" s="75"/>
      <c r="AK713" s="75"/>
      <c r="AL713" s="80">
        <f t="shared" si="132"/>
        <v>0</v>
      </c>
      <c r="AM713" s="74"/>
      <c r="AN713" s="74"/>
      <c r="AO713" s="81" t="str">
        <f t="shared" si="133"/>
        <v/>
      </c>
      <c r="AP713" s="82"/>
      <c r="AQ713" s="75"/>
      <c r="AR713" s="75"/>
      <c r="AS713" s="80">
        <f t="shared" si="134"/>
        <v>0</v>
      </c>
      <c r="AT713" s="74"/>
      <c r="AU713" s="75"/>
      <c r="AV713" s="75"/>
      <c r="AW713" s="75"/>
      <c r="AX713" s="80">
        <f t="shared" si="135"/>
        <v>0</v>
      </c>
      <c r="AY713" s="81" t="str">
        <f t="shared" si="136"/>
        <v/>
      </c>
      <c r="AZ713" s="83" t="str">
        <f t="shared" si="137"/>
        <v/>
      </c>
      <c r="BA713" s="80" t="str">
        <f t="shared" si="138"/>
        <v/>
      </c>
      <c r="BB713" s="84">
        <f t="shared" si="139"/>
        <v>0</v>
      </c>
      <c r="BC713" s="85" t="str">
        <f t="shared" si="140"/>
        <v/>
      </c>
      <c r="BD713" s="86" t="str">
        <f t="shared" si="141"/>
        <v/>
      </c>
      <c r="BE713" s="84">
        <f t="shared" si="142"/>
        <v>0</v>
      </c>
      <c r="BF713" s="87" t="str">
        <f t="shared" si="143"/>
        <v/>
      </c>
      <c r="BG713" s="88" t="str">
        <f t="shared" si="144"/>
        <v/>
      </c>
      <c r="BH713" s="89" t="str">
        <f t="shared" si="145"/>
        <v/>
      </c>
      <c r="BI713" s="90" t="str">
        <f t="shared" si="146"/>
        <v/>
      </c>
      <c r="BJ713" s="90" t="str">
        <f t="shared" si="147"/>
        <v/>
      </c>
      <c r="BK713" s="91">
        <f t="shared" si="148"/>
        <v>0</v>
      </c>
      <c r="BL713" s="92">
        <f t="shared" si="149"/>
        <v>0</v>
      </c>
      <c r="BM713" s="95"/>
    </row>
    <row r="714" spans="1:65">
      <c r="A714" s="61">
        <f t="shared" si="126"/>
        <v>0</v>
      </c>
      <c r="B714" s="62"/>
      <c r="C714" s="62"/>
      <c r="D714" s="63"/>
      <c r="E714" s="64"/>
      <c r="F714" s="64"/>
      <c r="G714" s="65"/>
      <c r="H714" s="66" t="str">
        <f t="shared" si="127"/>
        <v/>
      </c>
      <c r="I714" s="67" t="str">
        <f t="shared" si="128"/>
        <v/>
      </c>
      <c r="J714" s="68" t="str">
        <f t="shared" si="129"/>
        <v/>
      </c>
      <c r="K714" s="69" t="str">
        <f t="shared" si="130"/>
        <v/>
      </c>
      <c r="L714" s="70" t="str">
        <f t="shared" si="131"/>
        <v/>
      </c>
      <c r="M714" s="71"/>
      <c r="N714" s="71"/>
      <c r="O714" s="71"/>
      <c r="P714" s="71"/>
      <c r="Q714" s="61"/>
      <c r="R714" s="63"/>
      <c r="S714" s="72"/>
      <c r="T714" s="61"/>
      <c r="U714" s="73"/>
      <c r="V714" s="62"/>
      <c r="W714" s="62"/>
      <c r="X714" s="62"/>
      <c r="Y714" s="93"/>
      <c r="Z714" s="94"/>
      <c r="AA714" s="74"/>
      <c r="AB714" s="75"/>
      <c r="AC714" s="75"/>
      <c r="AD714" s="76"/>
      <c r="AE714" s="77"/>
      <c r="AF714" s="75"/>
      <c r="AG714" s="78"/>
      <c r="AH714" s="79"/>
      <c r="AI714" s="74"/>
      <c r="AJ714" s="75"/>
      <c r="AK714" s="75"/>
      <c r="AL714" s="80">
        <f t="shared" si="132"/>
        <v>0</v>
      </c>
      <c r="AM714" s="74"/>
      <c r="AN714" s="74"/>
      <c r="AO714" s="81" t="str">
        <f t="shared" si="133"/>
        <v/>
      </c>
      <c r="AP714" s="82"/>
      <c r="AQ714" s="75"/>
      <c r="AR714" s="75"/>
      <c r="AS714" s="80">
        <f t="shared" si="134"/>
        <v>0</v>
      </c>
      <c r="AT714" s="74"/>
      <c r="AU714" s="75"/>
      <c r="AV714" s="75"/>
      <c r="AW714" s="75"/>
      <c r="AX714" s="80">
        <f t="shared" si="135"/>
        <v>0</v>
      </c>
      <c r="AY714" s="81" t="str">
        <f t="shared" si="136"/>
        <v/>
      </c>
      <c r="AZ714" s="83" t="str">
        <f t="shared" si="137"/>
        <v/>
      </c>
      <c r="BA714" s="80" t="str">
        <f t="shared" si="138"/>
        <v/>
      </c>
      <c r="BB714" s="84">
        <f t="shared" si="139"/>
        <v>0</v>
      </c>
      <c r="BC714" s="85" t="str">
        <f t="shared" si="140"/>
        <v/>
      </c>
      <c r="BD714" s="86" t="str">
        <f t="shared" si="141"/>
        <v/>
      </c>
      <c r="BE714" s="84">
        <f t="shared" si="142"/>
        <v>0</v>
      </c>
      <c r="BF714" s="87" t="str">
        <f t="shared" si="143"/>
        <v/>
      </c>
      <c r="BG714" s="88" t="str">
        <f t="shared" si="144"/>
        <v/>
      </c>
      <c r="BH714" s="89" t="str">
        <f t="shared" si="145"/>
        <v/>
      </c>
      <c r="BI714" s="90" t="str">
        <f t="shared" si="146"/>
        <v/>
      </c>
      <c r="BJ714" s="90" t="str">
        <f t="shared" si="147"/>
        <v/>
      </c>
      <c r="BK714" s="91">
        <f t="shared" si="148"/>
        <v>0</v>
      </c>
      <c r="BL714" s="92">
        <f t="shared" si="149"/>
        <v>0</v>
      </c>
      <c r="BM714" s="95"/>
    </row>
    <row r="715" spans="1:65">
      <c r="A715" s="61">
        <f t="shared" si="126"/>
        <v>0</v>
      </c>
      <c r="B715" s="62"/>
      <c r="C715" s="62"/>
      <c r="D715" s="63"/>
      <c r="E715" s="64"/>
      <c r="F715" s="64"/>
      <c r="G715" s="65"/>
      <c r="H715" s="66" t="str">
        <f t="shared" si="127"/>
        <v/>
      </c>
      <c r="I715" s="67" t="str">
        <f t="shared" si="128"/>
        <v/>
      </c>
      <c r="J715" s="68" t="str">
        <f t="shared" si="129"/>
        <v/>
      </c>
      <c r="K715" s="69" t="str">
        <f t="shared" si="130"/>
        <v/>
      </c>
      <c r="L715" s="70" t="str">
        <f t="shared" si="131"/>
        <v/>
      </c>
      <c r="M715" s="71"/>
      <c r="N715" s="71"/>
      <c r="O715" s="71"/>
      <c r="P715" s="71"/>
      <c r="Q715" s="61"/>
      <c r="R715" s="63"/>
      <c r="S715" s="72"/>
      <c r="T715" s="61"/>
      <c r="U715" s="73"/>
      <c r="V715" s="62"/>
      <c r="W715" s="62"/>
      <c r="X715" s="62"/>
      <c r="Y715" s="93"/>
      <c r="Z715" s="94"/>
      <c r="AA715" s="74"/>
      <c r="AB715" s="75"/>
      <c r="AC715" s="75"/>
      <c r="AD715" s="76"/>
      <c r="AE715" s="77"/>
      <c r="AF715" s="75"/>
      <c r="AG715" s="78"/>
      <c r="AH715" s="79"/>
      <c r="AI715" s="74"/>
      <c r="AJ715" s="75"/>
      <c r="AK715" s="75"/>
      <c r="AL715" s="80">
        <f t="shared" si="132"/>
        <v>0</v>
      </c>
      <c r="AM715" s="74"/>
      <c r="AN715" s="74"/>
      <c r="AO715" s="81" t="str">
        <f t="shared" si="133"/>
        <v/>
      </c>
      <c r="AP715" s="82"/>
      <c r="AQ715" s="75"/>
      <c r="AR715" s="75"/>
      <c r="AS715" s="80">
        <f t="shared" si="134"/>
        <v>0</v>
      </c>
      <c r="AT715" s="74"/>
      <c r="AU715" s="75"/>
      <c r="AV715" s="75"/>
      <c r="AW715" s="75"/>
      <c r="AX715" s="80">
        <f t="shared" si="135"/>
        <v>0</v>
      </c>
      <c r="AY715" s="81" t="str">
        <f t="shared" si="136"/>
        <v/>
      </c>
      <c r="AZ715" s="83" t="str">
        <f t="shared" si="137"/>
        <v/>
      </c>
      <c r="BA715" s="80" t="str">
        <f t="shared" si="138"/>
        <v/>
      </c>
      <c r="BB715" s="84">
        <f t="shared" si="139"/>
        <v>0</v>
      </c>
      <c r="BC715" s="85" t="str">
        <f t="shared" si="140"/>
        <v/>
      </c>
      <c r="BD715" s="86" t="str">
        <f t="shared" si="141"/>
        <v/>
      </c>
      <c r="BE715" s="84">
        <f t="shared" si="142"/>
        <v>0</v>
      </c>
      <c r="BF715" s="87" t="str">
        <f t="shared" si="143"/>
        <v/>
      </c>
      <c r="BG715" s="88" t="str">
        <f t="shared" si="144"/>
        <v/>
      </c>
      <c r="BH715" s="89" t="str">
        <f t="shared" si="145"/>
        <v/>
      </c>
      <c r="BI715" s="90" t="str">
        <f t="shared" si="146"/>
        <v/>
      </c>
      <c r="BJ715" s="90" t="str">
        <f t="shared" si="147"/>
        <v/>
      </c>
      <c r="BK715" s="91">
        <f t="shared" si="148"/>
        <v>0</v>
      </c>
      <c r="BL715" s="92">
        <f t="shared" si="149"/>
        <v>0</v>
      </c>
      <c r="BM715" s="95"/>
    </row>
    <row r="716" spans="1:65">
      <c r="A716" s="61">
        <f t="shared" si="126"/>
        <v>0</v>
      </c>
      <c r="B716" s="62"/>
      <c r="C716" s="62"/>
      <c r="D716" s="63"/>
      <c r="E716" s="64"/>
      <c r="F716" s="64"/>
      <c r="G716" s="65"/>
      <c r="H716" s="66" t="str">
        <f t="shared" si="127"/>
        <v/>
      </c>
      <c r="I716" s="67" t="str">
        <f t="shared" si="128"/>
        <v/>
      </c>
      <c r="J716" s="68" t="str">
        <f t="shared" si="129"/>
        <v/>
      </c>
      <c r="K716" s="69" t="str">
        <f t="shared" si="130"/>
        <v/>
      </c>
      <c r="L716" s="70" t="str">
        <f t="shared" si="131"/>
        <v/>
      </c>
      <c r="M716" s="71"/>
      <c r="N716" s="71"/>
      <c r="O716" s="71"/>
      <c r="P716" s="71"/>
      <c r="Q716" s="61"/>
      <c r="R716" s="63"/>
      <c r="S716" s="72"/>
      <c r="T716" s="61"/>
      <c r="U716" s="73"/>
      <c r="V716" s="62"/>
      <c r="W716" s="62"/>
      <c r="X716" s="62"/>
      <c r="Y716" s="93"/>
      <c r="Z716" s="94"/>
      <c r="AA716" s="74"/>
      <c r="AB716" s="75"/>
      <c r="AC716" s="75"/>
      <c r="AD716" s="76"/>
      <c r="AE716" s="77"/>
      <c r="AF716" s="75"/>
      <c r="AG716" s="78"/>
      <c r="AH716" s="79"/>
      <c r="AI716" s="74"/>
      <c r="AJ716" s="75"/>
      <c r="AK716" s="75"/>
      <c r="AL716" s="80">
        <f t="shared" si="132"/>
        <v>0</v>
      </c>
      <c r="AM716" s="74"/>
      <c r="AN716" s="74"/>
      <c r="AO716" s="81" t="str">
        <f t="shared" si="133"/>
        <v/>
      </c>
      <c r="AP716" s="82"/>
      <c r="AQ716" s="75"/>
      <c r="AR716" s="75"/>
      <c r="AS716" s="80">
        <f t="shared" si="134"/>
        <v>0</v>
      </c>
      <c r="AT716" s="74"/>
      <c r="AU716" s="75"/>
      <c r="AV716" s="75"/>
      <c r="AW716" s="75"/>
      <c r="AX716" s="80">
        <f t="shared" si="135"/>
        <v>0</v>
      </c>
      <c r="AY716" s="81" t="str">
        <f t="shared" si="136"/>
        <v/>
      </c>
      <c r="AZ716" s="83" t="str">
        <f t="shared" si="137"/>
        <v/>
      </c>
      <c r="BA716" s="80" t="str">
        <f t="shared" si="138"/>
        <v/>
      </c>
      <c r="BB716" s="84">
        <f t="shared" si="139"/>
        <v>0</v>
      </c>
      <c r="BC716" s="85" t="str">
        <f t="shared" si="140"/>
        <v/>
      </c>
      <c r="BD716" s="86" t="str">
        <f t="shared" si="141"/>
        <v/>
      </c>
      <c r="BE716" s="84">
        <f t="shared" si="142"/>
        <v>0</v>
      </c>
      <c r="BF716" s="87" t="str">
        <f t="shared" si="143"/>
        <v/>
      </c>
      <c r="BG716" s="88" t="str">
        <f t="shared" si="144"/>
        <v/>
      </c>
      <c r="BH716" s="89" t="str">
        <f t="shared" si="145"/>
        <v/>
      </c>
      <c r="BI716" s="90" t="str">
        <f t="shared" si="146"/>
        <v/>
      </c>
      <c r="BJ716" s="90" t="str">
        <f t="shared" si="147"/>
        <v/>
      </c>
      <c r="BK716" s="91">
        <f t="shared" si="148"/>
        <v>0</v>
      </c>
      <c r="BL716" s="92">
        <f t="shared" si="149"/>
        <v>0</v>
      </c>
      <c r="BM716" s="95"/>
    </row>
    <row r="717" spans="1:65">
      <c r="A717" s="61">
        <f t="shared" si="126"/>
        <v>0</v>
      </c>
      <c r="B717" s="62"/>
      <c r="C717" s="62"/>
      <c r="D717" s="63"/>
      <c r="E717" s="64"/>
      <c r="F717" s="64"/>
      <c r="G717" s="65"/>
      <c r="H717" s="66" t="str">
        <f t="shared" si="127"/>
        <v/>
      </c>
      <c r="I717" s="67" t="str">
        <f t="shared" si="128"/>
        <v/>
      </c>
      <c r="J717" s="68" t="str">
        <f t="shared" si="129"/>
        <v/>
      </c>
      <c r="K717" s="69" t="str">
        <f t="shared" si="130"/>
        <v/>
      </c>
      <c r="L717" s="70" t="str">
        <f t="shared" si="131"/>
        <v/>
      </c>
      <c r="M717" s="71"/>
      <c r="N717" s="71"/>
      <c r="O717" s="71"/>
      <c r="P717" s="71"/>
      <c r="Q717" s="61"/>
      <c r="R717" s="63"/>
      <c r="S717" s="72"/>
      <c r="T717" s="61"/>
      <c r="U717" s="73"/>
      <c r="V717" s="62"/>
      <c r="W717" s="62"/>
      <c r="X717" s="62"/>
      <c r="Y717" s="93"/>
      <c r="Z717" s="94"/>
      <c r="AA717" s="74"/>
      <c r="AB717" s="75"/>
      <c r="AC717" s="75"/>
      <c r="AD717" s="76"/>
      <c r="AE717" s="77"/>
      <c r="AF717" s="75"/>
      <c r="AG717" s="78"/>
      <c r="AH717" s="79"/>
      <c r="AI717" s="74"/>
      <c r="AJ717" s="75"/>
      <c r="AK717" s="75"/>
      <c r="AL717" s="80">
        <f t="shared" si="132"/>
        <v>0</v>
      </c>
      <c r="AM717" s="74"/>
      <c r="AN717" s="74"/>
      <c r="AO717" s="81" t="str">
        <f t="shared" si="133"/>
        <v/>
      </c>
      <c r="AP717" s="82"/>
      <c r="AQ717" s="75"/>
      <c r="AR717" s="75"/>
      <c r="AS717" s="80">
        <f t="shared" si="134"/>
        <v>0</v>
      </c>
      <c r="AT717" s="74"/>
      <c r="AU717" s="75"/>
      <c r="AV717" s="75"/>
      <c r="AW717" s="75"/>
      <c r="AX717" s="80">
        <f t="shared" si="135"/>
        <v>0</v>
      </c>
      <c r="AY717" s="81" t="str">
        <f t="shared" si="136"/>
        <v/>
      </c>
      <c r="AZ717" s="83" t="str">
        <f t="shared" si="137"/>
        <v/>
      </c>
      <c r="BA717" s="80" t="str">
        <f t="shared" si="138"/>
        <v/>
      </c>
      <c r="BB717" s="84">
        <f t="shared" si="139"/>
        <v>0</v>
      </c>
      <c r="BC717" s="85" t="str">
        <f t="shared" si="140"/>
        <v/>
      </c>
      <c r="BD717" s="86" t="str">
        <f t="shared" si="141"/>
        <v/>
      </c>
      <c r="BE717" s="84">
        <f t="shared" si="142"/>
        <v>0</v>
      </c>
      <c r="BF717" s="87" t="str">
        <f t="shared" si="143"/>
        <v/>
      </c>
      <c r="BG717" s="88" t="str">
        <f t="shared" si="144"/>
        <v/>
      </c>
      <c r="BH717" s="89" t="str">
        <f t="shared" si="145"/>
        <v/>
      </c>
      <c r="BI717" s="90" t="str">
        <f t="shared" si="146"/>
        <v/>
      </c>
      <c r="BJ717" s="90" t="str">
        <f t="shared" si="147"/>
        <v/>
      </c>
      <c r="BK717" s="91">
        <f t="shared" si="148"/>
        <v>0</v>
      </c>
      <c r="BL717" s="92">
        <f t="shared" si="149"/>
        <v>0</v>
      </c>
      <c r="BM717" s="95"/>
    </row>
    <row r="718" spans="1:65">
      <c r="A718" s="61">
        <f t="shared" si="126"/>
        <v>0</v>
      </c>
      <c r="B718" s="62"/>
      <c r="C718" s="62"/>
      <c r="D718" s="63"/>
      <c r="E718" s="64"/>
      <c r="F718" s="64"/>
      <c r="G718" s="65"/>
      <c r="H718" s="66" t="str">
        <f t="shared" si="127"/>
        <v/>
      </c>
      <c r="I718" s="67" t="str">
        <f t="shared" si="128"/>
        <v/>
      </c>
      <c r="J718" s="68" t="str">
        <f t="shared" si="129"/>
        <v/>
      </c>
      <c r="K718" s="69" t="str">
        <f t="shared" si="130"/>
        <v/>
      </c>
      <c r="L718" s="70" t="str">
        <f t="shared" si="131"/>
        <v/>
      </c>
      <c r="M718" s="71"/>
      <c r="N718" s="71"/>
      <c r="O718" s="71"/>
      <c r="P718" s="71"/>
      <c r="Q718" s="61"/>
      <c r="R718" s="63"/>
      <c r="S718" s="72"/>
      <c r="T718" s="61"/>
      <c r="U718" s="73"/>
      <c r="V718" s="62"/>
      <c r="W718" s="62"/>
      <c r="X718" s="62"/>
      <c r="Y718" s="93"/>
      <c r="Z718" s="94"/>
      <c r="AA718" s="74"/>
      <c r="AB718" s="75"/>
      <c r="AC718" s="75"/>
      <c r="AD718" s="76"/>
      <c r="AE718" s="77"/>
      <c r="AF718" s="75"/>
      <c r="AG718" s="78"/>
      <c r="AH718" s="79"/>
      <c r="AI718" s="74"/>
      <c r="AJ718" s="75"/>
      <c r="AK718" s="75"/>
      <c r="AL718" s="80">
        <f t="shared" si="132"/>
        <v>0</v>
      </c>
      <c r="AM718" s="74"/>
      <c r="AN718" s="74"/>
      <c r="AO718" s="81" t="str">
        <f t="shared" si="133"/>
        <v/>
      </c>
      <c r="AP718" s="82"/>
      <c r="AQ718" s="75"/>
      <c r="AR718" s="75"/>
      <c r="AS718" s="80">
        <f t="shared" si="134"/>
        <v>0</v>
      </c>
      <c r="AT718" s="74"/>
      <c r="AU718" s="75"/>
      <c r="AV718" s="75"/>
      <c r="AW718" s="75"/>
      <c r="AX718" s="80">
        <f t="shared" si="135"/>
        <v>0</v>
      </c>
      <c r="AY718" s="81" t="str">
        <f t="shared" si="136"/>
        <v/>
      </c>
      <c r="AZ718" s="83" t="str">
        <f t="shared" si="137"/>
        <v/>
      </c>
      <c r="BA718" s="80" t="str">
        <f t="shared" si="138"/>
        <v/>
      </c>
      <c r="BB718" s="84">
        <f t="shared" si="139"/>
        <v>0</v>
      </c>
      <c r="BC718" s="85" t="str">
        <f t="shared" si="140"/>
        <v/>
      </c>
      <c r="BD718" s="86" t="str">
        <f t="shared" si="141"/>
        <v/>
      </c>
      <c r="BE718" s="84">
        <f t="shared" si="142"/>
        <v>0</v>
      </c>
      <c r="BF718" s="87" t="str">
        <f t="shared" si="143"/>
        <v/>
      </c>
      <c r="BG718" s="88" t="str">
        <f t="shared" si="144"/>
        <v/>
      </c>
      <c r="BH718" s="89" t="str">
        <f t="shared" si="145"/>
        <v/>
      </c>
      <c r="BI718" s="90" t="str">
        <f t="shared" si="146"/>
        <v/>
      </c>
      <c r="BJ718" s="90" t="str">
        <f t="shared" si="147"/>
        <v/>
      </c>
      <c r="BK718" s="91">
        <f t="shared" si="148"/>
        <v>0</v>
      </c>
      <c r="BL718" s="92">
        <f t="shared" si="149"/>
        <v>0</v>
      </c>
      <c r="BM718" s="95"/>
    </row>
    <row r="719" spans="1:65">
      <c r="A719" s="61">
        <f t="shared" si="126"/>
        <v>0</v>
      </c>
      <c r="B719" s="62"/>
      <c r="C719" s="62"/>
      <c r="D719" s="63"/>
      <c r="E719" s="64"/>
      <c r="F719" s="64"/>
      <c r="G719" s="65"/>
      <c r="H719" s="66" t="str">
        <f t="shared" si="127"/>
        <v/>
      </c>
      <c r="I719" s="67" t="str">
        <f t="shared" si="128"/>
        <v/>
      </c>
      <c r="J719" s="68" t="str">
        <f t="shared" si="129"/>
        <v/>
      </c>
      <c r="K719" s="69" t="str">
        <f t="shared" si="130"/>
        <v/>
      </c>
      <c r="L719" s="70" t="str">
        <f t="shared" si="131"/>
        <v/>
      </c>
      <c r="M719" s="71"/>
      <c r="N719" s="71"/>
      <c r="O719" s="71"/>
      <c r="P719" s="71"/>
      <c r="Q719" s="61"/>
      <c r="R719" s="63"/>
      <c r="S719" s="72"/>
      <c r="T719" s="61"/>
      <c r="U719" s="73"/>
      <c r="V719" s="62"/>
      <c r="W719" s="62"/>
      <c r="X719" s="62"/>
      <c r="Y719" s="93"/>
      <c r="Z719" s="94"/>
      <c r="AA719" s="74"/>
      <c r="AB719" s="75"/>
      <c r="AC719" s="75"/>
      <c r="AD719" s="76"/>
      <c r="AE719" s="77"/>
      <c r="AF719" s="75"/>
      <c r="AG719" s="78"/>
      <c r="AH719" s="79"/>
      <c r="AI719" s="74"/>
      <c r="AJ719" s="75"/>
      <c r="AK719" s="75"/>
      <c r="AL719" s="80">
        <f t="shared" si="132"/>
        <v>0</v>
      </c>
      <c r="AM719" s="74"/>
      <c r="AN719" s="74"/>
      <c r="AO719" s="81" t="str">
        <f t="shared" si="133"/>
        <v/>
      </c>
      <c r="AP719" s="82"/>
      <c r="AQ719" s="75"/>
      <c r="AR719" s="75"/>
      <c r="AS719" s="80">
        <f t="shared" si="134"/>
        <v>0</v>
      </c>
      <c r="AT719" s="74"/>
      <c r="AU719" s="75"/>
      <c r="AV719" s="75"/>
      <c r="AW719" s="75"/>
      <c r="AX719" s="80">
        <f t="shared" si="135"/>
        <v>0</v>
      </c>
      <c r="AY719" s="81" t="str">
        <f t="shared" si="136"/>
        <v/>
      </c>
      <c r="AZ719" s="83" t="str">
        <f t="shared" si="137"/>
        <v/>
      </c>
      <c r="BA719" s="80" t="str">
        <f t="shared" si="138"/>
        <v/>
      </c>
      <c r="BB719" s="84">
        <f t="shared" si="139"/>
        <v>0</v>
      </c>
      <c r="BC719" s="85" t="str">
        <f t="shared" si="140"/>
        <v/>
      </c>
      <c r="BD719" s="86" t="str">
        <f t="shared" si="141"/>
        <v/>
      </c>
      <c r="BE719" s="84">
        <f t="shared" si="142"/>
        <v>0</v>
      </c>
      <c r="BF719" s="87" t="str">
        <f t="shared" si="143"/>
        <v/>
      </c>
      <c r="BG719" s="88" t="str">
        <f t="shared" si="144"/>
        <v/>
      </c>
      <c r="BH719" s="89" t="str">
        <f t="shared" si="145"/>
        <v/>
      </c>
      <c r="BI719" s="90" t="str">
        <f t="shared" si="146"/>
        <v/>
      </c>
      <c r="BJ719" s="90" t="str">
        <f t="shared" si="147"/>
        <v/>
      </c>
      <c r="BK719" s="91">
        <f t="shared" si="148"/>
        <v>0</v>
      </c>
      <c r="BL719" s="92">
        <f t="shared" si="149"/>
        <v>0</v>
      </c>
      <c r="BM719" s="95"/>
    </row>
    <row r="720" spans="1:65">
      <c r="A720" s="61">
        <f t="shared" si="126"/>
        <v>0</v>
      </c>
      <c r="B720" s="62"/>
      <c r="C720" s="62"/>
      <c r="D720" s="63"/>
      <c r="E720" s="64"/>
      <c r="F720" s="64"/>
      <c r="G720" s="65"/>
      <c r="H720" s="66" t="str">
        <f t="shared" si="127"/>
        <v/>
      </c>
      <c r="I720" s="67" t="str">
        <f t="shared" si="128"/>
        <v/>
      </c>
      <c r="J720" s="68" t="str">
        <f t="shared" si="129"/>
        <v/>
      </c>
      <c r="K720" s="69" t="str">
        <f t="shared" si="130"/>
        <v/>
      </c>
      <c r="L720" s="70" t="str">
        <f t="shared" si="131"/>
        <v/>
      </c>
      <c r="M720" s="71"/>
      <c r="N720" s="71"/>
      <c r="O720" s="71"/>
      <c r="P720" s="71"/>
      <c r="Q720" s="61"/>
      <c r="R720" s="63"/>
      <c r="S720" s="72"/>
      <c r="T720" s="61"/>
      <c r="U720" s="73"/>
      <c r="V720" s="62"/>
      <c r="W720" s="62"/>
      <c r="X720" s="62"/>
      <c r="Y720" s="93"/>
      <c r="Z720" s="94"/>
      <c r="AA720" s="74"/>
      <c r="AB720" s="75"/>
      <c r="AC720" s="75"/>
      <c r="AD720" s="76"/>
      <c r="AE720" s="77"/>
      <c r="AF720" s="75"/>
      <c r="AG720" s="78"/>
      <c r="AH720" s="79"/>
      <c r="AI720" s="74"/>
      <c r="AJ720" s="75"/>
      <c r="AK720" s="75"/>
      <c r="AL720" s="80">
        <f t="shared" si="132"/>
        <v>0</v>
      </c>
      <c r="AM720" s="74"/>
      <c r="AN720" s="74"/>
      <c r="AO720" s="81" t="str">
        <f t="shared" si="133"/>
        <v/>
      </c>
      <c r="AP720" s="82"/>
      <c r="AQ720" s="75"/>
      <c r="AR720" s="75"/>
      <c r="AS720" s="80">
        <f t="shared" si="134"/>
        <v>0</v>
      </c>
      <c r="AT720" s="74"/>
      <c r="AU720" s="75"/>
      <c r="AV720" s="75"/>
      <c r="AW720" s="75"/>
      <c r="AX720" s="80">
        <f t="shared" si="135"/>
        <v>0</v>
      </c>
      <c r="AY720" s="81" t="str">
        <f t="shared" si="136"/>
        <v/>
      </c>
      <c r="AZ720" s="83" t="str">
        <f t="shared" si="137"/>
        <v/>
      </c>
      <c r="BA720" s="80" t="str">
        <f t="shared" si="138"/>
        <v/>
      </c>
      <c r="BB720" s="84">
        <f t="shared" si="139"/>
        <v>0</v>
      </c>
      <c r="BC720" s="85" t="str">
        <f t="shared" si="140"/>
        <v/>
      </c>
      <c r="BD720" s="86" t="str">
        <f t="shared" si="141"/>
        <v/>
      </c>
      <c r="BE720" s="84">
        <f t="shared" si="142"/>
        <v>0</v>
      </c>
      <c r="BF720" s="87" t="str">
        <f t="shared" si="143"/>
        <v/>
      </c>
      <c r="BG720" s="88" t="str">
        <f t="shared" si="144"/>
        <v/>
      </c>
      <c r="BH720" s="89" t="str">
        <f t="shared" si="145"/>
        <v/>
      </c>
      <c r="BI720" s="90" t="str">
        <f t="shared" si="146"/>
        <v/>
      </c>
      <c r="BJ720" s="90" t="str">
        <f t="shared" si="147"/>
        <v/>
      </c>
      <c r="BK720" s="91">
        <f t="shared" si="148"/>
        <v>0</v>
      </c>
      <c r="BL720" s="92">
        <f t="shared" si="149"/>
        <v>0</v>
      </c>
      <c r="BM720" s="95"/>
    </row>
    <row r="721" spans="1:65">
      <c r="A721" s="61">
        <f t="shared" si="126"/>
        <v>0</v>
      </c>
      <c r="B721" s="62"/>
      <c r="C721" s="62"/>
      <c r="D721" s="63"/>
      <c r="E721" s="64"/>
      <c r="F721" s="64"/>
      <c r="G721" s="65"/>
      <c r="H721" s="66" t="str">
        <f t="shared" si="127"/>
        <v/>
      </c>
      <c r="I721" s="67" t="str">
        <f t="shared" si="128"/>
        <v/>
      </c>
      <c r="J721" s="68" t="str">
        <f t="shared" si="129"/>
        <v/>
      </c>
      <c r="K721" s="69" t="str">
        <f t="shared" si="130"/>
        <v/>
      </c>
      <c r="L721" s="70" t="str">
        <f t="shared" si="131"/>
        <v/>
      </c>
      <c r="M721" s="71"/>
      <c r="N721" s="71"/>
      <c r="O721" s="71"/>
      <c r="P721" s="71"/>
      <c r="Q721" s="61"/>
      <c r="R721" s="63"/>
      <c r="S721" s="72"/>
      <c r="T721" s="61"/>
      <c r="U721" s="73"/>
      <c r="V721" s="62"/>
      <c r="W721" s="62"/>
      <c r="X721" s="62"/>
      <c r="Y721" s="93"/>
      <c r="Z721" s="94"/>
      <c r="AA721" s="74"/>
      <c r="AB721" s="75"/>
      <c r="AC721" s="75"/>
      <c r="AD721" s="76"/>
      <c r="AE721" s="77"/>
      <c r="AF721" s="75"/>
      <c r="AG721" s="78"/>
      <c r="AH721" s="79"/>
      <c r="AI721" s="74"/>
      <c r="AJ721" s="75"/>
      <c r="AK721" s="75"/>
      <c r="AL721" s="80">
        <f t="shared" si="132"/>
        <v>0</v>
      </c>
      <c r="AM721" s="74"/>
      <c r="AN721" s="74"/>
      <c r="AO721" s="81" t="str">
        <f t="shared" si="133"/>
        <v/>
      </c>
      <c r="AP721" s="82"/>
      <c r="AQ721" s="75"/>
      <c r="AR721" s="75"/>
      <c r="AS721" s="80">
        <f t="shared" si="134"/>
        <v>0</v>
      </c>
      <c r="AT721" s="74"/>
      <c r="AU721" s="75"/>
      <c r="AV721" s="75"/>
      <c r="AW721" s="75"/>
      <c r="AX721" s="80">
        <f t="shared" si="135"/>
        <v>0</v>
      </c>
      <c r="AY721" s="81" t="str">
        <f t="shared" si="136"/>
        <v/>
      </c>
      <c r="AZ721" s="83" t="str">
        <f t="shared" si="137"/>
        <v/>
      </c>
      <c r="BA721" s="80" t="str">
        <f t="shared" si="138"/>
        <v/>
      </c>
      <c r="BB721" s="84">
        <f t="shared" si="139"/>
        <v>0</v>
      </c>
      <c r="BC721" s="85" t="str">
        <f t="shared" si="140"/>
        <v/>
      </c>
      <c r="BD721" s="86" t="str">
        <f t="shared" si="141"/>
        <v/>
      </c>
      <c r="BE721" s="84">
        <f t="shared" si="142"/>
        <v>0</v>
      </c>
      <c r="BF721" s="87" t="str">
        <f t="shared" si="143"/>
        <v/>
      </c>
      <c r="BG721" s="88" t="str">
        <f t="shared" si="144"/>
        <v/>
      </c>
      <c r="BH721" s="89" t="str">
        <f t="shared" si="145"/>
        <v/>
      </c>
      <c r="BI721" s="90" t="str">
        <f t="shared" si="146"/>
        <v/>
      </c>
      <c r="BJ721" s="90" t="str">
        <f t="shared" si="147"/>
        <v/>
      </c>
      <c r="BK721" s="91">
        <f t="shared" si="148"/>
        <v>0</v>
      </c>
      <c r="BL721" s="92">
        <f t="shared" si="149"/>
        <v>0</v>
      </c>
      <c r="BM721" s="95"/>
    </row>
    <row r="722" spans="1:65">
      <c r="A722" s="61">
        <f t="shared" si="126"/>
        <v>0</v>
      </c>
      <c r="B722" s="62"/>
      <c r="C722" s="62"/>
      <c r="D722" s="63"/>
      <c r="E722" s="64"/>
      <c r="F722" s="64"/>
      <c r="G722" s="65"/>
      <c r="H722" s="66" t="str">
        <f t="shared" si="127"/>
        <v/>
      </c>
      <c r="I722" s="67" t="str">
        <f t="shared" si="128"/>
        <v/>
      </c>
      <c r="J722" s="68" t="str">
        <f t="shared" si="129"/>
        <v/>
      </c>
      <c r="K722" s="69" t="str">
        <f t="shared" si="130"/>
        <v/>
      </c>
      <c r="L722" s="70" t="str">
        <f t="shared" si="131"/>
        <v/>
      </c>
      <c r="M722" s="71"/>
      <c r="N722" s="71"/>
      <c r="O722" s="71"/>
      <c r="P722" s="71"/>
      <c r="Q722" s="61"/>
      <c r="R722" s="63"/>
      <c r="S722" s="72"/>
      <c r="T722" s="61"/>
      <c r="U722" s="73"/>
      <c r="V722" s="62"/>
      <c r="W722" s="62"/>
      <c r="X722" s="62"/>
      <c r="Y722" s="93"/>
      <c r="Z722" s="94"/>
      <c r="AA722" s="74"/>
      <c r="AB722" s="75"/>
      <c r="AC722" s="75"/>
      <c r="AD722" s="76"/>
      <c r="AE722" s="77"/>
      <c r="AF722" s="75"/>
      <c r="AG722" s="78"/>
      <c r="AH722" s="79"/>
      <c r="AI722" s="74"/>
      <c r="AJ722" s="75"/>
      <c r="AK722" s="75"/>
      <c r="AL722" s="80">
        <f t="shared" si="132"/>
        <v>0</v>
      </c>
      <c r="AM722" s="74"/>
      <c r="AN722" s="74"/>
      <c r="AO722" s="81" t="str">
        <f t="shared" si="133"/>
        <v/>
      </c>
      <c r="AP722" s="82"/>
      <c r="AQ722" s="75"/>
      <c r="AR722" s="75"/>
      <c r="AS722" s="80">
        <f t="shared" si="134"/>
        <v>0</v>
      </c>
      <c r="AT722" s="74"/>
      <c r="AU722" s="75"/>
      <c r="AV722" s="75"/>
      <c r="AW722" s="75"/>
      <c r="AX722" s="80">
        <f t="shared" si="135"/>
        <v>0</v>
      </c>
      <c r="AY722" s="81" t="str">
        <f t="shared" si="136"/>
        <v/>
      </c>
      <c r="AZ722" s="83" t="str">
        <f t="shared" si="137"/>
        <v/>
      </c>
      <c r="BA722" s="80" t="str">
        <f t="shared" si="138"/>
        <v/>
      </c>
      <c r="BB722" s="84">
        <f t="shared" si="139"/>
        <v>0</v>
      </c>
      <c r="BC722" s="85" t="str">
        <f t="shared" si="140"/>
        <v/>
      </c>
      <c r="BD722" s="86" t="str">
        <f t="shared" si="141"/>
        <v/>
      </c>
      <c r="BE722" s="84">
        <f t="shared" si="142"/>
        <v>0</v>
      </c>
      <c r="BF722" s="87" t="str">
        <f t="shared" si="143"/>
        <v/>
      </c>
      <c r="BG722" s="88" t="str">
        <f t="shared" si="144"/>
        <v/>
      </c>
      <c r="BH722" s="89" t="str">
        <f t="shared" si="145"/>
        <v/>
      </c>
      <c r="BI722" s="90" t="str">
        <f t="shared" si="146"/>
        <v/>
      </c>
      <c r="BJ722" s="90" t="str">
        <f t="shared" si="147"/>
        <v/>
      </c>
      <c r="BK722" s="91">
        <f t="shared" si="148"/>
        <v>0</v>
      </c>
      <c r="BL722" s="92">
        <f t="shared" si="149"/>
        <v>0</v>
      </c>
      <c r="BM722" s="95"/>
    </row>
    <row r="723" spans="1:65">
      <c r="A723" s="61">
        <f t="shared" si="126"/>
        <v>0</v>
      </c>
      <c r="B723" s="62"/>
      <c r="C723" s="62"/>
      <c r="D723" s="63"/>
      <c r="E723" s="64"/>
      <c r="F723" s="64"/>
      <c r="G723" s="65"/>
      <c r="H723" s="66" t="str">
        <f t="shared" si="127"/>
        <v/>
      </c>
      <c r="I723" s="67" t="str">
        <f t="shared" si="128"/>
        <v/>
      </c>
      <c r="J723" s="68" t="str">
        <f t="shared" si="129"/>
        <v/>
      </c>
      <c r="K723" s="69" t="str">
        <f t="shared" si="130"/>
        <v/>
      </c>
      <c r="L723" s="70" t="str">
        <f t="shared" si="131"/>
        <v/>
      </c>
      <c r="M723" s="71"/>
      <c r="N723" s="71"/>
      <c r="O723" s="71"/>
      <c r="P723" s="71"/>
      <c r="Q723" s="61"/>
      <c r="R723" s="63"/>
      <c r="S723" s="72"/>
      <c r="T723" s="61"/>
      <c r="U723" s="73"/>
      <c r="V723" s="62"/>
      <c r="W723" s="62"/>
      <c r="X723" s="62"/>
      <c r="Y723" s="93"/>
      <c r="Z723" s="94"/>
      <c r="AA723" s="74"/>
      <c r="AB723" s="75"/>
      <c r="AC723" s="75"/>
      <c r="AD723" s="76"/>
      <c r="AE723" s="77"/>
      <c r="AF723" s="75"/>
      <c r="AG723" s="78"/>
      <c r="AH723" s="79"/>
      <c r="AI723" s="74"/>
      <c r="AJ723" s="75"/>
      <c r="AK723" s="75"/>
      <c r="AL723" s="80">
        <f t="shared" si="132"/>
        <v>0</v>
      </c>
      <c r="AM723" s="74"/>
      <c r="AN723" s="74"/>
      <c r="AO723" s="81" t="str">
        <f t="shared" si="133"/>
        <v/>
      </c>
      <c r="AP723" s="82"/>
      <c r="AQ723" s="75"/>
      <c r="AR723" s="75"/>
      <c r="AS723" s="80">
        <f t="shared" si="134"/>
        <v>0</v>
      </c>
      <c r="AT723" s="74"/>
      <c r="AU723" s="75"/>
      <c r="AV723" s="75"/>
      <c r="AW723" s="75"/>
      <c r="AX723" s="80">
        <f t="shared" si="135"/>
        <v>0</v>
      </c>
      <c r="AY723" s="81" t="str">
        <f t="shared" si="136"/>
        <v/>
      </c>
      <c r="AZ723" s="83" t="str">
        <f t="shared" si="137"/>
        <v/>
      </c>
      <c r="BA723" s="80" t="str">
        <f t="shared" si="138"/>
        <v/>
      </c>
      <c r="BB723" s="84">
        <f t="shared" si="139"/>
        <v>0</v>
      </c>
      <c r="BC723" s="85" t="str">
        <f t="shared" si="140"/>
        <v/>
      </c>
      <c r="BD723" s="86" t="str">
        <f t="shared" si="141"/>
        <v/>
      </c>
      <c r="BE723" s="84">
        <f t="shared" si="142"/>
        <v>0</v>
      </c>
      <c r="BF723" s="87" t="str">
        <f t="shared" si="143"/>
        <v/>
      </c>
      <c r="BG723" s="88" t="str">
        <f t="shared" si="144"/>
        <v/>
      </c>
      <c r="BH723" s="89" t="str">
        <f t="shared" si="145"/>
        <v/>
      </c>
      <c r="BI723" s="90" t="str">
        <f t="shared" si="146"/>
        <v/>
      </c>
      <c r="BJ723" s="90" t="str">
        <f t="shared" si="147"/>
        <v/>
      </c>
      <c r="BK723" s="91">
        <f t="shared" si="148"/>
        <v>0</v>
      </c>
      <c r="BL723" s="92">
        <f t="shared" si="149"/>
        <v>0</v>
      </c>
      <c r="BM723" s="95"/>
    </row>
    <row r="724" spans="1:65">
      <c r="A724" s="61">
        <f t="shared" si="126"/>
        <v>0</v>
      </c>
      <c r="B724" s="62"/>
      <c r="C724" s="62"/>
      <c r="D724" s="63"/>
      <c r="E724" s="64"/>
      <c r="F724" s="64"/>
      <c r="G724" s="65"/>
      <c r="H724" s="66" t="str">
        <f t="shared" si="127"/>
        <v/>
      </c>
      <c r="I724" s="67" t="str">
        <f t="shared" si="128"/>
        <v/>
      </c>
      <c r="J724" s="68" t="str">
        <f t="shared" si="129"/>
        <v/>
      </c>
      <c r="K724" s="69" t="str">
        <f t="shared" si="130"/>
        <v/>
      </c>
      <c r="L724" s="70" t="str">
        <f t="shared" si="131"/>
        <v/>
      </c>
      <c r="M724" s="71"/>
      <c r="N724" s="71"/>
      <c r="O724" s="71"/>
      <c r="P724" s="71"/>
      <c r="Q724" s="61"/>
      <c r="R724" s="63"/>
      <c r="S724" s="72"/>
      <c r="T724" s="61"/>
      <c r="U724" s="73"/>
      <c r="V724" s="62"/>
      <c r="W724" s="62"/>
      <c r="X724" s="62"/>
      <c r="Y724" s="93"/>
      <c r="Z724" s="94"/>
      <c r="AA724" s="74"/>
      <c r="AB724" s="75"/>
      <c r="AC724" s="75"/>
      <c r="AD724" s="76"/>
      <c r="AE724" s="77"/>
      <c r="AF724" s="75"/>
      <c r="AG724" s="78"/>
      <c r="AH724" s="79"/>
      <c r="AI724" s="74"/>
      <c r="AJ724" s="75"/>
      <c r="AK724" s="75"/>
      <c r="AL724" s="80">
        <f t="shared" si="132"/>
        <v>0</v>
      </c>
      <c r="AM724" s="74"/>
      <c r="AN724" s="74"/>
      <c r="AO724" s="81" t="str">
        <f t="shared" si="133"/>
        <v/>
      </c>
      <c r="AP724" s="82"/>
      <c r="AQ724" s="75"/>
      <c r="AR724" s="75"/>
      <c r="AS724" s="80">
        <f t="shared" si="134"/>
        <v>0</v>
      </c>
      <c r="AT724" s="74"/>
      <c r="AU724" s="75"/>
      <c r="AV724" s="75"/>
      <c r="AW724" s="75"/>
      <c r="AX724" s="80">
        <f t="shared" si="135"/>
        <v>0</v>
      </c>
      <c r="AY724" s="81" t="str">
        <f t="shared" si="136"/>
        <v/>
      </c>
      <c r="AZ724" s="83" t="str">
        <f t="shared" si="137"/>
        <v/>
      </c>
      <c r="BA724" s="80" t="str">
        <f t="shared" si="138"/>
        <v/>
      </c>
      <c r="BB724" s="84">
        <f t="shared" si="139"/>
        <v>0</v>
      </c>
      <c r="BC724" s="85" t="str">
        <f t="shared" si="140"/>
        <v/>
      </c>
      <c r="BD724" s="86" t="str">
        <f t="shared" si="141"/>
        <v/>
      </c>
      <c r="BE724" s="84">
        <f t="shared" si="142"/>
        <v>0</v>
      </c>
      <c r="BF724" s="87" t="str">
        <f t="shared" si="143"/>
        <v/>
      </c>
      <c r="BG724" s="88" t="str">
        <f t="shared" si="144"/>
        <v/>
      </c>
      <c r="BH724" s="89" t="str">
        <f t="shared" si="145"/>
        <v/>
      </c>
      <c r="BI724" s="90" t="str">
        <f t="shared" si="146"/>
        <v/>
      </c>
      <c r="BJ724" s="90" t="str">
        <f t="shared" si="147"/>
        <v/>
      </c>
      <c r="BK724" s="91">
        <f t="shared" si="148"/>
        <v>0</v>
      </c>
      <c r="BL724" s="92">
        <f t="shared" si="149"/>
        <v>0</v>
      </c>
      <c r="BM724" s="95"/>
    </row>
    <row r="725" spans="1:65">
      <c r="A725" s="61">
        <f t="shared" si="126"/>
        <v>0</v>
      </c>
      <c r="B725" s="62"/>
      <c r="C725" s="62"/>
      <c r="D725" s="63"/>
      <c r="E725" s="64"/>
      <c r="F725" s="64"/>
      <c r="G725" s="65"/>
      <c r="H725" s="66" t="str">
        <f t="shared" si="127"/>
        <v/>
      </c>
      <c r="I725" s="67" t="str">
        <f t="shared" si="128"/>
        <v/>
      </c>
      <c r="J725" s="68" t="str">
        <f t="shared" si="129"/>
        <v/>
      </c>
      <c r="K725" s="69" t="str">
        <f t="shared" si="130"/>
        <v/>
      </c>
      <c r="L725" s="70" t="str">
        <f t="shared" si="131"/>
        <v/>
      </c>
      <c r="M725" s="71"/>
      <c r="N725" s="71"/>
      <c r="O725" s="71"/>
      <c r="P725" s="71"/>
      <c r="Q725" s="61"/>
      <c r="R725" s="63"/>
      <c r="S725" s="72"/>
      <c r="T725" s="61"/>
      <c r="U725" s="73"/>
      <c r="V725" s="62"/>
      <c r="W725" s="62"/>
      <c r="X725" s="62"/>
      <c r="Y725" s="93"/>
      <c r="Z725" s="94"/>
      <c r="AA725" s="74"/>
      <c r="AB725" s="75"/>
      <c r="AC725" s="75"/>
      <c r="AD725" s="76"/>
      <c r="AE725" s="77"/>
      <c r="AF725" s="75"/>
      <c r="AG725" s="78"/>
      <c r="AH725" s="79"/>
      <c r="AI725" s="74"/>
      <c r="AJ725" s="75"/>
      <c r="AK725" s="75"/>
      <c r="AL725" s="80">
        <f t="shared" si="132"/>
        <v>0</v>
      </c>
      <c r="AM725" s="74"/>
      <c r="AN725" s="74"/>
      <c r="AO725" s="81" t="str">
        <f t="shared" si="133"/>
        <v/>
      </c>
      <c r="AP725" s="82"/>
      <c r="AQ725" s="75"/>
      <c r="AR725" s="75"/>
      <c r="AS725" s="80">
        <f t="shared" si="134"/>
        <v>0</v>
      </c>
      <c r="AT725" s="74"/>
      <c r="AU725" s="75"/>
      <c r="AV725" s="75"/>
      <c r="AW725" s="75"/>
      <c r="AX725" s="80">
        <f t="shared" si="135"/>
        <v>0</v>
      </c>
      <c r="AY725" s="81" t="str">
        <f t="shared" si="136"/>
        <v/>
      </c>
      <c r="AZ725" s="83" t="str">
        <f t="shared" si="137"/>
        <v/>
      </c>
      <c r="BA725" s="80" t="str">
        <f t="shared" si="138"/>
        <v/>
      </c>
      <c r="BB725" s="84">
        <f t="shared" si="139"/>
        <v>0</v>
      </c>
      <c r="BC725" s="85" t="str">
        <f t="shared" si="140"/>
        <v/>
      </c>
      <c r="BD725" s="86" t="str">
        <f t="shared" si="141"/>
        <v/>
      </c>
      <c r="BE725" s="84">
        <f t="shared" si="142"/>
        <v>0</v>
      </c>
      <c r="BF725" s="87" t="str">
        <f t="shared" si="143"/>
        <v/>
      </c>
      <c r="BG725" s="88" t="str">
        <f t="shared" si="144"/>
        <v/>
      </c>
      <c r="BH725" s="89" t="str">
        <f t="shared" si="145"/>
        <v/>
      </c>
      <c r="BI725" s="90" t="str">
        <f t="shared" si="146"/>
        <v/>
      </c>
      <c r="BJ725" s="90" t="str">
        <f t="shared" si="147"/>
        <v/>
      </c>
      <c r="BK725" s="91">
        <f t="shared" si="148"/>
        <v>0</v>
      </c>
      <c r="BL725" s="92">
        <f t="shared" si="149"/>
        <v>0</v>
      </c>
      <c r="BM725" s="95"/>
    </row>
    <row r="726" spans="1:65">
      <c r="A726" s="61">
        <f t="shared" si="126"/>
        <v>0</v>
      </c>
      <c r="B726" s="62"/>
      <c r="C726" s="62"/>
      <c r="D726" s="63"/>
      <c r="E726" s="64"/>
      <c r="F726" s="64"/>
      <c r="G726" s="65"/>
      <c r="H726" s="66" t="str">
        <f t="shared" si="127"/>
        <v/>
      </c>
      <c r="I726" s="67" t="str">
        <f t="shared" si="128"/>
        <v/>
      </c>
      <c r="J726" s="68" t="str">
        <f t="shared" si="129"/>
        <v/>
      </c>
      <c r="K726" s="69" t="str">
        <f t="shared" si="130"/>
        <v/>
      </c>
      <c r="L726" s="70" t="str">
        <f t="shared" si="131"/>
        <v/>
      </c>
      <c r="M726" s="71"/>
      <c r="N726" s="71"/>
      <c r="O726" s="71"/>
      <c r="P726" s="71"/>
      <c r="Q726" s="61"/>
      <c r="R726" s="63"/>
      <c r="S726" s="72"/>
      <c r="T726" s="61"/>
      <c r="U726" s="73"/>
      <c r="V726" s="62"/>
      <c r="W726" s="62"/>
      <c r="X726" s="62"/>
      <c r="Y726" s="93"/>
      <c r="Z726" s="94"/>
      <c r="AA726" s="74"/>
      <c r="AB726" s="75"/>
      <c r="AC726" s="75"/>
      <c r="AD726" s="76"/>
      <c r="AE726" s="77"/>
      <c r="AF726" s="75"/>
      <c r="AG726" s="78"/>
      <c r="AH726" s="79"/>
      <c r="AI726" s="74"/>
      <c r="AJ726" s="75"/>
      <c r="AK726" s="75"/>
      <c r="AL726" s="80">
        <f t="shared" si="132"/>
        <v>0</v>
      </c>
      <c r="AM726" s="74"/>
      <c r="AN726" s="74"/>
      <c r="AO726" s="81" t="str">
        <f t="shared" si="133"/>
        <v/>
      </c>
      <c r="AP726" s="82"/>
      <c r="AQ726" s="75"/>
      <c r="AR726" s="75"/>
      <c r="AS726" s="80">
        <f t="shared" si="134"/>
        <v>0</v>
      </c>
      <c r="AT726" s="74"/>
      <c r="AU726" s="75"/>
      <c r="AV726" s="75"/>
      <c r="AW726" s="75"/>
      <c r="AX726" s="80">
        <f t="shared" si="135"/>
        <v>0</v>
      </c>
      <c r="AY726" s="81" t="str">
        <f t="shared" si="136"/>
        <v/>
      </c>
      <c r="AZ726" s="83" t="str">
        <f t="shared" si="137"/>
        <v/>
      </c>
      <c r="BA726" s="80" t="str">
        <f t="shared" si="138"/>
        <v/>
      </c>
      <c r="BB726" s="84">
        <f t="shared" si="139"/>
        <v>0</v>
      </c>
      <c r="BC726" s="85" t="str">
        <f t="shared" si="140"/>
        <v/>
      </c>
      <c r="BD726" s="86" t="str">
        <f t="shared" si="141"/>
        <v/>
      </c>
      <c r="BE726" s="84">
        <f t="shared" si="142"/>
        <v>0</v>
      </c>
      <c r="BF726" s="87" t="str">
        <f t="shared" si="143"/>
        <v/>
      </c>
      <c r="BG726" s="88" t="str">
        <f t="shared" si="144"/>
        <v/>
      </c>
      <c r="BH726" s="89" t="str">
        <f t="shared" si="145"/>
        <v/>
      </c>
      <c r="BI726" s="90" t="str">
        <f t="shared" si="146"/>
        <v/>
      </c>
      <c r="BJ726" s="90" t="str">
        <f t="shared" si="147"/>
        <v/>
      </c>
      <c r="BK726" s="91">
        <f t="shared" si="148"/>
        <v>0</v>
      </c>
      <c r="BL726" s="92">
        <f t="shared" si="149"/>
        <v>0</v>
      </c>
      <c r="BM726" s="95"/>
    </row>
    <row r="727" spans="1:65">
      <c r="A727" s="61">
        <f t="shared" si="126"/>
        <v>0</v>
      </c>
      <c r="B727" s="62"/>
      <c r="C727" s="62"/>
      <c r="D727" s="63"/>
      <c r="E727" s="64"/>
      <c r="F727" s="64"/>
      <c r="G727" s="65"/>
      <c r="H727" s="66" t="str">
        <f t="shared" si="127"/>
        <v/>
      </c>
      <c r="I727" s="67" t="str">
        <f t="shared" si="128"/>
        <v/>
      </c>
      <c r="J727" s="68" t="str">
        <f t="shared" si="129"/>
        <v/>
      </c>
      <c r="K727" s="69" t="str">
        <f t="shared" si="130"/>
        <v/>
      </c>
      <c r="L727" s="70" t="str">
        <f t="shared" si="131"/>
        <v/>
      </c>
      <c r="M727" s="71"/>
      <c r="N727" s="71"/>
      <c r="O727" s="71"/>
      <c r="P727" s="71"/>
      <c r="Q727" s="61"/>
      <c r="R727" s="63"/>
      <c r="S727" s="72"/>
      <c r="T727" s="61"/>
      <c r="U727" s="73"/>
      <c r="V727" s="62"/>
      <c r="W727" s="62"/>
      <c r="X727" s="62"/>
      <c r="Y727" s="93"/>
      <c r="Z727" s="94"/>
      <c r="AA727" s="74"/>
      <c r="AB727" s="75"/>
      <c r="AC727" s="75"/>
      <c r="AD727" s="76"/>
      <c r="AE727" s="77"/>
      <c r="AF727" s="75"/>
      <c r="AG727" s="78"/>
      <c r="AH727" s="79"/>
      <c r="AI727" s="74"/>
      <c r="AJ727" s="75"/>
      <c r="AK727" s="75"/>
      <c r="AL727" s="80">
        <f t="shared" si="132"/>
        <v>0</v>
      </c>
      <c r="AM727" s="74"/>
      <c r="AN727" s="74"/>
      <c r="AO727" s="81" t="str">
        <f t="shared" si="133"/>
        <v/>
      </c>
      <c r="AP727" s="82"/>
      <c r="AQ727" s="75"/>
      <c r="AR727" s="75"/>
      <c r="AS727" s="80">
        <f t="shared" si="134"/>
        <v>0</v>
      </c>
      <c r="AT727" s="74"/>
      <c r="AU727" s="75"/>
      <c r="AV727" s="75"/>
      <c r="AW727" s="75"/>
      <c r="AX727" s="80">
        <f t="shared" si="135"/>
        <v>0</v>
      </c>
      <c r="AY727" s="81" t="str">
        <f t="shared" si="136"/>
        <v/>
      </c>
      <c r="AZ727" s="83" t="str">
        <f t="shared" si="137"/>
        <v/>
      </c>
      <c r="BA727" s="80" t="str">
        <f t="shared" si="138"/>
        <v/>
      </c>
      <c r="BB727" s="84">
        <f t="shared" si="139"/>
        <v>0</v>
      </c>
      <c r="BC727" s="85" t="str">
        <f t="shared" si="140"/>
        <v/>
      </c>
      <c r="BD727" s="86" t="str">
        <f t="shared" si="141"/>
        <v/>
      </c>
      <c r="BE727" s="84">
        <f t="shared" si="142"/>
        <v>0</v>
      </c>
      <c r="BF727" s="87" t="str">
        <f t="shared" si="143"/>
        <v/>
      </c>
      <c r="BG727" s="88" t="str">
        <f t="shared" si="144"/>
        <v/>
      </c>
      <c r="BH727" s="89" t="str">
        <f t="shared" si="145"/>
        <v/>
      </c>
      <c r="BI727" s="90" t="str">
        <f t="shared" si="146"/>
        <v/>
      </c>
      <c r="BJ727" s="90" t="str">
        <f t="shared" si="147"/>
        <v/>
      </c>
      <c r="BK727" s="91">
        <f t="shared" si="148"/>
        <v>0</v>
      </c>
      <c r="BL727" s="92">
        <f t="shared" si="149"/>
        <v>0</v>
      </c>
      <c r="BM727" s="95"/>
    </row>
    <row r="728" spans="1:65">
      <c r="A728" s="61">
        <f t="shared" si="126"/>
        <v>0</v>
      </c>
      <c r="B728" s="62"/>
      <c r="C728" s="62"/>
      <c r="D728" s="63"/>
      <c r="E728" s="64"/>
      <c r="F728" s="64"/>
      <c r="G728" s="65"/>
      <c r="H728" s="66" t="str">
        <f t="shared" si="127"/>
        <v/>
      </c>
      <c r="I728" s="67" t="str">
        <f t="shared" si="128"/>
        <v/>
      </c>
      <c r="J728" s="68" t="str">
        <f t="shared" si="129"/>
        <v/>
      </c>
      <c r="K728" s="69" t="str">
        <f t="shared" si="130"/>
        <v/>
      </c>
      <c r="L728" s="70" t="str">
        <f t="shared" si="131"/>
        <v/>
      </c>
      <c r="M728" s="71"/>
      <c r="N728" s="71"/>
      <c r="O728" s="71"/>
      <c r="P728" s="71"/>
      <c r="Q728" s="61"/>
      <c r="R728" s="63"/>
      <c r="S728" s="72"/>
      <c r="T728" s="61"/>
      <c r="U728" s="73"/>
      <c r="V728" s="62"/>
      <c r="W728" s="62"/>
      <c r="X728" s="62"/>
      <c r="Y728" s="93"/>
      <c r="Z728" s="94"/>
      <c r="AA728" s="74"/>
      <c r="AB728" s="75"/>
      <c r="AC728" s="75"/>
      <c r="AD728" s="76"/>
      <c r="AE728" s="77"/>
      <c r="AF728" s="75"/>
      <c r="AG728" s="78"/>
      <c r="AH728" s="79"/>
      <c r="AI728" s="74"/>
      <c r="AJ728" s="75"/>
      <c r="AK728" s="75"/>
      <c r="AL728" s="80">
        <f t="shared" si="132"/>
        <v>0</v>
      </c>
      <c r="AM728" s="74"/>
      <c r="AN728" s="74"/>
      <c r="AO728" s="81" t="str">
        <f t="shared" si="133"/>
        <v/>
      </c>
      <c r="AP728" s="82"/>
      <c r="AQ728" s="75"/>
      <c r="AR728" s="75"/>
      <c r="AS728" s="80">
        <f t="shared" si="134"/>
        <v>0</v>
      </c>
      <c r="AT728" s="74"/>
      <c r="AU728" s="75"/>
      <c r="AV728" s="75"/>
      <c r="AW728" s="75"/>
      <c r="AX728" s="80">
        <f t="shared" si="135"/>
        <v>0</v>
      </c>
      <c r="AY728" s="81" t="str">
        <f t="shared" si="136"/>
        <v/>
      </c>
      <c r="AZ728" s="83" t="str">
        <f t="shared" si="137"/>
        <v/>
      </c>
      <c r="BA728" s="80" t="str">
        <f t="shared" si="138"/>
        <v/>
      </c>
      <c r="BB728" s="84">
        <f t="shared" si="139"/>
        <v>0</v>
      </c>
      <c r="BC728" s="85" t="str">
        <f t="shared" si="140"/>
        <v/>
      </c>
      <c r="BD728" s="86" t="str">
        <f t="shared" si="141"/>
        <v/>
      </c>
      <c r="BE728" s="84">
        <f t="shared" si="142"/>
        <v>0</v>
      </c>
      <c r="BF728" s="87" t="str">
        <f t="shared" si="143"/>
        <v/>
      </c>
      <c r="BG728" s="88" t="str">
        <f t="shared" si="144"/>
        <v/>
      </c>
      <c r="BH728" s="89" t="str">
        <f t="shared" si="145"/>
        <v/>
      </c>
      <c r="BI728" s="90" t="str">
        <f t="shared" si="146"/>
        <v/>
      </c>
      <c r="BJ728" s="90" t="str">
        <f t="shared" si="147"/>
        <v/>
      </c>
      <c r="BK728" s="91">
        <f t="shared" si="148"/>
        <v>0</v>
      </c>
      <c r="BL728" s="92">
        <f t="shared" si="149"/>
        <v>0</v>
      </c>
      <c r="BM728" s="95"/>
    </row>
    <row r="729" spans="1:65">
      <c r="A729" s="61">
        <f t="shared" si="126"/>
        <v>0</v>
      </c>
      <c r="B729" s="62"/>
      <c r="C729" s="62"/>
      <c r="D729" s="63"/>
      <c r="E729" s="64"/>
      <c r="F729" s="64"/>
      <c r="G729" s="65"/>
      <c r="H729" s="66" t="str">
        <f t="shared" si="127"/>
        <v/>
      </c>
      <c r="I729" s="67" t="str">
        <f t="shared" si="128"/>
        <v/>
      </c>
      <c r="J729" s="68" t="str">
        <f t="shared" si="129"/>
        <v/>
      </c>
      <c r="K729" s="69" t="str">
        <f t="shared" si="130"/>
        <v/>
      </c>
      <c r="L729" s="70" t="str">
        <f t="shared" si="131"/>
        <v/>
      </c>
      <c r="M729" s="71"/>
      <c r="N729" s="71"/>
      <c r="O729" s="71"/>
      <c r="P729" s="71"/>
      <c r="Q729" s="61"/>
      <c r="R729" s="63"/>
      <c r="S729" s="72"/>
      <c r="T729" s="61"/>
      <c r="U729" s="73"/>
      <c r="V729" s="62"/>
      <c r="W729" s="62"/>
      <c r="X729" s="62"/>
      <c r="Y729" s="93"/>
      <c r="Z729" s="94"/>
      <c r="AA729" s="74"/>
      <c r="AB729" s="75"/>
      <c r="AC729" s="75"/>
      <c r="AD729" s="76"/>
      <c r="AE729" s="77"/>
      <c r="AF729" s="75"/>
      <c r="AG729" s="78"/>
      <c r="AH729" s="79"/>
      <c r="AI729" s="74"/>
      <c r="AJ729" s="75"/>
      <c r="AK729" s="75"/>
      <c r="AL729" s="80">
        <f t="shared" si="132"/>
        <v>0</v>
      </c>
      <c r="AM729" s="74"/>
      <c r="AN729" s="74"/>
      <c r="AO729" s="81" t="str">
        <f t="shared" si="133"/>
        <v/>
      </c>
      <c r="AP729" s="82"/>
      <c r="AQ729" s="75"/>
      <c r="AR729" s="75"/>
      <c r="AS729" s="80">
        <f t="shared" si="134"/>
        <v>0</v>
      </c>
      <c r="AT729" s="74"/>
      <c r="AU729" s="75"/>
      <c r="AV729" s="75"/>
      <c r="AW729" s="75"/>
      <c r="AX729" s="80">
        <f t="shared" si="135"/>
        <v>0</v>
      </c>
      <c r="AY729" s="81" t="str">
        <f t="shared" si="136"/>
        <v/>
      </c>
      <c r="AZ729" s="83" t="str">
        <f t="shared" si="137"/>
        <v/>
      </c>
      <c r="BA729" s="80" t="str">
        <f t="shared" si="138"/>
        <v/>
      </c>
      <c r="BB729" s="84">
        <f t="shared" si="139"/>
        <v>0</v>
      </c>
      <c r="BC729" s="85" t="str">
        <f t="shared" si="140"/>
        <v/>
      </c>
      <c r="BD729" s="86" t="str">
        <f t="shared" si="141"/>
        <v/>
      </c>
      <c r="BE729" s="84">
        <f t="shared" si="142"/>
        <v>0</v>
      </c>
      <c r="BF729" s="87" t="str">
        <f t="shared" si="143"/>
        <v/>
      </c>
      <c r="BG729" s="88" t="str">
        <f t="shared" si="144"/>
        <v/>
      </c>
      <c r="BH729" s="89" t="str">
        <f t="shared" si="145"/>
        <v/>
      </c>
      <c r="BI729" s="90" t="str">
        <f t="shared" si="146"/>
        <v/>
      </c>
      <c r="BJ729" s="90" t="str">
        <f t="shared" si="147"/>
        <v/>
      </c>
      <c r="BK729" s="91">
        <f t="shared" si="148"/>
        <v>0</v>
      </c>
      <c r="BL729" s="92">
        <f t="shared" si="149"/>
        <v>0</v>
      </c>
      <c r="BM729" s="95"/>
    </row>
    <row r="730" spans="1:65">
      <c r="A730" s="61">
        <f t="shared" si="126"/>
        <v>0</v>
      </c>
      <c r="B730" s="62"/>
      <c r="C730" s="62"/>
      <c r="D730" s="63"/>
      <c r="E730" s="64"/>
      <c r="F730" s="64"/>
      <c r="G730" s="65"/>
      <c r="H730" s="66" t="str">
        <f t="shared" si="127"/>
        <v/>
      </c>
      <c r="I730" s="67" t="str">
        <f t="shared" si="128"/>
        <v/>
      </c>
      <c r="J730" s="68" t="str">
        <f t="shared" si="129"/>
        <v/>
      </c>
      <c r="K730" s="69" t="str">
        <f t="shared" si="130"/>
        <v/>
      </c>
      <c r="L730" s="70" t="str">
        <f t="shared" si="131"/>
        <v/>
      </c>
      <c r="M730" s="71"/>
      <c r="N730" s="71"/>
      <c r="O730" s="71"/>
      <c r="P730" s="71"/>
      <c r="Q730" s="61"/>
      <c r="R730" s="63"/>
      <c r="S730" s="72"/>
      <c r="T730" s="61"/>
      <c r="U730" s="73"/>
      <c r="V730" s="62"/>
      <c r="W730" s="62"/>
      <c r="X730" s="62"/>
      <c r="Y730" s="93"/>
      <c r="Z730" s="94"/>
      <c r="AA730" s="74"/>
      <c r="AB730" s="75"/>
      <c r="AC730" s="75"/>
      <c r="AD730" s="76"/>
      <c r="AE730" s="77"/>
      <c r="AF730" s="75"/>
      <c r="AG730" s="78"/>
      <c r="AH730" s="79"/>
      <c r="AI730" s="74"/>
      <c r="AJ730" s="75"/>
      <c r="AK730" s="75"/>
      <c r="AL730" s="80">
        <f t="shared" si="132"/>
        <v>0</v>
      </c>
      <c r="AM730" s="74"/>
      <c r="AN730" s="74"/>
      <c r="AO730" s="81" t="str">
        <f t="shared" si="133"/>
        <v/>
      </c>
      <c r="AP730" s="82"/>
      <c r="AQ730" s="75"/>
      <c r="AR730" s="75"/>
      <c r="AS730" s="80">
        <f t="shared" si="134"/>
        <v>0</v>
      </c>
      <c r="AT730" s="74"/>
      <c r="AU730" s="75"/>
      <c r="AV730" s="75"/>
      <c r="AW730" s="75"/>
      <c r="AX730" s="80">
        <f t="shared" si="135"/>
        <v>0</v>
      </c>
      <c r="AY730" s="81" t="str">
        <f t="shared" si="136"/>
        <v/>
      </c>
      <c r="AZ730" s="83" t="str">
        <f t="shared" si="137"/>
        <v/>
      </c>
      <c r="BA730" s="80" t="str">
        <f t="shared" si="138"/>
        <v/>
      </c>
      <c r="BB730" s="84">
        <f t="shared" si="139"/>
        <v>0</v>
      </c>
      <c r="BC730" s="85" t="str">
        <f t="shared" si="140"/>
        <v/>
      </c>
      <c r="BD730" s="86" t="str">
        <f t="shared" si="141"/>
        <v/>
      </c>
      <c r="BE730" s="84">
        <f t="shared" si="142"/>
        <v>0</v>
      </c>
      <c r="BF730" s="87" t="str">
        <f t="shared" si="143"/>
        <v/>
      </c>
      <c r="BG730" s="88" t="str">
        <f t="shared" si="144"/>
        <v/>
      </c>
      <c r="BH730" s="89" t="str">
        <f t="shared" si="145"/>
        <v/>
      </c>
      <c r="BI730" s="90" t="str">
        <f t="shared" si="146"/>
        <v/>
      </c>
      <c r="BJ730" s="90" t="str">
        <f t="shared" si="147"/>
        <v/>
      </c>
      <c r="BK730" s="91">
        <f t="shared" si="148"/>
        <v>0</v>
      </c>
      <c r="BL730" s="92">
        <f t="shared" si="149"/>
        <v>0</v>
      </c>
      <c r="BM730" s="95"/>
    </row>
    <row r="731" spans="1:65">
      <c r="A731" s="61">
        <f t="shared" si="126"/>
        <v>0</v>
      </c>
      <c r="B731" s="62"/>
      <c r="C731" s="62"/>
      <c r="D731" s="63"/>
      <c r="E731" s="64"/>
      <c r="F731" s="64"/>
      <c r="G731" s="65"/>
      <c r="H731" s="66" t="str">
        <f t="shared" si="127"/>
        <v/>
      </c>
      <c r="I731" s="67" t="str">
        <f t="shared" si="128"/>
        <v/>
      </c>
      <c r="J731" s="68" t="str">
        <f t="shared" si="129"/>
        <v/>
      </c>
      <c r="K731" s="69" t="str">
        <f t="shared" si="130"/>
        <v/>
      </c>
      <c r="L731" s="70" t="str">
        <f t="shared" si="131"/>
        <v/>
      </c>
      <c r="M731" s="71"/>
      <c r="N731" s="71"/>
      <c r="O731" s="71"/>
      <c r="P731" s="71"/>
      <c r="Q731" s="61"/>
      <c r="R731" s="63"/>
      <c r="S731" s="72"/>
      <c r="T731" s="61"/>
      <c r="U731" s="73"/>
      <c r="V731" s="62"/>
      <c r="W731" s="62"/>
      <c r="X731" s="62"/>
      <c r="Y731" s="93"/>
      <c r="Z731" s="94"/>
      <c r="AA731" s="74"/>
      <c r="AB731" s="75"/>
      <c r="AC731" s="75"/>
      <c r="AD731" s="76"/>
      <c r="AE731" s="77"/>
      <c r="AF731" s="75"/>
      <c r="AG731" s="78"/>
      <c r="AH731" s="79"/>
      <c r="AI731" s="74"/>
      <c r="AJ731" s="75"/>
      <c r="AK731" s="75"/>
      <c r="AL731" s="80">
        <f t="shared" si="132"/>
        <v>0</v>
      </c>
      <c r="AM731" s="74"/>
      <c r="AN731" s="74"/>
      <c r="AO731" s="81" t="str">
        <f t="shared" si="133"/>
        <v/>
      </c>
      <c r="AP731" s="82"/>
      <c r="AQ731" s="75"/>
      <c r="AR731" s="75"/>
      <c r="AS731" s="80">
        <f t="shared" si="134"/>
        <v>0</v>
      </c>
      <c r="AT731" s="74"/>
      <c r="AU731" s="75"/>
      <c r="AV731" s="75"/>
      <c r="AW731" s="75"/>
      <c r="AX731" s="80">
        <f t="shared" si="135"/>
        <v>0</v>
      </c>
      <c r="AY731" s="81" t="str">
        <f t="shared" si="136"/>
        <v/>
      </c>
      <c r="AZ731" s="83" t="str">
        <f t="shared" si="137"/>
        <v/>
      </c>
      <c r="BA731" s="80" t="str">
        <f t="shared" si="138"/>
        <v/>
      </c>
      <c r="BB731" s="84">
        <f t="shared" si="139"/>
        <v>0</v>
      </c>
      <c r="BC731" s="85" t="str">
        <f t="shared" si="140"/>
        <v/>
      </c>
      <c r="BD731" s="86" t="str">
        <f t="shared" si="141"/>
        <v/>
      </c>
      <c r="BE731" s="84">
        <f t="shared" si="142"/>
        <v>0</v>
      </c>
      <c r="BF731" s="87" t="str">
        <f t="shared" si="143"/>
        <v/>
      </c>
      <c r="BG731" s="88" t="str">
        <f t="shared" si="144"/>
        <v/>
      </c>
      <c r="BH731" s="89" t="str">
        <f t="shared" si="145"/>
        <v/>
      </c>
      <c r="BI731" s="90" t="str">
        <f t="shared" si="146"/>
        <v/>
      </c>
      <c r="BJ731" s="90" t="str">
        <f t="shared" si="147"/>
        <v/>
      </c>
      <c r="BK731" s="91">
        <f t="shared" si="148"/>
        <v>0</v>
      </c>
      <c r="BL731" s="92">
        <f t="shared" si="149"/>
        <v>0</v>
      </c>
      <c r="BM731" s="95"/>
    </row>
    <row r="732" spans="1:65">
      <c r="A732" s="61">
        <f t="shared" si="126"/>
        <v>0</v>
      </c>
      <c r="B732" s="62"/>
      <c r="C732" s="62"/>
      <c r="D732" s="63"/>
      <c r="E732" s="64"/>
      <c r="F732" s="64"/>
      <c r="G732" s="65"/>
      <c r="H732" s="66" t="str">
        <f t="shared" si="127"/>
        <v/>
      </c>
      <c r="I732" s="67" t="str">
        <f t="shared" si="128"/>
        <v/>
      </c>
      <c r="J732" s="68" t="str">
        <f t="shared" si="129"/>
        <v/>
      </c>
      <c r="K732" s="69" t="str">
        <f t="shared" si="130"/>
        <v/>
      </c>
      <c r="L732" s="70" t="str">
        <f t="shared" si="131"/>
        <v/>
      </c>
      <c r="M732" s="71"/>
      <c r="N732" s="71"/>
      <c r="O732" s="71"/>
      <c r="P732" s="71"/>
      <c r="Q732" s="61"/>
      <c r="R732" s="63"/>
      <c r="S732" s="72"/>
      <c r="T732" s="61"/>
      <c r="U732" s="73"/>
      <c r="V732" s="62"/>
      <c r="W732" s="62"/>
      <c r="X732" s="62"/>
      <c r="Y732" s="93"/>
      <c r="Z732" s="94"/>
      <c r="AA732" s="74"/>
      <c r="AB732" s="75"/>
      <c r="AC732" s="75"/>
      <c r="AD732" s="76"/>
      <c r="AE732" s="77"/>
      <c r="AF732" s="75"/>
      <c r="AG732" s="78"/>
      <c r="AH732" s="79"/>
      <c r="AI732" s="74"/>
      <c r="AJ732" s="75"/>
      <c r="AK732" s="75"/>
      <c r="AL732" s="80">
        <f t="shared" si="132"/>
        <v>0</v>
      </c>
      <c r="AM732" s="74"/>
      <c r="AN732" s="74"/>
      <c r="AO732" s="81" t="str">
        <f t="shared" si="133"/>
        <v/>
      </c>
      <c r="AP732" s="82"/>
      <c r="AQ732" s="75"/>
      <c r="AR732" s="75"/>
      <c r="AS732" s="80">
        <f t="shared" si="134"/>
        <v>0</v>
      </c>
      <c r="AT732" s="74"/>
      <c r="AU732" s="75"/>
      <c r="AV732" s="75"/>
      <c r="AW732" s="75"/>
      <c r="AX732" s="80">
        <f t="shared" si="135"/>
        <v>0</v>
      </c>
      <c r="AY732" s="81" t="str">
        <f t="shared" si="136"/>
        <v/>
      </c>
      <c r="AZ732" s="83" t="str">
        <f t="shared" si="137"/>
        <v/>
      </c>
      <c r="BA732" s="80" t="str">
        <f t="shared" si="138"/>
        <v/>
      </c>
      <c r="BB732" s="84">
        <f t="shared" si="139"/>
        <v>0</v>
      </c>
      <c r="BC732" s="85" t="str">
        <f t="shared" si="140"/>
        <v/>
      </c>
      <c r="BD732" s="86" t="str">
        <f t="shared" si="141"/>
        <v/>
      </c>
      <c r="BE732" s="84">
        <f t="shared" si="142"/>
        <v>0</v>
      </c>
      <c r="BF732" s="87" t="str">
        <f t="shared" si="143"/>
        <v/>
      </c>
      <c r="BG732" s="88" t="str">
        <f t="shared" si="144"/>
        <v/>
      </c>
      <c r="BH732" s="89" t="str">
        <f t="shared" si="145"/>
        <v/>
      </c>
      <c r="BI732" s="90" t="str">
        <f t="shared" si="146"/>
        <v/>
      </c>
      <c r="BJ732" s="90" t="str">
        <f t="shared" si="147"/>
        <v/>
      </c>
      <c r="BK732" s="91">
        <f t="shared" si="148"/>
        <v>0</v>
      </c>
      <c r="BL732" s="92">
        <f t="shared" si="149"/>
        <v>0</v>
      </c>
      <c r="BM732" s="95"/>
    </row>
    <row r="733" spans="1:65">
      <c r="A733" s="61">
        <f t="shared" si="126"/>
        <v>0</v>
      </c>
      <c r="B733" s="62"/>
      <c r="C733" s="62"/>
      <c r="D733" s="63"/>
      <c r="E733" s="64"/>
      <c r="F733" s="64"/>
      <c r="G733" s="65"/>
      <c r="H733" s="66" t="str">
        <f t="shared" si="127"/>
        <v/>
      </c>
      <c r="I733" s="67" t="str">
        <f t="shared" si="128"/>
        <v/>
      </c>
      <c r="J733" s="68" t="str">
        <f t="shared" si="129"/>
        <v/>
      </c>
      <c r="K733" s="69" t="str">
        <f t="shared" si="130"/>
        <v/>
      </c>
      <c r="L733" s="70" t="str">
        <f t="shared" si="131"/>
        <v/>
      </c>
      <c r="M733" s="71"/>
      <c r="N733" s="71"/>
      <c r="O733" s="71"/>
      <c r="P733" s="71"/>
      <c r="Q733" s="61"/>
      <c r="R733" s="63"/>
      <c r="S733" s="72"/>
      <c r="T733" s="61"/>
      <c r="U733" s="73"/>
      <c r="V733" s="62"/>
      <c r="W733" s="62"/>
      <c r="X733" s="62"/>
      <c r="Y733" s="93"/>
      <c r="Z733" s="94"/>
      <c r="AA733" s="74"/>
      <c r="AB733" s="75"/>
      <c r="AC733" s="75"/>
      <c r="AD733" s="76"/>
      <c r="AE733" s="77"/>
      <c r="AF733" s="75"/>
      <c r="AG733" s="78"/>
      <c r="AH733" s="79"/>
      <c r="AI733" s="74"/>
      <c r="AJ733" s="75"/>
      <c r="AK733" s="75"/>
      <c r="AL733" s="80">
        <f t="shared" si="132"/>
        <v>0</v>
      </c>
      <c r="AM733" s="74"/>
      <c r="AN733" s="74"/>
      <c r="AO733" s="81" t="str">
        <f t="shared" si="133"/>
        <v/>
      </c>
      <c r="AP733" s="82"/>
      <c r="AQ733" s="75"/>
      <c r="AR733" s="75"/>
      <c r="AS733" s="80">
        <f t="shared" si="134"/>
        <v>0</v>
      </c>
      <c r="AT733" s="74"/>
      <c r="AU733" s="75"/>
      <c r="AV733" s="75"/>
      <c r="AW733" s="75"/>
      <c r="AX733" s="80">
        <f t="shared" si="135"/>
        <v>0</v>
      </c>
      <c r="AY733" s="81" t="str">
        <f t="shared" si="136"/>
        <v/>
      </c>
      <c r="AZ733" s="83" t="str">
        <f t="shared" si="137"/>
        <v/>
      </c>
      <c r="BA733" s="80" t="str">
        <f t="shared" si="138"/>
        <v/>
      </c>
      <c r="BB733" s="84">
        <f t="shared" si="139"/>
        <v>0</v>
      </c>
      <c r="BC733" s="85" t="str">
        <f t="shared" si="140"/>
        <v/>
      </c>
      <c r="BD733" s="86" t="str">
        <f t="shared" si="141"/>
        <v/>
      </c>
      <c r="BE733" s="84">
        <f t="shared" si="142"/>
        <v>0</v>
      </c>
      <c r="BF733" s="87" t="str">
        <f t="shared" si="143"/>
        <v/>
      </c>
      <c r="BG733" s="88" t="str">
        <f t="shared" si="144"/>
        <v/>
      </c>
      <c r="BH733" s="89" t="str">
        <f t="shared" si="145"/>
        <v/>
      </c>
      <c r="BI733" s="90" t="str">
        <f t="shared" si="146"/>
        <v/>
      </c>
      <c r="BJ733" s="90" t="str">
        <f t="shared" si="147"/>
        <v/>
      </c>
      <c r="BK733" s="91">
        <f t="shared" si="148"/>
        <v>0</v>
      </c>
      <c r="BL733" s="92">
        <f t="shared" si="149"/>
        <v>0</v>
      </c>
      <c r="BM733" s="95"/>
    </row>
    <row r="734" spans="1:65">
      <c r="A734" s="61">
        <f t="shared" si="126"/>
        <v>0</v>
      </c>
      <c r="B734" s="62"/>
      <c r="C734" s="62"/>
      <c r="D734" s="63"/>
      <c r="E734" s="64"/>
      <c r="F734" s="64"/>
      <c r="G734" s="65"/>
      <c r="H734" s="66" t="str">
        <f t="shared" si="127"/>
        <v/>
      </c>
      <c r="I734" s="67" t="str">
        <f t="shared" si="128"/>
        <v/>
      </c>
      <c r="J734" s="68" t="str">
        <f t="shared" si="129"/>
        <v/>
      </c>
      <c r="K734" s="69" t="str">
        <f t="shared" si="130"/>
        <v/>
      </c>
      <c r="L734" s="70" t="str">
        <f t="shared" si="131"/>
        <v/>
      </c>
      <c r="M734" s="71"/>
      <c r="N734" s="71"/>
      <c r="O734" s="71"/>
      <c r="P734" s="71"/>
      <c r="Q734" s="61"/>
      <c r="R734" s="63"/>
      <c r="S734" s="72"/>
      <c r="T734" s="61"/>
      <c r="U734" s="73"/>
      <c r="V734" s="62"/>
      <c r="W734" s="62"/>
      <c r="X734" s="62"/>
      <c r="Y734" s="93"/>
      <c r="Z734" s="94"/>
      <c r="AA734" s="74"/>
      <c r="AB734" s="75"/>
      <c r="AC734" s="75"/>
      <c r="AD734" s="76"/>
      <c r="AE734" s="77"/>
      <c r="AF734" s="75"/>
      <c r="AG734" s="78"/>
      <c r="AH734" s="79"/>
      <c r="AI734" s="74"/>
      <c r="AJ734" s="75"/>
      <c r="AK734" s="75"/>
      <c r="AL734" s="80">
        <f t="shared" si="132"/>
        <v>0</v>
      </c>
      <c r="AM734" s="74"/>
      <c r="AN734" s="74"/>
      <c r="AO734" s="81" t="str">
        <f t="shared" si="133"/>
        <v/>
      </c>
      <c r="AP734" s="82"/>
      <c r="AQ734" s="75"/>
      <c r="AR734" s="75"/>
      <c r="AS734" s="80">
        <f t="shared" si="134"/>
        <v>0</v>
      </c>
      <c r="AT734" s="74"/>
      <c r="AU734" s="75"/>
      <c r="AV734" s="75"/>
      <c r="AW734" s="75"/>
      <c r="AX734" s="80">
        <f t="shared" si="135"/>
        <v>0</v>
      </c>
      <c r="AY734" s="81" t="str">
        <f t="shared" si="136"/>
        <v/>
      </c>
      <c r="AZ734" s="83" t="str">
        <f t="shared" si="137"/>
        <v/>
      </c>
      <c r="BA734" s="80" t="str">
        <f t="shared" si="138"/>
        <v/>
      </c>
      <c r="BB734" s="84">
        <f t="shared" si="139"/>
        <v>0</v>
      </c>
      <c r="BC734" s="85" t="str">
        <f t="shared" si="140"/>
        <v/>
      </c>
      <c r="BD734" s="86" t="str">
        <f t="shared" si="141"/>
        <v/>
      </c>
      <c r="BE734" s="84">
        <f t="shared" si="142"/>
        <v>0</v>
      </c>
      <c r="BF734" s="87" t="str">
        <f t="shared" si="143"/>
        <v/>
      </c>
      <c r="BG734" s="88" t="str">
        <f t="shared" si="144"/>
        <v/>
      </c>
      <c r="BH734" s="89" t="str">
        <f t="shared" si="145"/>
        <v/>
      </c>
      <c r="BI734" s="90" t="str">
        <f t="shared" si="146"/>
        <v/>
      </c>
      <c r="BJ734" s="90" t="str">
        <f t="shared" si="147"/>
        <v/>
      </c>
      <c r="BK734" s="91">
        <f t="shared" si="148"/>
        <v>0</v>
      </c>
      <c r="BL734" s="92">
        <f t="shared" si="149"/>
        <v>0</v>
      </c>
      <c r="BM734" s="95"/>
    </row>
    <row r="735" spans="1:65">
      <c r="A735" s="61">
        <f t="shared" si="126"/>
        <v>0</v>
      </c>
      <c r="B735" s="62"/>
      <c r="C735" s="62"/>
      <c r="D735" s="63"/>
      <c r="E735" s="64"/>
      <c r="F735" s="64"/>
      <c r="G735" s="65"/>
      <c r="H735" s="66" t="str">
        <f t="shared" si="127"/>
        <v/>
      </c>
      <c r="I735" s="67" t="str">
        <f t="shared" si="128"/>
        <v/>
      </c>
      <c r="J735" s="68" t="str">
        <f t="shared" si="129"/>
        <v/>
      </c>
      <c r="K735" s="69" t="str">
        <f t="shared" si="130"/>
        <v/>
      </c>
      <c r="L735" s="70" t="str">
        <f t="shared" si="131"/>
        <v/>
      </c>
      <c r="M735" s="71"/>
      <c r="N735" s="71"/>
      <c r="O735" s="71"/>
      <c r="P735" s="71"/>
      <c r="Q735" s="61"/>
      <c r="R735" s="63"/>
      <c r="S735" s="72"/>
      <c r="T735" s="61"/>
      <c r="U735" s="73"/>
      <c r="V735" s="62"/>
      <c r="W735" s="62"/>
      <c r="X735" s="62"/>
      <c r="Y735" s="93"/>
      <c r="Z735" s="94"/>
      <c r="AA735" s="74"/>
      <c r="AB735" s="75"/>
      <c r="AC735" s="75"/>
      <c r="AD735" s="76"/>
      <c r="AE735" s="77"/>
      <c r="AF735" s="75"/>
      <c r="AG735" s="78"/>
      <c r="AH735" s="79"/>
      <c r="AI735" s="74"/>
      <c r="AJ735" s="75"/>
      <c r="AK735" s="75"/>
      <c r="AL735" s="80">
        <f t="shared" si="132"/>
        <v>0</v>
      </c>
      <c r="AM735" s="74"/>
      <c r="AN735" s="74"/>
      <c r="AO735" s="81" t="str">
        <f t="shared" si="133"/>
        <v/>
      </c>
      <c r="AP735" s="82"/>
      <c r="AQ735" s="75"/>
      <c r="AR735" s="75"/>
      <c r="AS735" s="80">
        <f t="shared" si="134"/>
        <v>0</v>
      </c>
      <c r="AT735" s="74"/>
      <c r="AU735" s="75"/>
      <c r="AV735" s="75"/>
      <c r="AW735" s="75"/>
      <c r="AX735" s="80">
        <f t="shared" si="135"/>
        <v>0</v>
      </c>
      <c r="AY735" s="81" t="str">
        <f t="shared" si="136"/>
        <v/>
      </c>
      <c r="AZ735" s="83" t="str">
        <f t="shared" si="137"/>
        <v/>
      </c>
      <c r="BA735" s="80" t="str">
        <f t="shared" si="138"/>
        <v/>
      </c>
      <c r="BB735" s="84">
        <f t="shared" si="139"/>
        <v>0</v>
      </c>
      <c r="BC735" s="85" t="str">
        <f t="shared" si="140"/>
        <v/>
      </c>
      <c r="BD735" s="86" t="str">
        <f t="shared" si="141"/>
        <v/>
      </c>
      <c r="BE735" s="84">
        <f t="shared" si="142"/>
        <v>0</v>
      </c>
      <c r="BF735" s="87" t="str">
        <f t="shared" si="143"/>
        <v/>
      </c>
      <c r="BG735" s="88" t="str">
        <f t="shared" si="144"/>
        <v/>
      </c>
      <c r="BH735" s="89" t="str">
        <f t="shared" si="145"/>
        <v/>
      </c>
      <c r="BI735" s="90" t="str">
        <f t="shared" si="146"/>
        <v/>
      </c>
      <c r="BJ735" s="90" t="str">
        <f t="shared" si="147"/>
        <v/>
      </c>
      <c r="BK735" s="91">
        <f t="shared" si="148"/>
        <v>0</v>
      </c>
      <c r="BL735" s="92">
        <f t="shared" si="149"/>
        <v>0</v>
      </c>
      <c r="BM735" s="95"/>
    </row>
    <row r="736" spans="1:65">
      <c r="A736" s="61">
        <f t="shared" si="126"/>
        <v>0</v>
      </c>
      <c r="B736" s="62"/>
      <c r="C736" s="62"/>
      <c r="D736" s="63"/>
      <c r="E736" s="64"/>
      <c r="F736" s="64"/>
      <c r="G736" s="65"/>
      <c r="H736" s="66" t="str">
        <f t="shared" si="127"/>
        <v/>
      </c>
      <c r="I736" s="67" t="str">
        <f t="shared" si="128"/>
        <v/>
      </c>
      <c r="J736" s="68" t="str">
        <f t="shared" si="129"/>
        <v/>
      </c>
      <c r="K736" s="69" t="str">
        <f t="shared" si="130"/>
        <v/>
      </c>
      <c r="L736" s="70" t="str">
        <f t="shared" si="131"/>
        <v/>
      </c>
      <c r="M736" s="71"/>
      <c r="N736" s="71"/>
      <c r="O736" s="71"/>
      <c r="P736" s="71"/>
      <c r="Q736" s="61"/>
      <c r="R736" s="63"/>
      <c r="S736" s="72"/>
      <c r="T736" s="61"/>
      <c r="U736" s="73"/>
      <c r="V736" s="62"/>
      <c r="W736" s="62"/>
      <c r="X736" s="62"/>
      <c r="Y736" s="93"/>
      <c r="Z736" s="94"/>
      <c r="AA736" s="74"/>
      <c r="AB736" s="75"/>
      <c r="AC736" s="75"/>
      <c r="AD736" s="76"/>
      <c r="AE736" s="77"/>
      <c r="AF736" s="75"/>
      <c r="AG736" s="78"/>
      <c r="AH736" s="79"/>
      <c r="AI736" s="74"/>
      <c r="AJ736" s="75"/>
      <c r="AK736" s="75"/>
      <c r="AL736" s="80">
        <f t="shared" si="132"/>
        <v>0</v>
      </c>
      <c r="AM736" s="74"/>
      <c r="AN736" s="74"/>
      <c r="AO736" s="81" t="str">
        <f t="shared" si="133"/>
        <v/>
      </c>
      <c r="AP736" s="82"/>
      <c r="AQ736" s="75"/>
      <c r="AR736" s="75"/>
      <c r="AS736" s="80">
        <f t="shared" si="134"/>
        <v>0</v>
      </c>
      <c r="AT736" s="74"/>
      <c r="AU736" s="75"/>
      <c r="AV736" s="75"/>
      <c r="AW736" s="75"/>
      <c r="AX736" s="80">
        <f t="shared" si="135"/>
        <v>0</v>
      </c>
      <c r="AY736" s="81" t="str">
        <f t="shared" si="136"/>
        <v/>
      </c>
      <c r="AZ736" s="83" t="str">
        <f t="shared" si="137"/>
        <v/>
      </c>
      <c r="BA736" s="80" t="str">
        <f t="shared" si="138"/>
        <v/>
      </c>
      <c r="BB736" s="84">
        <f t="shared" si="139"/>
        <v>0</v>
      </c>
      <c r="BC736" s="85" t="str">
        <f t="shared" si="140"/>
        <v/>
      </c>
      <c r="BD736" s="86" t="str">
        <f t="shared" si="141"/>
        <v/>
      </c>
      <c r="BE736" s="84">
        <f t="shared" si="142"/>
        <v>0</v>
      </c>
      <c r="BF736" s="87" t="str">
        <f t="shared" si="143"/>
        <v/>
      </c>
      <c r="BG736" s="88" t="str">
        <f t="shared" si="144"/>
        <v/>
      </c>
      <c r="BH736" s="89" t="str">
        <f t="shared" si="145"/>
        <v/>
      </c>
      <c r="BI736" s="90" t="str">
        <f t="shared" si="146"/>
        <v/>
      </c>
      <c r="BJ736" s="90" t="str">
        <f t="shared" si="147"/>
        <v/>
      </c>
      <c r="BK736" s="91">
        <f t="shared" si="148"/>
        <v>0</v>
      </c>
      <c r="BL736" s="92">
        <f t="shared" si="149"/>
        <v>0</v>
      </c>
      <c r="BM736" s="95"/>
    </row>
    <row r="737" spans="1:65">
      <c r="A737" s="61">
        <f t="shared" si="126"/>
        <v>0</v>
      </c>
      <c r="B737" s="62"/>
      <c r="C737" s="62"/>
      <c r="D737" s="63"/>
      <c r="E737" s="64"/>
      <c r="F737" s="64"/>
      <c r="G737" s="65"/>
      <c r="H737" s="66" t="str">
        <f t="shared" si="127"/>
        <v/>
      </c>
      <c r="I737" s="67" t="str">
        <f t="shared" si="128"/>
        <v/>
      </c>
      <c r="J737" s="68" t="str">
        <f t="shared" si="129"/>
        <v/>
      </c>
      <c r="K737" s="69" t="str">
        <f t="shared" si="130"/>
        <v/>
      </c>
      <c r="L737" s="70" t="str">
        <f t="shared" si="131"/>
        <v/>
      </c>
      <c r="M737" s="71"/>
      <c r="N737" s="71"/>
      <c r="O737" s="71"/>
      <c r="P737" s="71"/>
      <c r="Q737" s="61"/>
      <c r="R737" s="63"/>
      <c r="S737" s="72"/>
      <c r="T737" s="61"/>
      <c r="U737" s="73"/>
      <c r="V737" s="62"/>
      <c r="W737" s="62"/>
      <c r="X737" s="62"/>
      <c r="Y737" s="93"/>
      <c r="Z737" s="94"/>
      <c r="AA737" s="74"/>
      <c r="AB737" s="75"/>
      <c r="AC737" s="75"/>
      <c r="AD737" s="76"/>
      <c r="AE737" s="77"/>
      <c r="AF737" s="75"/>
      <c r="AG737" s="78"/>
      <c r="AH737" s="79"/>
      <c r="AI737" s="74"/>
      <c r="AJ737" s="75"/>
      <c r="AK737" s="75"/>
      <c r="AL737" s="80">
        <f t="shared" si="132"/>
        <v>0</v>
      </c>
      <c r="AM737" s="74"/>
      <c r="AN737" s="74"/>
      <c r="AO737" s="81" t="str">
        <f t="shared" si="133"/>
        <v/>
      </c>
      <c r="AP737" s="82"/>
      <c r="AQ737" s="75"/>
      <c r="AR737" s="75"/>
      <c r="AS737" s="80">
        <f t="shared" si="134"/>
        <v>0</v>
      </c>
      <c r="AT737" s="74"/>
      <c r="AU737" s="75"/>
      <c r="AV737" s="75"/>
      <c r="AW737" s="75"/>
      <c r="AX737" s="80">
        <f t="shared" si="135"/>
        <v>0</v>
      </c>
      <c r="AY737" s="81" t="str">
        <f t="shared" si="136"/>
        <v/>
      </c>
      <c r="AZ737" s="83" t="str">
        <f t="shared" si="137"/>
        <v/>
      </c>
      <c r="BA737" s="80" t="str">
        <f t="shared" si="138"/>
        <v/>
      </c>
      <c r="BB737" s="84">
        <f t="shared" si="139"/>
        <v>0</v>
      </c>
      <c r="BC737" s="85" t="str">
        <f t="shared" si="140"/>
        <v/>
      </c>
      <c r="BD737" s="86" t="str">
        <f t="shared" si="141"/>
        <v/>
      </c>
      <c r="BE737" s="84">
        <f t="shared" si="142"/>
        <v>0</v>
      </c>
      <c r="BF737" s="87" t="str">
        <f t="shared" si="143"/>
        <v/>
      </c>
      <c r="BG737" s="88" t="str">
        <f t="shared" si="144"/>
        <v/>
      </c>
      <c r="BH737" s="89" t="str">
        <f t="shared" si="145"/>
        <v/>
      </c>
      <c r="BI737" s="90" t="str">
        <f t="shared" si="146"/>
        <v/>
      </c>
      <c r="BJ737" s="90" t="str">
        <f t="shared" si="147"/>
        <v/>
      </c>
      <c r="BK737" s="91">
        <f t="shared" si="148"/>
        <v>0</v>
      </c>
      <c r="BL737" s="92">
        <f t="shared" si="149"/>
        <v>0</v>
      </c>
      <c r="BM737" s="95"/>
    </row>
    <row r="738" spans="1:65">
      <c r="A738" s="61">
        <f t="shared" ref="A738:A801" si="150">B738</f>
        <v>0</v>
      </c>
      <c r="B738" s="62"/>
      <c r="C738" s="62"/>
      <c r="D738" s="63"/>
      <c r="E738" s="64"/>
      <c r="F738" s="64"/>
      <c r="G738" s="65"/>
      <c r="H738" s="66" t="str">
        <f t="shared" si="127"/>
        <v/>
      </c>
      <c r="I738" s="67" t="str">
        <f t="shared" si="128"/>
        <v/>
      </c>
      <c r="J738" s="68" t="str">
        <f t="shared" si="129"/>
        <v/>
      </c>
      <c r="K738" s="69" t="str">
        <f t="shared" si="130"/>
        <v/>
      </c>
      <c r="L738" s="70" t="str">
        <f t="shared" si="131"/>
        <v/>
      </c>
      <c r="M738" s="71"/>
      <c r="N738" s="71"/>
      <c r="O738" s="71"/>
      <c r="P738" s="71"/>
      <c r="Q738" s="61"/>
      <c r="R738" s="63"/>
      <c r="S738" s="72"/>
      <c r="T738" s="61"/>
      <c r="U738" s="73"/>
      <c r="V738" s="62"/>
      <c r="W738" s="62"/>
      <c r="X738" s="62"/>
      <c r="Y738" s="93"/>
      <c r="Z738" s="94"/>
      <c r="AA738" s="74"/>
      <c r="AB738" s="75"/>
      <c r="AC738" s="75"/>
      <c r="AD738" s="76"/>
      <c r="AE738" s="77"/>
      <c r="AF738" s="75"/>
      <c r="AG738" s="78"/>
      <c r="AH738" s="79"/>
      <c r="AI738" s="74"/>
      <c r="AJ738" s="75"/>
      <c r="AK738" s="75"/>
      <c r="AL738" s="80">
        <f t="shared" si="132"/>
        <v>0</v>
      </c>
      <c r="AM738" s="74"/>
      <c r="AN738" s="74"/>
      <c r="AO738" s="81" t="str">
        <f t="shared" si="133"/>
        <v/>
      </c>
      <c r="AP738" s="82"/>
      <c r="AQ738" s="75"/>
      <c r="AR738" s="75"/>
      <c r="AS738" s="80">
        <f t="shared" si="134"/>
        <v>0</v>
      </c>
      <c r="AT738" s="74"/>
      <c r="AU738" s="75"/>
      <c r="AV738" s="75"/>
      <c r="AW738" s="75"/>
      <c r="AX738" s="80">
        <f t="shared" si="135"/>
        <v>0</v>
      </c>
      <c r="AY738" s="81" t="str">
        <f t="shared" si="136"/>
        <v/>
      </c>
      <c r="AZ738" s="83" t="str">
        <f t="shared" si="137"/>
        <v/>
      </c>
      <c r="BA738" s="80" t="str">
        <f t="shared" si="138"/>
        <v/>
      </c>
      <c r="BB738" s="84">
        <f t="shared" si="139"/>
        <v>0</v>
      </c>
      <c r="BC738" s="85" t="str">
        <f t="shared" si="140"/>
        <v/>
      </c>
      <c r="BD738" s="86" t="str">
        <f t="shared" si="141"/>
        <v/>
      </c>
      <c r="BE738" s="84">
        <f t="shared" si="142"/>
        <v>0</v>
      </c>
      <c r="BF738" s="87" t="str">
        <f t="shared" si="143"/>
        <v/>
      </c>
      <c r="BG738" s="88" t="str">
        <f t="shared" si="144"/>
        <v/>
      </c>
      <c r="BH738" s="89" t="str">
        <f t="shared" si="145"/>
        <v/>
      </c>
      <c r="BI738" s="90" t="str">
        <f t="shared" si="146"/>
        <v/>
      </c>
      <c r="BJ738" s="90" t="str">
        <f t="shared" si="147"/>
        <v/>
      </c>
      <c r="BK738" s="91">
        <f t="shared" si="148"/>
        <v>0</v>
      </c>
      <c r="BL738" s="92">
        <f t="shared" si="149"/>
        <v>0</v>
      </c>
      <c r="BM738" s="95"/>
    </row>
    <row r="739" spans="1:65">
      <c r="A739" s="61">
        <f t="shared" si="150"/>
        <v>0</v>
      </c>
      <c r="B739" s="62"/>
      <c r="C739" s="62"/>
      <c r="D739" s="63"/>
      <c r="E739" s="64"/>
      <c r="F739" s="64"/>
      <c r="G739" s="65"/>
      <c r="H739" s="66" t="str">
        <f t="shared" si="127"/>
        <v/>
      </c>
      <c r="I739" s="67" t="str">
        <f t="shared" si="128"/>
        <v/>
      </c>
      <c r="J739" s="68" t="str">
        <f t="shared" si="129"/>
        <v/>
      </c>
      <c r="K739" s="69" t="str">
        <f t="shared" si="130"/>
        <v/>
      </c>
      <c r="L739" s="70" t="str">
        <f t="shared" si="131"/>
        <v/>
      </c>
      <c r="M739" s="71"/>
      <c r="N739" s="71"/>
      <c r="O739" s="71"/>
      <c r="P739" s="71"/>
      <c r="Q739" s="61"/>
      <c r="R739" s="63"/>
      <c r="S739" s="72"/>
      <c r="T739" s="61"/>
      <c r="U739" s="73"/>
      <c r="V739" s="62"/>
      <c r="W739" s="62"/>
      <c r="X739" s="62"/>
      <c r="Y739" s="93"/>
      <c r="Z739" s="94"/>
      <c r="AA739" s="74"/>
      <c r="AB739" s="75"/>
      <c r="AC739" s="75"/>
      <c r="AD739" s="76"/>
      <c r="AE739" s="77"/>
      <c r="AF739" s="75"/>
      <c r="AG739" s="78"/>
      <c r="AH739" s="79"/>
      <c r="AI739" s="74"/>
      <c r="AJ739" s="75"/>
      <c r="AK739" s="75"/>
      <c r="AL739" s="80">
        <f t="shared" si="132"/>
        <v>0</v>
      </c>
      <c r="AM739" s="74"/>
      <c r="AN739" s="74"/>
      <c r="AO739" s="81" t="str">
        <f t="shared" si="133"/>
        <v/>
      </c>
      <c r="AP739" s="82"/>
      <c r="AQ739" s="75"/>
      <c r="AR739" s="75"/>
      <c r="AS739" s="80">
        <f t="shared" si="134"/>
        <v>0</v>
      </c>
      <c r="AT739" s="74"/>
      <c r="AU739" s="75"/>
      <c r="AV739" s="75"/>
      <c r="AW739" s="75"/>
      <c r="AX739" s="80">
        <f t="shared" si="135"/>
        <v>0</v>
      </c>
      <c r="AY739" s="81" t="str">
        <f t="shared" si="136"/>
        <v/>
      </c>
      <c r="AZ739" s="83" t="str">
        <f t="shared" si="137"/>
        <v/>
      </c>
      <c r="BA739" s="80" t="str">
        <f t="shared" si="138"/>
        <v/>
      </c>
      <c r="BB739" s="84">
        <f t="shared" si="139"/>
        <v>0</v>
      </c>
      <c r="BC739" s="85" t="str">
        <f t="shared" si="140"/>
        <v/>
      </c>
      <c r="BD739" s="86" t="str">
        <f t="shared" si="141"/>
        <v/>
      </c>
      <c r="BE739" s="84">
        <f t="shared" si="142"/>
        <v>0</v>
      </c>
      <c r="BF739" s="87" t="str">
        <f t="shared" si="143"/>
        <v/>
      </c>
      <c r="BG739" s="88" t="str">
        <f t="shared" si="144"/>
        <v/>
      </c>
      <c r="BH739" s="89" t="str">
        <f t="shared" si="145"/>
        <v/>
      </c>
      <c r="BI739" s="90" t="str">
        <f t="shared" si="146"/>
        <v/>
      </c>
      <c r="BJ739" s="90" t="str">
        <f t="shared" si="147"/>
        <v/>
      </c>
      <c r="BK739" s="91">
        <f t="shared" si="148"/>
        <v>0</v>
      </c>
      <c r="BL739" s="92">
        <f t="shared" si="149"/>
        <v>0</v>
      </c>
      <c r="BM739" s="95"/>
    </row>
    <row r="740" spans="1:65">
      <c r="A740" s="61">
        <f t="shared" si="150"/>
        <v>0</v>
      </c>
      <c r="B740" s="62"/>
      <c r="C740" s="62"/>
      <c r="D740" s="63"/>
      <c r="E740" s="64"/>
      <c r="F740" s="64"/>
      <c r="G740" s="65"/>
      <c r="H740" s="66" t="str">
        <f t="shared" si="127"/>
        <v/>
      </c>
      <c r="I740" s="67" t="str">
        <f t="shared" si="128"/>
        <v/>
      </c>
      <c r="J740" s="68" t="str">
        <f t="shared" si="129"/>
        <v/>
      </c>
      <c r="K740" s="69" t="str">
        <f t="shared" si="130"/>
        <v/>
      </c>
      <c r="L740" s="70" t="str">
        <f t="shared" si="131"/>
        <v/>
      </c>
      <c r="M740" s="71"/>
      <c r="N740" s="71"/>
      <c r="O740" s="71"/>
      <c r="P740" s="71"/>
      <c r="Q740" s="61"/>
      <c r="R740" s="63"/>
      <c r="S740" s="72"/>
      <c r="T740" s="61"/>
      <c r="U740" s="73"/>
      <c r="V740" s="62"/>
      <c r="W740" s="62"/>
      <c r="X740" s="62"/>
      <c r="Y740" s="93"/>
      <c r="Z740" s="94"/>
      <c r="AA740" s="74"/>
      <c r="AB740" s="75"/>
      <c r="AC740" s="75"/>
      <c r="AD740" s="76"/>
      <c r="AE740" s="77"/>
      <c r="AF740" s="75"/>
      <c r="AG740" s="78"/>
      <c r="AH740" s="79"/>
      <c r="AI740" s="74"/>
      <c r="AJ740" s="75"/>
      <c r="AK740" s="75"/>
      <c r="AL740" s="80">
        <f t="shared" si="132"/>
        <v>0</v>
      </c>
      <c r="AM740" s="74"/>
      <c r="AN740" s="74"/>
      <c r="AO740" s="81" t="str">
        <f t="shared" si="133"/>
        <v/>
      </c>
      <c r="AP740" s="82"/>
      <c r="AQ740" s="75"/>
      <c r="AR740" s="75"/>
      <c r="AS740" s="80">
        <f t="shared" si="134"/>
        <v>0</v>
      </c>
      <c r="AT740" s="74"/>
      <c r="AU740" s="75"/>
      <c r="AV740" s="75"/>
      <c r="AW740" s="75"/>
      <c r="AX740" s="80">
        <f t="shared" si="135"/>
        <v>0</v>
      </c>
      <c r="AY740" s="81" t="str">
        <f t="shared" si="136"/>
        <v/>
      </c>
      <c r="AZ740" s="83" t="str">
        <f t="shared" si="137"/>
        <v/>
      </c>
      <c r="BA740" s="80" t="str">
        <f t="shared" si="138"/>
        <v/>
      </c>
      <c r="BB740" s="84">
        <f t="shared" si="139"/>
        <v>0</v>
      </c>
      <c r="BC740" s="85" t="str">
        <f t="shared" si="140"/>
        <v/>
      </c>
      <c r="BD740" s="86" t="str">
        <f t="shared" si="141"/>
        <v/>
      </c>
      <c r="BE740" s="84">
        <f t="shared" si="142"/>
        <v>0</v>
      </c>
      <c r="BF740" s="87" t="str">
        <f t="shared" si="143"/>
        <v/>
      </c>
      <c r="BG740" s="88" t="str">
        <f t="shared" si="144"/>
        <v/>
      </c>
      <c r="BH740" s="89" t="str">
        <f t="shared" si="145"/>
        <v/>
      </c>
      <c r="BI740" s="90" t="str">
        <f t="shared" si="146"/>
        <v/>
      </c>
      <c r="BJ740" s="90" t="str">
        <f t="shared" si="147"/>
        <v/>
      </c>
      <c r="BK740" s="91">
        <f t="shared" si="148"/>
        <v>0</v>
      </c>
      <c r="BL740" s="92">
        <f t="shared" si="149"/>
        <v>0</v>
      </c>
      <c r="BM740" s="95"/>
    </row>
    <row r="741" spans="1:65">
      <c r="A741" s="61">
        <f t="shared" si="150"/>
        <v>0</v>
      </c>
      <c r="B741" s="62"/>
      <c r="C741" s="62"/>
      <c r="D741" s="63"/>
      <c r="E741" s="64"/>
      <c r="F741" s="64"/>
      <c r="G741" s="65"/>
      <c r="H741" s="66" t="str">
        <f t="shared" si="127"/>
        <v/>
      </c>
      <c r="I741" s="67" t="str">
        <f t="shared" si="128"/>
        <v/>
      </c>
      <c r="J741" s="68" t="str">
        <f t="shared" si="129"/>
        <v/>
      </c>
      <c r="K741" s="69" t="str">
        <f t="shared" si="130"/>
        <v/>
      </c>
      <c r="L741" s="70" t="str">
        <f t="shared" si="131"/>
        <v/>
      </c>
      <c r="M741" s="71"/>
      <c r="N741" s="71"/>
      <c r="O741" s="71"/>
      <c r="P741" s="71"/>
      <c r="Q741" s="61"/>
      <c r="R741" s="63"/>
      <c r="S741" s="72"/>
      <c r="T741" s="61"/>
      <c r="U741" s="73"/>
      <c r="V741" s="62"/>
      <c r="W741" s="62"/>
      <c r="X741" s="62"/>
      <c r="Y741" s="93"/>
      <c r="Z741" s="94"/>
      <c r="AA741" s="74"/>
      <c r="AB741" s="75"/>
      <c r="AC741" s="75"/>
      <c r="AD741" s="76"/>
      <c r="AE741" s="77"/>
      <c r="AF741" s="75"/>
      <c r="AG741" s="78"/>
      <c r="AH741" s="79"/>
      <c r="AI741" s="74"/>
      <c r="AJ741" s="75"/>
      <c r="AK741" s="75"/>
      <c r="AL741" s="80">
        <f t="shared" si="132"/>
        <v>0</v>
      </c>
      <c r="AM741" s="74"/>
      <c r="AN741" s="74"/>
      <c r="AO741" s="81" t="str">
        <f t="shared" si="133"/>
        <v/>
      </c>
      <c r="AP741" s="82"/>
      <c r="AQ741" s="75"/>
      <c r="AR741" s="75"/>
      <c r="AS741" s="80">
        <f t="shared" si="134"/>
        <v>0</v>
      </c>
      <c r="AT741" s="74"/>
      <c r="AU741" s="75"/>
      <c r="AV741" s="75"/>
      <c r="AW741" s="75"/>
      <c r="AX741" s="80">
        <f t="shared" si="135"/>
        <v>0</v>
      </c>
      <c r="AY741" s="81" t="str">
        <f t="shared" si="136"/>
        <v/>
      </c>
      <c r="AZ741" s="83" t="str">
        <f t="shared" si="137"/>
        <v/>
      </c>
      <c r="BA741" s="80" t="str">
        <f t="shared" si="138"/>
        <v/>
      </c>
      <c r="BB741" s="84">
        <f t="shared" si="139"/>
        <v>0</v>
      </c>
      <c r="BC741" s="85" t="str">
        <f t="shared" si="140"/>
        <v/>
      </c>
      <c r="BD741" s="86" t="str">
        <f t="shared" si="141"/>
        <v/>
      </c>
      <c r="BE741" s="84">
        <f t="shared" si="142"/>
        <v>0</v>
      </c>
      <c r="BF741" s="87" t="str">
        <f t="shared" si="143"/>
        <v/>
      </c>
      <c r="BG741" s="88" t="str">
        <f t="shared" si="144"/>
        <v/>
      </c>
      <c r="BH741" s="89" t="str">
        <f t="shared" si="145"/>
        <v/>
      </c>
      <c r="BI741" s="90" t="str">
        <f t="shared" si="146"/>
        <v/>
      </c>
      <c r="BJ741" s="90" t="str">
        <f t="shared" si="147"/>
        <v/>
      </c>
      <c r="BK741" s="91">
        <f t="shared" si="148"/>
        <v>0</v>
      </c>
      <c r="BL741" s="92">
        <f t="shared" si="149"/>
        <v>0</v>
      </c>
      <c r="BM741" s="95"/>
    </row>
    <row r="742" spans="1:65">
      <c r="A742" s="61">
        <f t="shared" si="150"/>
        <v>0</v>
      </c>
      <c r="B742" s="62"/>
      <c r="C742" s="62"/>
      <c r="D742" s="63"/>
      <c r="E742" s="64"/>
      <c r="F742" s="64"/>
      <c r="G742" s="65"/>
      <c r="H742" s="66" t="str">
        <f t="shared" si="127"/>
        <v/>
      </c>
      <c r="I742" s="67" t="str">
        <f t="shared" si="128"/>
        <v/>
      </c>
      <c r="J742" s="68" t="str">
        <f t="shared" si="129"/>
        <v/>
      </c>
      <c r="K742" s="69" t="str">
        <f t="shared" si="130"/>
        <v/>
      </c>
      <c r="L742" s="70" t="str">
        <f t="shared" si="131"/>
        <v/>
      </c>
      <c r="M742" s="71"/>
      <c r="N742" s="71"/>
      <c r="O742" s="71"/>
      <c r="P742" s="71"/>
      <c r="Q742" s="61"/>
      <c r="R742" s="63"/>
      <c r="S742" s="72"/>
      <c r="T742" s="61"/>
      <c r="U742" s="73"/>
      <c r="V742" s="62"/>
      <c r="W742" s="62"/>
      <c r="X742" s="62"/>
      <c r="Y742" s="93"/>
      <c r="Z742" s="94"/>
      <c r="AA742" s="74"/>
      <c r="AB742" s="75"/>
      <c r="AC742" s="75"/>
      <c r="AD742" s="76"/>
      <c r="AE742" s="77"/>
      <c r="AF742" s="75"/>
      <c r="AG742" s="78"/>
      <c r="AH742" s="79"/>
      <c r="AI742" s="74"/>
      <c r="AJ742" s="75"/>
      <c r="AK742" s="75"/>
      <c r="AL742" s="80">
        <f t="shared" si="132"/>
        <v>0</v>
      </c>
      <c r="AM742" s="74"/>
      <c r="AN742" s="74"/>
      <c r="AO742" s="81" t="str">
        <f t="shared" si="133"/>
        <v/>
      </c>
      <c r="AP742" s="82"/>
      <c r="AQ742" s="75"/>
      <c r="AR742" s="75"/>
      <c r="AS742" s="80">
        <f t="shared" si="134"/>
        <v>0</v>
      </c>
      <c r="AT742" s="74"/>
      <c r="AU742" s="75"/>
      <c r="AV742" s="75"/>
      <c r="AW742" s="75"/>
      <c r="AX742" s="80">
        <f t="shared" si="135"/>
        <v>0</v>
      </c>
      <c r="AY742" s="81" t="str">
        <f t="shared" si="136"/>
        <v/>
      </c>
      <c r="AZ742" s="83" t="str">
        <f t="shared" si="137"/>
        <v/>
      </c>
      <c r="BA742" s="80" t="str">
        <f t="shared" si="138"/>
        <v/>
      </c>
      <c r="BB742" s="84">
        <f t="shared" si="139"/>
        <v>0</v>
      </c>
      <c r="BC742" s="85" t="str">
        <f t="shared" si="140"/>
        <v/>
      </c>
      <c r="BD742" s="86" t="str">
        <f t="shared" si="141"/>
        <v/>
      </c>
      <c r="BE742" s="84">
        <f t="shared" si="142"/>
        <v>0</v>
      </c>
      <c r="BF742" s="87" t="str">
        <f t="shared" si="143"/>
        <v/>
      </c>
      <c r="BG742" s="88" t="str">
        <f t="shared" si="144"/>
        <v/>
      </c>
      <c r="BH742" s="89" t="str">
        <f t="shared" si="145"/>
        <v/>
      </c>
      <c r="BI742" s="90" t="str">
        <f t="shared" si="146"/>
        <v/>
      </c>
      <c r="BJ742" s="90" t="str">
        <f t="shared" si="147"/>
        <v/>
      </c>
      <c r="BK742" s="91">
        <f t="shared" si="148"/>
        <v>0</v>
      </c>
      <c r="BL742" s="92">
        <f t="shared" si="149"/>
        <v>0</v>
      </c>
      <c r="BM742" s="95"/>
    </row>
    <row r="743" spans="1:65">
      <c r="A743" s="61">
        <f t="shared" si="150"/>
        <v>0</v>
      </c>
      <c r="B743" s="62"/>
      <c r="C743" s="62"/>
      <c r="D743" s="63"/>
      <c r="E743" s="64"/>
      <c r="F743" s="64"/>
      <c r="G743" s="65"/>
      <c r="H743" s="66" t="str">
        <f t="shared" si="127"/>
        <v/>
      </c>
      <c r="I743" s="67" t="str">
        <f t="shared" si="128"/>
        <v/>
      </c>
      <c r="J743" s="68" t="str">
        <f t="shared" si="129"/>
        <v/>
      </c>
      <c r="K743" s="69" t="str">
        <f t="shared" si="130"/>
        <v/>
      </c>
      <c r="L743" s="70" t="str">
        <f t="shared" si="131"/>
        <v/>
      </c>
      <c r="M743" s="71"/>
      <c r="N743" s="71"/>
      <c r="O743" s="71"/>
      <c r="P743" s="71"/>
      <c r="Q743" s="61"/>
      <c r="R743" s="63"/>
      <c r="S743" s="72"/>
      <c r="T743" s="61"/>
      <c r="U743" s="73"/>
      <c r="V743" s="62"/>
      <c r="W743" s="62"/>
      <c r="X743" s="62"/>
      <c r="Y743" s="93"/>
      <c r="Z743" s="94"/>
      <c r="AA743" s="74"/>
      <c r="AB743" s="75"/>
      <c r="AC743" s="75"/>
      <c r="AD743" s="76"/>
      <c r="AE743" s="77"/>
      <c r="AF743" s="75"/>
      <c r="AG743" s="78"/>
      <c r="AH743" s="79"/>
      <c r="AI743" s="74"/>
      <c r="AJ743" s="75"/>
      <c r="AK743" s="75"/>
      <c r="AL743" s="80">
        <f t="shared" si="132"/>
        <v>0</v>
      </c>
      <c r="AM743" s="74"/>
      <c r="AN743" s="74"/>
      <c r="AO743" s="81" t="str">
        <f t="shared" si="133"/>
        <v/>
      </c>
      <c r="AP743" s="82"/>
      <c r="AQ743" s="75"/>
      <c r="AR743" s="75"/>
      <c r="AS743" s="80">
        <f t="shared" si="134"/>
        <v>0</v>
      </c>
      <c r="AT743" s="74"/>
      <c r="AU743" s="75"/>
      <c r="AV743" s="75"/>
      <c r="AW743" s="75"/>
      <c r="AX743" s="80">
        <f t="shared" si="135"/>
        <v>0</v>
      </c>
      <c r="AY743" s="81" t="str">
        <f t="shared" si="136"/>
        <v/>
      </c>
      <c r="AZ743" s="83" t="str">
        <f t="shared" si="137"/>
        <v/>
      </c>
      <c r="BA743" s="80" t="str">
        <f t="shared" si="138"/>
        <v/>
      </c>
      <c r="BB743" s="84">
        <f t="shared" si="139"/>
        <v>0</v>
      </c>
      <c r="BC743" s="85" t="str">
        <f t="shared" si="140"/>
        <v/>
      </c>
      <c r="BD743" s="86" t="str">
        <f t="shared" si="141"/>
        <v/>
      </c>
      <c r="BE743" s="84">
        <f t="shared" si="142"/>
        <v>0</v>
      </c>
      <c r="BF743" s="87" t="str">
        <f t="shared" si="143"/>
        <v/>
      </c>
      <c r="BG743" s="88" t="str">
        <f t="shared" si="144"/>
        <v/>
      </c>
      <c r="BH743" s="89" t="str">
        <f t="shared" si="145"/>
        <v/>
      </c>
      <c r="BI743" s="90" t="str">
        <f t="shared" si="146"/>
        <v/>
      </c>
      <c r="BJ743" s="90" t="str">
        <f t="shared" si="147"/>
        <v/>
      </c>
      <c r="BK743" s="91">
        <f t="shared" si="148"/>
        <v>0</v>
      </c>
      <c r="BL743" s="92">
        <f t="shared" si="149"/>
        <v>0</v>
      </c>
      <c r="BM743" s="95"/>
    </row>
    <row r="744" spans="1:65">
      <c r="A744" s="61">
        <f t="shared" si="150"/>
        <v>0</v>
      </c>
      <c r="B744" s="62"/>
      <c r="C744" s="62"/>
      <c r="D744" s="63"/>
      <c r="E744" s="64"/>
      <c r="F744" s="64"/>
      <c r="G744" s="65"/>
      <c r="H744" s="66" t="str">
        <f t="shared" si="127"/>
        <v/>
      </c>
      <c r="I744" s="67" t="str">
        <f t="shared" si="128"/>
        <v/>
      </c>
      <c r="J744" s="68" t="str">
        <f t="shared" si="129"/>
        <v/>
      </c>
      <c r="K744" s="69" t="str">
        <f t="shared" si="130"/>
        <v/>
      </c>
      <c r="L744" s="70" t="str">
        <f t="shared" si="131"/>
        <v/>
      </c>
      <c r="M744" s="71"/>
      <c r="N744" s="71"/>
      <c r="O744" s="71"/>
      <c r="P744" s="71"/>
      <c r="Q744" s="61"/>
      <c r="R744" s="63"/>
      <c r="S744" s="72"/>
      <c r="T744" s="61"/>
      <c r="U744" s="73"/>
      <c r="V744" s="62"/>
      <c r="W744" s="62"/>
      <c r="X744" s="62"/>
      <c r="Y744" s="93"/>
      <c r="Z744" s="94"/>
      <c r="AA744" s="74"/>
      <c r="AB744" s="75"/>
      <c r="AC744" s="75"/>
      <c r="AD744" s="76"/>
      <c r="AE744" s="77"/>
      <c r="AF744" s="75"/>
      <c r="AG744" s="78"/>
      <c r="AH744" s="79"/>
      <c r="AI744" s="74"/>
      <c r="AJ744" s="75"/>
      <c r="AK744" s="75"/>
      <c r="AL744" s="80">
        <f t="shared" si="132"/>
        <v>0</v>
      </c>
      <c r="AM744" s="74"/>
      <c r="AN744" s="74"/>
      <c r="AO744" s="81" t="str">
        <f t="shared" si="133"/>
        <v/>
      </c>
      <c r="AP744" s="82"/>
      <c r="AQ744" s="75"/>
      <c r="AR744" s="75"/>
      <c r="AS744" s="80">
        <f t="shared" si="134"/>
        <v>0</v>
      </c>
      <c r="AT744" s="74"/>
      <c r="AU744" s="75"/>
      <c r="AV744" s="75"/>
      <c r="AW744" s="75"/>
      <c r="AX744" s="80">
        <f t="shared" si="135"/>
        <v>0</v>
      </c>
      <c r="AY744" s="81" t="str">
        <f t="shared" si="136"/>
        <v/>
      </c>
      <c r="AZ744" s="83" t="str">
        <f t="shared" si="137"/>
        <v/>
      </c>
      <c r="BA744" s="80" t="str">
        <f t="shared" si="138"/>
        <v/>
      </c>
      <c r="BB744" s="84">
        <f t="shared" si="139"/>
        <v>0</v>
      </c>
      <c r="BC744" s="85" t="str">
        <f t="shared" si="140"/>
        <v/>
      </c>
      <c r="BD744" s="86" t="str">
        <f t="shared" si="141"/>
        <v/>
      </c>
      <c r="BE744" s="84">
        <f t="shared" si="142"/>
        <v>0</v>
      </c>
      <c r="BF744" s="87" t="str">
        <f t="shared" si="143"/>
        <v/>
      </c>
      <c r="BG744" s="88" t="str">
        <f t="shared" si="144"/>
        <v/>
      </c>
      <c r="BH744" s="89" t="str">
        <f t="shared" si="145"/>
        <v/>
      </c>
      <c r="BI744" s="90" t="str">
        <f t="shared" si="146"/>
        <v/>
      </c>
      <c r="BJ744" s="90" t="str">
        <f t="shared" si="147"/>
        <v/>
      </c>
      <c r="BK744" s="91">
        <f t="shared" si="148"/>
        <v>0</v>
      </c>
      <c r="BL744" s="92">
        <f t="shared" si="149"/>
        <v>0</v>
      </c>
      <c r="BM744" s="95"/>
    </row>
    <row r="745" spans="1:65">
      <c r="A745" s="61">
        <f t="shared" si="150"/>
        <v>0</v>
      </c>
      <c r="B745" s="62"/>
      <c r="C745" s="62"/>
      <c r="D745" s="63"/>
      <c r="E745" s="64"/>
      <c r="F745" s="64"/>
      <c r="G745" s="65"/>
      <c r="H745" s="66" t="str">
        <f t="shared" si="127"/>
        <v/>
      </c>
      <c r="I745" s="67" t="str">
        <f t="shared" si="128"/>
        <v/>
      </c>
      <c r="J745" s="68" t="str">
        <f t="shared" si="129"/>
        <v/>
      </c>
      <c r="K745" s="69" t="str">
        <f t="shared" si="130"/>
        <v/>
      </c>
      <c r="L745" s="70" t="str">
        <f t="shared" si="131"/>
        <v/>
      </c>
      <c r="M745" s="71"/>
      <c r="N745" s="71"/>
      <c r="O745" s="71"/>
      <c r="P745" s="71"/>
      <c r="Q745" s="61"/>
      <c r="R745" s="63"/>
      <c r="S745" s="72"/>
      <c r="T745" s="61"/>
      <c r="U745" s="73"/>
      <c r="V745" s="62"/>
      <c r="W745" s="62"/>
      <c r="X745" s="62"/>
      <c r="Y745" s="93"/>
      <c r="Z745" s="94"/>
      <c r="AA745" s="74"/>
      <c r="AB745" s="75"/>
      <c r="AC745" s="75"/>
      <c r="AD745" s="76"/>
      <c r="AE745" s="77"/>
      <c r="AF745" s="75"/>
      <c r="AG745" s="78"/>
      <c r="AH745" s="79"/>
      <c r="AI745" s="74"/>
      <c r="AJ745" s="75"/>
      <c r="AK745" s="75"/>
      <c r="AL745" s="80">
        <f t="shared" si="132"/>
        <v>0</v>
      </c>
      <c r="AM745" s="74"/>
      <c r="AN745" s="74"/>
      <c r="AO745" s="81" t="str">
        <f t="shared" si="133"/>
        <v/>
      </c>
      <c r="AP745" s="82"/>
      <c r="AQ745" s="75"/>
      <c r="AR745" s="75"/>
      <c r="AS745" s="80">
        <f t="shared" si="134"/>
        <v>0</v>
      </c>
      <c r="AT745" s="74"/>
      <c r="AU745" s="75"/>
      <c r="AV745" s="75"/>
      <c r="AW745" s="75"/>
      <c r="AX745" s="80">
        <f t="shared" si="135"/>
        <v>0</v>
      </c>
      <c r="AY745" s="81" t="str">
        <f t="shared" si="136"/>
        <v/>
      </c>
      <c r="AZ745" s="83" t="str">
        <f t="shared" si="137"/>
        <v/>
      </c>
      <c r="BA745" s="80" t="str">
        <f t="shared" si="138"/>
        <v/>
      </c>
      <c r="BB745" s="84">
        <f t="shared" si="139"/>
        <v>0</v>
      </c>
      <c r="BC745" s="85" t="str">
        <f t="shared" si="140"/>
        <v/>
      </c>
      <c r="BD745" s="86" t="str">
        <f t="shared" si="141"/>
        <v/>
      </c>
      <c r="BE745" s="84">
        <f t="shared" si="142"/>
        <v>0</v>
      </c>
      <c r="BF745" s="87" t="str">
        <f t="shared" si="143"/>
        <v/>
      </c>
      <c r="BG745" s="88" t="str">
        <f t="shared" si="144"/>
        <v/>
      </c>
      <c r="BH745" s="89" t="str">
        <f t="shared" si="145"/>
        <v/>
      </c>
      <c r="BI745" s="90" t="str">
        <f t="shared" si="146"/>
        <v/>
      </c>
      <c r="BJ745" s="90" t="str">
        <f t="shared" si="147"/>
        <v/>
      </c>
      <c r="BK745" s="91">
        <f t="shared" si="148"/>
        <v>0</v>
      </c>
      <c r="BL745" s="92">
        <f t="shared" si="149"/>
        <v>0</v>
      </c>
      <c r="BM745" s="95"/>
    </row>
    <row r="746" spans="1:65">
      <c r="A746" s="61">
        <f t="shared" si="150"/>
        <v>0</v>
      </c>
      <c r="B746" s="62"/>
      <c r="C746" s="62"/>
      <c r="D746" s="63"/>
      <c r="E746" s="64"/>
      <c r="F746" s="64"/>
      <c r="G746" s="65"/>
      <c r="H746" s="66" t="str">
        <f t="shared" si="127"/>
        <v/>
      </c>
      <c r="I746" s="67" t="str">
        <f t="shared" si="128"/>
        <v/>
      </c>
      <c r="J746" s="68" t="str">
        <f t="shared" si="129"/>
        <v/>
      </c>
      <c r="K746" s="69" t="str">
        <f t="shared" si="130"/>
        <v/>
      </c>
      <c r="L746" s="70" t="str">
        <f t="shared" si="131"/>
        <v/>
      </c>
      <c r="M746" s="71"/>
      <c r="N746" s="71"/>
      <c r="O746" s="71"/>
      <c r="P746" s="71"/>
      <c r="Q746" s="61"/>
      <c r="R746" s="63"/>
      <c r="S746" s="72"/>
      <c r="T746" s="61"/>
      <c r="U746" s="73"/>
      <c r="V746" s="62"/>
      <c r="W746" s="62"/>
      <c r="X746" s="62"/>
      <c r="Y746" s="93"/>
      <c r="Z746" s="94"/>
      <c r="AA746" s="74"/>
      <c r="AB746" s="75"/>
      <c r="AC746" s="75"/>
      <c r="AD746" s="76"/>
      <c r="AE746" s="77"/>
      <c r="AF746" s="75"/>
      <c r="AG746" s="78"/>
      <c r="AH746" s="79"/>
      <c r="AI746" s="74"/>
      <c r="AJ746" s="75"/>
      <c r="AK746" s="75"/>
      <c r="AL746" s="80">
        <f t="shared" si="132"/>
        <v>0</v>
      </c>
      <c r="AM746" s="74"/>
      <c r="AN746" s="74"/>
      <c r="AO746" s="81" t="str">
        <f t="shared" si="133"/>
        <v/>
      </c>
      <c r="AP746" s="82"/>
      <c r="AQ746" s="75"/>
      <c r="AR746" s="75"/>
      <c r="AS746" s="80">
        <f t="shared" si="134"/>
        <v>0</v>
      </c>
      <c r="AT746" s="74"/>
      <c r="AU746" s="75"/>
      <c r="AV746" s="75"/>
      <c r="AW746" s="75"/>
      <c r="AX746" s="80">
        <f t="shared" si="135"/>
        <v>0</v>
      </c>
      <c r="AY746" s="81" t="str">
        <f t="shared" si="136"/>
        <v/>
      </c>
      <c r="AZ746" s="83" t="str">
        <f t="shared" si="137"/>
        <v/>
      </c>
      <c r="BA746" s="80" t="str">
        <f t="shared" si="138"/>
        <v/>
      </c>
      <c r="BB746" s="84">
        <f t="shared" si="139"/>
        <v>0</v>
      </c>
      <c r="BC746" s="85" t="str">
        <f t="shared" si="140"/>
        <v/>
      </c>
      <c r="BD746" s="86" t="str">
        <f t="shared" si="141"/>
        <v/>
      </c>
      <c r="BE746" s="84">
        <f t="shared" si="142"/>
        <v>0</v>
      </c>
      <c r="BF746" s="87" t="str">
        <f t="shared" si="143"/>
        <v/>
      </c>
      <c r="BG746" s="88" t="str">
        <f t="shared" si="144"/>
        <v/>
      </c>
      <c r="BH746" s="89" t="str">
        <f t="shared" si="145"/>
        <v/>
      </c>
      <c r="BI746" s="90" t="str">
        <f t="shared" si="146"/>
        <v/>
      </c>
      <c r="BJ746" s="90" t="str">
        <f t="shared" si="147"/>
        <v/>
      </c>
      <c r="BK746" s="91">
        <f t="shared" si="148"/>
        <v>0</v>
      </c>
      <c r="BL746" s="92">
        <f t="shared" si="149"/>
        <v>0</v>
      </c>
      <c r="BM746" s="95"/>
    </row>
    <row r="747" spans="1:65">
      <c r="A747" s="61">
        <f t="shared" si="150"/>
        <v>0</v>
      </c>
      <c r="B747" s="62"/>
      <c r="C747" s="62"/>
      <c r="D747" s="63"/>
      <c r="E747" s="64"/>
      <c r="F747" s="64"/>
      <c r="G747" s="65"/>
      <c r="H747" s="66" t="str">
        <f t="shared" si="127"/>
        <v/>
      </c>
      <c r="I747" s="67" t="str">
        <f t="shared" si="128"/>
        <v/>
      </c>
      <c r="J747" s="68" t="str">
        <f t="shared" si="129"/>
        <v/>
      </c>
      <c r="K747" s="69" t="str">
        <f t="shared" si="130"/>
        <v/>
      </c>
      <c r="L747" s="70" t="str">
        <f t="shared" si="131"/>
        <v/>
      </c>
      <c r="M747" s="71"/>
      <c r="N747" s="71"/>
      <c r="O747" s="71"/>
      <c r="P747" s="71"/>
      <c r="Q747" s="61"/>
      <c r="R747" s="63"/>
      <c r="S747" s="72"/>
      <c r="T747" s="61"/>
      <c r="U747" s="73"/>
      <c r="V747" s="62"/>
      <c r="W747" s="62"/>
      <c r="X747" s="62"/>
      <c r="Y747" s="93"/>
      <c r="Z747" s="94"/>
      <c r="AA747" s="74"/>
      <c r="AB747" s="75"/>
      <c r="AC747" s="75"/>
      <c r="AD747" s="76"/>
      <c r="AE747" s="77"/>
      <c r="AF747" s="75"/>
      <c r="AG747" s="78"/>
      <c r="AH747" s="79"/>
      <c r="AI747" s="74"/>
      <c r="AJ747" s="75"/>
      <c r="AK747" s="75"/>
      <c r="AL747" s="80">
        <f t="shared" si="132"/>
        <v>0</v>
      </c>
      <c r="AM747" s="74"/>
      <c r="AN747" s="74"/>
      <c r="AO747" s="81" t="str">
        <f t="shared" si="133"/>
        <v/>
      </c>
      <c r="AP747" s="82"/>
      <c r="AQ747" s="75"/>
      <c r="AR747" s="75"/>
      <c r="AS747" s="80">
        <f t="shared" si="134"/>
        <v>0</v>
      </c>
      <c r="AT747" s="74"/>
      <c r="AU747" s="75"/>
      <c r="AV747" s="75"/>
      <c r="AW747" s="75"/>
      <c r="AX747" s="80">
        <f t="shared" si="135"/>
        <v>0</v>
      </c>
      <c r="AY747" s="81" t="str">
        <f t="shared" si="136"/>
        <v/>
      </c>
      <c r="AZ747" s="83" t="str">
        <f t="shared" si="137"/>
        <v/>
      </c>
      <c r="BA747" s="80" t="str">
        <f t="shared" si="138"/>
        <v/>
      </c>
      <c r="BB747" s="84">
        <f t="shared" si="139"/>
        <v>0</v>
      </c>
      <c r="BC747" s="85" t="str">
        <f t="shared" si="140"/>
        <v/>
      </c>
      <c r="BD747" s="86" t="str">
        <f t="shared" si="141"/>
        <v/>
      </c>
      <c r="BE747" s="84">
        <f t="shared" si="142"/>
        <v>0</v>
      </c>
      <c r="BF747" s="87" t="str">
        <f t="shared" si="143"/>
        <v/>
      </c>
      <c r="BG747" s="88" t="str">
        <f t="shared" si="144"/>
        <v/>
      </c>
      <c r="BH747" s="89" t="str">
        <f t="shared" si="145"/>
        <v/>
      </c>
      <c r="BI747" s="90" t="str">
        <f t="shared" si="146"/>
        <v/>
      </c>
      <c r="BJ747" s="90" t="str">
        <f t="shared" si="147"/>
        <v/>
      </c>
      <c r="BK747" s="91">
        <f t="shared" si="148"/>
        <v>0</v>
      </c>
      <c r="BL747" s="92">
        <f t="shared" si="149"/>
        <v>0</v>
      </c>
      <c r="BM747" s="95"/>
    </row>
    <row r="748" spans="1:65">
      <c r="A748" s="61">
        <f t="shared" si="150"/>
        <v>0</v>
      </c>
      <c r="B748" s="62"/>
      <c r="C748" s="62"/>
      <c r="D748" s="63"/>
      <c r="E748" s="64"/>
      <c r="F748" s="64"/>
      <c r="G748" s="65"/>
      <c r="H748" s="66" t="str">
        <f t="shared" si="127"/>
        <v/>
      </c>
      <c r="I748" s="67" t="str">
        <f t="shared" si="128"/>
        <v/>
      </c>
      <c r="J748" s="68" t="str">
        <f t="shared" si="129"/>
        <v/>
      </c>
      <c r="K748" s="69" t="str">
        <f t="shared" si="130"/>
        <v/>
      </c>
      <c r="L748" s="70" t="str">
        <f t="shared" si="131"/>
        <v/>
      </c>
      <c r="M748" s="71"/>
      <c r="N748" s="71"/>
      <c r="O748" s="71"/>
      <c r="P748" s="71"/>
      <c r="Q748" s="61"/>
      <c r="R748" s="63"/>
      <c r="S748" s="72"/>
      <c r="T748" s="61"/>
      <c r="U748" s="73"/>
      <c r="V748" s="62"/>
      <c r="W748" s="62"/>
      <c r="X748" s="62"/>
      <c r="Y748" s="93"/>
      <c r="Z748" s="94"/>
      <c r="AA748" s="74"/>
      <c r="AB748" s="75"/>
      <c r="AC748" s="75"/>
      <c r="AD748" s="76"/>
      <c r="AE748" s="77"/>
      <c r="AF748" s="75"/>
      <c r="AG748" s="78"/>
      <c r="AH748" s="79"/>
      <c r="AI748" s="74"/>
      <c r="AJ748" s="75"/>
      <c r="AK748" s="75"/>
      <c r="AL748" s="80">
        <f t="shared" si="132"/>
        <v>0</v>
      </c>
      <c r="AM748" s="74"/>
      <c r="AN748" s="74"/>
      <c r="AO748" s="81" t="str">
        <f t="shared" si="133"/>
        <v/>
      </c>
      <c r="AP748" s="82"/>
      <c r="AQ748" s="75"/>
      <c r="AR748" s="75"/>
      <c r="AS748" s="80">
        <f t="shared" si="134"/>
        <v>0</v>
      </c>
      <c r="AT748" s="74"/>
      <c r="AU748" s="75"/>
      <c r="AV748" s="75"/>
      <c r="AW748" s="75"/>
      <c r="AX748" s="80">
        <f t="shared" si="135"/>
        <v>0</v>
      </c>
      <c r="AY748" s="81" t="str">
        <f t="shared" si="136"/>
        <v/>
      </c>
      <c r="AZ748" s="83" t="str">
        <f t="shared" si="137"/>
        <v/>
      </c>
      <c r="BA748" s="80" t="str">
        <f t="shared" si="138"/>
        <v/>
      </c>
      <c r="BB748" s="84">
        <f t="shared" si="139"/>
        <v>0</v>
      </c>
      <c r="BC748" s="85" t="str">
        <f t="shared" si="140"/>
        <v/>
      </c>
      <c r="BD748" s="86" t="str">
        <f t="shared" si="141"/>
        <v/>
      </c>
      <c r="BE748" s="84">
        <f t="shared" si="142"/>
        <v>0</v>
      </c>
      <c r="BF748" s="87" t="str">
        <f t="shared" si="143"/>
        <v/>
      </c>
      <c r="BG748" s="88" t="str">
        <f t="shared" si="144"/>
        <v/>
      </c>
      <c r="BH748" s="89" t="str">
        <f t="shared" si="145"/>
        <v/>
      </c>
      <c r="BI748" s="90" t="str">
        <f t="shared" si="146"/>
        <v/>
      </c>
      <c r="BJ748" s="90" t="str">
        <f t="shared" si="147"/>
        <v/>
      </c>
      <c r="BK748" s="91">
        <f t="shared" si="148"/>
        <v>0</v>
      </c>
      <c r="BL748" s="92">
        <f t="shared" si="149"/>
        <v>0</v>
      </c>
      <c r="BM748" s="95"/>
    </row>
    <row r="749" spans="1:65">
      <c r="A749" s="61">
        <f t="shared" si="150"/>
        <v>0</v>
      </c>
      <c r="B749" s="62"/>
      <c r="C749" s="62"/>
      <c r="D749" s="63"/>
      <c r="E749" s="64"/>
      <c r="F749" s="64"/>
      <c r="G749" s="65"/>
      <c r="H749" s="66" t="str">
        <f t="shared" si="127"/>
        <v/>
      </c>
      <c r="I749" s="67" t="str">
        <f t="shared" si="128"/>
        <v/>
      </c>
      <c r="J749" s="68" t="str">
        <f t="shared" si="129"/>
        <v/>
      </c>
      <c r="K749" s="69" t="str">
        <f t="shared" si="130"/>
        <v/>
      </c>
      <c r="L749" s="70" t="str">
        <f t="shared" si="131"/>
        <v/>
      </c>
      <c r="M749" s="71"/>
      <c r="N749" s="71"/>
      <c r="O749" s="71"/>
      <c r="P749" s="71"/>
      <c r="Q749" s="61"/>
      <c r="R749" s="63"/>
      <c r="S749" s="72"/>
      <c r="T749" s="61"/>
      <c r="U749" s="73"/>
      <c r="V749" s="62"/>
      <c r="W749" s="62"/>
      <c r="X749" s="62"/>
      <c r="Y749" s="93"/>
      <c r="Z749" s="94"/>
      <c r="AA749" s="74"/>
      <c r="AB749" s="75"/>
      <c r="AC749" s="75"/>
      <c r="AD749" s="76"/>
      <c r="AE749" s="77"/>
      <c r="AF749" s="75"/>
      <c r="AG749" s="78"/>
      <c r="AH749" s="79"/>
      <c r="AI749" s="74"/>
      <c r="AJ749" s="75"/>
      <c r="AK749" s="75"/>
      <c r="AL749" s="80">
        <f t="shared" si="132"/>
        <v>0</v>
      </c>
      <c r="AM749" s="74"/>
      <c r="AN749" s="74"/>
      <c r="AO749" s="81" t="str">
        <f t="shared" si="133"/>
        <v/>
      </c>
      <c r="AP749" s="82"/>
      <c r="AQ749" s="75"/>
      <c r="AR749" s="75"/>
      <c r="AS749" s="80">
        <f t="shared" si="134"/>
        <v>0</v>
      </c>
      <c r="AT749" s="74"/>
      <c r="AU749" s="75"/>
      <c r="AV749" s="75"/>
      <c r="AW749" s="75"/>
      <c r="AX749" s="80">
        <f t="shared" si="135"/>
        <v>0</v>
      </c>
      <c r="AY749" s="81" t="str">
        <f t="shared" si="136"/>
        <v/>
      </c>
      <c r="AZ749" s="83" t="str">
        <f t="shared" si="137"/>
        <v/>
      </c>
      <c r="BA749" s="80" t="str">
        <f t="shared" si="138"/>
        <v/>
      </c>
      <c r="BB749" s="84">
        <f t="shared" si="139"/>
        <v>0</v>
      </c>
      <c r="BC749" s="85" t="str">
        <f t="shared" si="140"/>
        <v/>
      </c>
      <c r="BD749" s="86" t="str">
        <f t="shared" si="141"/>
        <v/>
      </c>
      <c r="BE749" s="84">
        <f t="shared" si="142"/>
        <v>0</v>
      </c>
      <c r="BF749" s="87" t="str">
        <f t="shared" si="143"/>
        <v/>
      </c>
      <c r="BG749" s="88" t="str">
        <f t="shared" si="144"/>
        <v/>
      </c>
      <c r="BH749" s="89" t="str">
        <f t="shared" si="145"/>
        <v/>
      </c>
      <c r="BI749" s="90" t="str">
        <f t="shared" si="146"/>
        <v/>
      </c>
      <c r="BJ749" s="90" t="str">
        <f t="shared" si="147"/>
        <v/>
      </c>
      <c r="BK749" s="91">
        <f t="shared" si="148"/>
        <v>0</v>
      </c>
      <c r="BL749" s="92">
        <f t="shared" si="149"/>
        <v>0</v>
      </c>
      <c r="BM749" s="95"/>
    </row>
    <row r="750" spans="1:65">
      <c r="A750" s="61">
        <f t="shared" si="150"/>
        <v>0</v>
      </c>
      <c r="B750" s="62"/>
      <c r="C750" s="62"/>
      <c r="D750" s="63"/>
      <c r="E750" s="64"/>
      <c r="F750" s="64"/>
      <c r="G750" s="65"/>
      <c r="H750" s="66" t="str">
        <f t="shared" si="127"/>
        <v/>
      </c>
      <c r="I750" s="67" t="str">
        <f t="shared" si="128"/>
        <v/>
      </c>
      <c r="J750" s="68" t="str">
        <f t="shared" si="129"/>
        <v/>
      </c>
      <c r="K750" s="69" t="str">
        <f t="shared" si="130"/>
        <v/>
      </c>
      <c r="L750" s="70" t="str">
        <f t="shared" si="131"/>
        <v/>
      </c>
      <c r="M750" s="71"/>
      <c r="N750" s="71"/>
      <c r="O750" s="71"/>
      <c r="P750" s="71"/>
      <c r="Q750" s="61"/>
      <c r="R750" s="63"/>
      <c r="S750" s="72"/>
      <c r="T750" s="61"/>
      <c r="U750" s="73"/>
      <c r="V750" s="62"/>
      <c r="W750" s="62"/>
      <c r="X750" s="62"/>
      <c r="Y750" s="93"/>
      <c r="Z750" s="94"/>
      <c r="AA750" s="74"/>
      <c r="AB750" s="75"/>
      <c r="AC750" s="75"/>
      <c r="AD750" s="76"/>
      <c r="AE750" s="77"/>
      <c r="AF750" s="75"/>
      <c r="AG750" s="78"/>
      <c r="AH750" s="79"/>
      <c r="AI750" s="74"/>
      <c r="AJ750" s="75"/>
      <c r="AK750" s="75"/>
      <c r="AL750" s="80">
        <f t="shared" si="132"/>
        <v>0</v>
      </c>
      <c r="AM750" s="74"/>
      <c r="AN750" s="74"/>
      <c r="AO750" s="81" t="str">
        <f t="shared" si="133"/>
        <v/>
      </c>
      <c r="AP750" s="82"/>
      <c r="AQ750" s="75"/>
      <c r="AR750" s="75"/>
      <c r="AS750" s="80">
        <f t="shared" si="134"/>
        <v>0</v>
      </c>
      <c r="AT750" s="74"/>
      <c r="AU750" s="75"/>
      <c r="AV750" s="75"/>
      <c r="AW750" s="75"/>
      <c r="AX750" s="80">
        <f t="shared" si="135"/>
        <v>0</v>
      </c>
      <c r="AY750" s="81" t="str">
        <f t="shared" si="136"/>
        <v/>
      </c>
      <c r="AZ750" s="83" t="str">
        <f t="shared" si="137"/>
        <v/>
      </c>
      <c r="BA750" s="80" t="str">
        <f t="shared" si="138"/>
        <v/>
      </c>
      <c r="BB750" s="84">
        <f t="shared" si="139"/>
        <v>0</v>
      </c>
      <c r="BC750" s="85" t="str">
        <f t="shared" si="140"/>
        <v/>
      </c>
      <c r="BD750" s="86" t="str">
        <f t="shared" si="141"/>
        <v/>
      </c>
      <c r="BE750" s="84">
        <f t="shared" si="142"/>
        <v>0</v>
      </c>
      <c r="BF750" s="87" t="str">
        <f t="shared" si="143"/>
        <v/>
      </c>
      <c r="BG750" s="88" t="str">
        <f t="shared" si="144"/>
        <v/>
      </c>
      <c r="BH750" s="89" t="str">
        <f t="shared" si="145"/>
        <v/>
      </c>
      <c r="BI750" s="90" t="str">
        <f t="shared" si="146"/>
        <v/>
      </c>
      <c r="BJ750" s="90" t="str">
        <f t="shared" si="147"/>
        <v/>
      </c>
      <c r="BK750" s="91">
        <f t="shared" si="148"/>
        <v>0</v>
      </c>
      <c r="BL750" s="92">
        <f t="shared" si="149"/>
        <v>0</v>
      </c>
      <c r="BM750" s="95"/>
    </row>
    <row r="751" spans="1:65">
      <c r="A751" s="61">
        <f t="shared" si="150"/>
        <v>0</v>
      </c>
      <c r="B751" s="62"/>
      <c r="C751" s="62"/>
      <c r="D751" s="63"/>
      <c r="E751" s="64"/>
      <c r="F751" s="64"/>
      <c r="G751" s="65"/>
      <c r="H751" s="66" t="str">
        <f t="shared" si="127"/>
        <v/>
      </c>
      <c r="I751" s="67" t="str">
        <f t="shared" si="128"/>
        <v/>
      </c>
      <c r="J751" s="68" t="str">
        <f t="shared" si="129"/>
        <v/>
      </c>
      <c r="K751" s="69" t="str">
        <f t="shared" si="130"/>
        <v/>
      </c>
      <c r="L751" s="70" t="str">
        <f t="shared" si="131"/>
        <v/>
      </c>
      <c r="M751" s="71"/>
      <c r="N751" s="71"/>
      <c r="O751" s="71"/>
      <c r="P751" s="71"/>
      <c r="Q751" s="61"/>
      <c r="R751" s="63"/>
      <c r="S751" s="72"/>
      <c r="T751" s="61"/>
      <c r="U751" s="73"/>
      <c r="V751" s="62"/>
      <c r="W751" s="62"/>
      <c r="X751" s="62"/>
      <c r="Y751" s="93"/>
      <c r="Z751" s="94"/>
      <c r="AA751" s="74"/>
      <c r="AB751" s="75"/>
      <c r="AC751" s="75"/>
      <c r="AD751" s="76"/>
      <c r="AE751" s="77"/>
      <c r="AF751" s="75"/>
      <c r="AG751" s="78"/>
      <c r="AH751" s="79"/>
      <c r="AI751" s="74"/>
      <c r="AJ751" s="75"/>
      <c r="AK751" s="75"/>
      <c r="AL751" s="80">
        <f t="shared" si="132"/>
        <v>0</v>
      </c>
      <c r="AM751" s="74"/>
      <c r="AN751" s="74"/>
      <c r="AO751" s="81" t="str">
        <f t="shared" si="133"/>
        <v/>
      </c>
      <c r="AP751" s="82"/>
      <c r="AQ751" s="75"/>
      <c r="AR751" s="75"/>
      <c r="AS751" s="80">
        <f t="shared" si="134"/>
        <v>0</v>
      </c>
      <c r="AT751" s="74"/>
      <c r="AU751" s="75"/>
      <c r="AV751" s="75"/>
      <c r="AW751" s="75"/>
      <c r="AX751" s="80">
        <f t="shared" si="135"/>
        <v>0</v>
      </c>
      <c r="AY751" s="81" t="str">
        <f t="shared" si="136"/>
        <v/>
      </c>
      <c r="AZ751" s="83" t="str">
        <f t="shared" si="137"/>
        <v/>
      </c>
      <c r="BA751" s="80" t="str">
        <f t="shared" si="138"/>
        <v/>
      </c>
      <c r="BB751" s="84">
        <f t="shared" si="139"/>
        <v>0</v>
      </c>
      <c r="BC751" s="85" t="str">
        <f t="shared" si="140"/>
        <v/>
      </c>
      <c r="BD751" s="86" t="str">
        <f t="shared" si="141"/>
        <v/>
      </c>
      <c r="BE751" s="84">
        <f t="shared" si="142"/>
        <v>0</v>
      </c>
      <c r="BF751" s="87" t="str">
        <f t="shared" si="143"/>
        <v/>
      </c>
      <c r="BG751" s="88" t="str">
        <f t="shared" si="144"/>
        <v/>
      </c>
      <c r="BH751" s="89" t="str">
        <f t="shared" si="145"/>
        <v/>
      </c>
      <c r="BI751" s="90" t="str">
        <f t="shared" si="146"/>
        <v/>
      </c>
      <c r="BJ751" s="90" t="str">
        <f t="shared" si="147"/>
        <v/>
      </c>
      <c r="BK751" s="91">
        <f t="shared" si="148"/>
        <v>0</v>
      </c>
      <c r="BL751" s="92">
        <f t="shared" si="149"/>
        <v>0</v>
      </c>
      <c r="BM751" s="95"/>
    </row>
    <row r="752" spans="1:65">
      <c r="A752" s="61">
        <f t="shared" si="150"/>
        <v>0</v>
      </c>
      <c r="B752" s="62"/>
      <c r="C752" s="62"/>
      <c r="D752" s="63"/>
      <c r="E752" s="64"/>
      <c r="F752" s="64"/>
      <c r="G752" s="65"/>
      <c r="H752" s="66" t="str">
        <f t="shared" si="127"/>
        <v/>
      </c>
      <c r="I752" s="67" t="str">
        <f t="shared" si="128"/>
        <v/>
      </c>
      <c r="J752" s="68" t="str">
        <f t="shared" si="129"/>
        <v/>
      </c>
      <c r="K752" s="69" t="str">
        <f t="shared" si="130"/>
        <v/>
      </c>
      <c r="L752" s="70" t="str">
        <f t="shared" si="131"/>
        <v/>
      </c>
      <c r="M752" s="71"/>
      <c r="N752" s="71"/>
      <c r="O752" s="71"/>
      <c r="P752" s="71"/>
      <c r="Q752" s="61"/>
      <c r="R752" s="63"/>
      <c r="S752" s="72"/>
      <c r="T752" s="61"/>
      <c r="U752" s="73"/>
      <c r="V752" s="62"/>
      <c r="W752" s="62"/>
      <c r="X752" s="62"/>
      <c r="Y752" s="93"/>
      <c r="Z752" s="94"/>
      <c r="AA752" s="74"/>
      <c r="AB752" s="75"/>
      <c r="AC752" s="75"/>
      <c r="AD752" s="76"/>
      <c r="AE752" s="77"/>
      <c r="AF752" s="75"/>
      <c r="AG752" s="78"/>
      <c r="AH752" s="79"/>
      <c r="AI752" s="74"/>
      <c r="AJ752" s="75"/>
      <c r="AK752" s="75"/>
      <c r="AL752" s="80">
        <f t="shared" si="132"/>
        <v>0</v>
      </c>
      <c r="AM752" s="74"/>
      <c r="AN752" s="74"/>
      <c r="AO752" s="81" t="str">
        <f t="shared" si="133"/>
        <v/>
      </c>
      <c r="AP752" s="82"/>
      <c r="AQ752" s="75"/>
      <c r="AR752" s="75"/>
      <c r="AS752" s="80">
        <f t="shared" si="134"/>
        <v>0</v>
      </c>
      <c r="AT752" s="74"/>
      <c r="AU752" s="75"/>
      <c r="AV752" s="75"/>
      <c r="AW752" s="75"/>
      <c r="AX752" s="80">
        <f t="shared" si="135"/>
        <v>0</v>
      </c>
      <c r="AY752" s="81" t="str">
        <f t="shared" si="136"/>
        <v/>
      </c>
      <c r="AZ752" s="83" t="str">
        <f t="shared" si="137"/>
        <v/>
      </c>
      <c r="BA752" s="80" t="str">
        <f t="shared" si="138"/>
        <v/>
      </c>
      <c r="BB752" s="84">
        <f t="shared" si="139"/>
        <v>0</v>
      </c>
      <c r="BC752" s="85" t="str">
        <f t="shared" si="140"/>
        <v/>
      </c>
      <c r="BD752" s="86" t="str">
        <f t="shared" si="141"/>
        <v/>
      </c>
      <c r="BE752" s="84">
        <f t="shared" si="142"/>
        <v>0</v>
      </c>
      <c r="BF752" s="87" t="str">
        <f t="shared" si="143"/>
        <v/>
      </c>
      <c r="BG752" s="88" t="str">
        <f t="shared" si="144"/>
        <v/>
      </c>
      <c r="BH752" s="89" t="str">
        <f t="shared" si="145"/>
        <v/>
      </c>
      <c r="BI752" s="90" t="str">
        <f t="shared" si="146"/>
        <v/>
      </c>
      <c r="BJ752" s="90" t="str">
        <f t="shared" si="147"/>
        <v/>
      </c>
      <c r="BK752" s="91">
        <f t="shared" si="148"/>
        <v>0</v>
      </c>
      <c r="BL752" s="92">
        <f t="shared" si="149"/>
        <v>0</v>
      </c>
      <c r="BM752" s="95"/>
    </row>
    <row r="753" spans="1:65">
      <c r="A753" s="61">
        <f t="shared" si="150"/>
        <v>0</v>
      </c>
      <c r="B753" s="62"/>
      <c r="C753" s="62"/>
      <c r="D753" s="63"/>
      <c r="E753" s="64"/>
      <c r="F753" s="64"/>
      <c r="G753" s="65"/>
      <c r="H753" s="66" t="str">
        <f t="shared" si="127"/>
        <v/>
      </c>
      <c r="I753" s="67" t="str">
        <f t="shared" si="128"/>
        <v/>
      </c>
      <c r="J753" s="68" t="str">
        <f t="shared" si="129"/>
        <v/>
      </c>
      <c r="K753" s="69" t="str">
        <f t="shared" si="130"/>
        <v/>
      </c>
      <c r="L753" s="70" t="str">
        <f t="shared" si="131"/>
        <v/>
      </c>
      <c r="M753" s="71"/>
      <c r="N753" s="71"/>
      <c r="O753" s="71"/>
      <c r="P753" s="71"/>
      <c r="Q753" s="61"/>
      <c r="R753" s="63"/>
      <c r="S753" s="72"/>
      <c r="T753" s="61"/>
      <c r="U753" s="73"/>
      <c r="V753" s="62"/>
      <c r="W753" s="62"/>
      <c r="X753" s="62"/>
      <c r="Y753" s="93"/>
      <c r="Z753" s="94"/>
      <c r="AA753" s="74"/>
      <c r="AB753" s="75"/>
      <c r="AC753" s="75"/>
      <c r="AD753" s="76"/>
      <c r="AE753" s="77"/>
      <c r="AF753" s="75"/>
      <c r="AG753" s="78"/>
      <c r="AH753" s="79"/>
      <c r="AI753" s="74"/>
      <c r="AJ753" s="75"/>
      <c r="AK753" s="75"/>
      <c r="AL753" s="80">
        <f t="shared" si="132"/>
        <v>0</v>
      </c>
      <c r="AM753" s="74"/>
      <c r="AN753" s="74"/>
      <c r="AO753" s="81" t="str">
        <f t="shared" si="133"/>
        <v/>
      </c>
      <c r="AP753" s="82"/>
      <c r="AQ753" s="75"/>
      <c r="AR753" s="75"/>
      <c r="AS753" s="80">
        <f t="shared" si="134"/>
        <v>0</v>
      </c>
      <c r="AT753" s="74"/>
      <c r="AU753" s="75"/>
      <c r="AV753" s="75"/>
      <c r="AW753" s="75"/>
      <c r="AX753" s="80">
        <f t="shared" si="135"/>
        <v>0</v>
      </c>
      <c r="AY753" s="81" t="str">
        <f t="shared" si="136"/>
        <v/>
      </c>
      <c r="AZ753" s="83" t="str">
        <f t="shared" si="137"/>
        <v/>
      </c>
      <c r="BA753" s="80" t="str">
        <f t="shared" si="138"/>
        <v/>
      </c>
      <c r="BB753" s="84">
        <f t="shared" si="139"/>
        <v>0</v>
      </c>
      <c r="BC753" s="85" t="str">
        <f t="shared" si="140"/>
        <v/>
      </c>
      <c r="BD753" s="86" t="str">
        <f t="shared" si="141"/>
        <v/>
      </c>
      <c r="BE753" s="84">
        <f t="shared" si="142"/>
        <v>0</v>
      </c>
      <c r="BF753" s="87" t="str">
        <f t="shared" si="143"/>
        <v/>
      </c>
      <c r="BG753" s="88" t="str">
        <f t="shared" si="144"/>
        <v/>
      </c>
      <c r="BH753" s="89" t="str">
        <f t="shared" si="145"/>
        <v/>
      </c>
      <c r="BI753" s="90" t="str">
        <f t="shared" si="146"/>
        <v/>
      </c>
      <c r="BJ753" s="90" t="str">
        <f t="shared" si="147"/>
        <v/>
      </c>
      <c r="BK753" s="91">
        <f t="shared" si="148"/>
        <v>0</v>
      </c>
      <c r="BL753" s="92">
        <f t="shared" si="149"/>
        <v>0</v>
      </c>
      <c r="BM753" s="95"/>
    </row>
    <row r="754" spans="1:65">
      <c r="A754" s="61">
        <f t="shared" si="150"/>
        <v>0</v>
      </c>
      <c r="B754" s="62"/>
      <c r="C754" s="62"/>
      <c r="D754" s="63"/>
      <c r="E754" s="64"/>
      <c r="F754" s="64"/>
      <c r="G754" s="65"/>
      <c r="H754" s="66" t="str">
        <f t="shared" si="127"/>
        <v/>
      </c>
      <c r="I754" s="67" t="str">
        <f t="shared" si="128"/>
        <v/>
      </c>
      <c r="J754" s="68" t="str">
        <f t="shared" si="129"/>
        <v/>
      </c>
      <c r="K754" s="69" t="str">
        <f t="shared" si="130"/>
        <v/>
      </c>
      <c r="L754" s="70" t="str">
        <f t="shared" si="131"/>
        <v/>
      </c>
      <c r="M754" s="71"/>
      <c r="N754" s="71"/>
      <c r="O754" s="71"/>
      <c r="P754" s="71"/>
      <c r="Q754" s="61"/>
      <c r="R754" s="63"/>
      <c r="S754" s="72"/>
      <c r="T754" s="61"/>
      <c r="U754" s="73"/>
      <c r="V754" s="62"/>
      <c r="W754" s="62"/>
      <c r="X754" s="62"/>
      <c r="Y754" s="93"/>
      <c r="Z754" s="94"/>
      <c r="AA754" s="74"/>
      <c r="AB754" s="75"/>
      <c r="AC754" s="75"/>
      <c r="AD754" s="76"/>
      <c r="AE754" s="77"/>
      <c r="AF754" s="75"/>
      <c r="AG754" s="78"/>
      <c r="AH754" s="79"/>
      <c r="AI754" s="74"/>
      <c r="AJ754" s="75"/>
      <c r="AK754" s="75"/>
      <c r="AL754" s="80">
        <f t="shared" si="132"/>
        <v>0</v>
      </c>
      <c r="AM754" s="74"/>
      <c r="AN754" s="74"/>
      <c r="AO754" s="81" t="str">
        <f t="shared" si="133"/>
        <v/>
      </c>
      <c r="AP754" s="82"/>
      <c r="AQ754" s="75"/>
      <c r="AR754" s="75"/>
      <c r="AS754" s="80">
        <f t="shared" si="134"/>
        <v>0</v>
      </c>
      <c r="AT754" s="74"/>
      <c r="AU754" s="75"/>
      <c r="AV754" s="75"/>
      <c r="AW754" s="75"/>
      <c r="AX754" s="80">
        <f t="shared" si="135"/>
        <v>0</v>
      </c>
      <c r="AY754" s="81" t="str">
        <f t="shared" si="136"/>
        <v/>
      </c>
      <c r="AZ754" s="83" t="str">
        <f t="shared" si="137"/>
        <v/>
      </c>
      <c r="BA754" s="80" t="str">
        <f t="shared" si="138"/>
        <v/>
      </c>
      <c r="BB754" s="84">
        <f t="shared" si="139"/>
        <v>0</v>
      </c>
      <c r="BC754" s="85" t="str">
        <f t="shared" si="140"/>
        <v/>
      </c>
      <c r="BD754" s="86" t="str">
        <f t="shared" si="141"/>
        <v/>
      </c>
      <c r="BE754" s="84">
        <f t="shared" si="142"/>
        <v>0</v>
      </c>
      <c r="BF754" s="87" t="str">
        <f t="shared" si="143"/>
        <v/>
      </c>
      <c r="BG754" s="88" t="str">
        <f t="shared" si="144"/>
        <v/>
      </c>
      <c r="BH754" s="89" t="str">
        <f t="shared" si="145"/>
        <v/>
      </c>
      <c r="BI754" s="90" t="str">
        <f t="shared" si="146"/>
        <v/>
      </c>
      <c r="BJ754" s="90" t="str">
        <f t="shared" si="147"/>
        <v/>
      </c>
      <c r="BK754" s="91">
        <f t="shared" si="148"/>
        <v>0</v>
      </c>
      <c r="BL754" s="92">
        <f t="shared" si="149"/>
        <v>0</v>
      </c>
      <c r="BM754" s="95"/>
    </row>
    <row r="755" spans="1:65">
      <c r="A755" s="61">
        <f t="shared" si="150"/>
        <v>0</v>
      </c>
      <c r="B755" s="62"/>
      <c r="C755" s="62"/>
      <c r="D755" s="63"/>
      <c r="E755" s="64"/>
      <c r="F755" s="64"/>
      <c r="G755" s="65"/>
      <c r="H755" s="66" t="str">
        <f t="shared" si="127"/>
        <v/>
      </c>
      <c r="I755" s="67" t="str">
        <f t="shared" si="128"/>
        <v/>
      </c>
      <c r="J755" s="68" t="str">
        <f t="shared" si="129"/>
        <v/>
      </c>
      <c r="K755" s="69" t="str">
        <f t="shared" si="130"/>
        <v/>
      </c>
      <c r="L755" s="70" t="str">
        <f t="shared" si="131"/>
        <v/>
      </c>
      <c r="M755" s="71"/>
      <c r="N755" s="71"/>
      <c r="O755" s="71"/>
      <c r="P755" s="71"/>
      <c r="Q755" s="61"/>
      <c r="R755" s="63"/>
      <c r="S755" s="72"/>
      <c r="T755" s="61"/>
      <c r="U755" s="73"/>
      <c r="V755" s="62"/>
      <c r="W755" s="62"/>
      <c r="X755" s="62"/>
      <c r="Y755" s="93"/>
      <c r="Z755" s="94"/>
      <c r="AA755" s="74"/>
      <c r="AB755" s="75"/>
      <c r="AC755" s="75"/>
      <c r="AD755" s="76"/>
      <c r="AE755" s="77"/>
      <c r="AF755" s="75"/>
      <c r="AG755" s="78"/>
      <c r="AH755" s="79"/>
      <c r="AI755" s="74"/>
      <c r="AJ755" s="75"/>
      <c r="AK755" s="75"/>
      <c r="AL755" s="80">
        <f t="shared" si="132"/>
        <v>0</v>
      </c>
      <c r="AM755" s="74"/>
      <c r="AN755" s="74"/>
      <c r="AO755" s="81" t="str">
        <f t="shared" si="133"/>
        <v/>
      </c>
      <c r="AP755" s="82"/>
      <c r="AQ755" s="75"/>
      <c r="AR755" s="75"/>
      <c r="AS755" s="80">
        <f t="shared" si="134"/>
        <v>0</v>
      </c>
      <c r="AT755" s="74"/>
      <c r="AU755" s="75"/>
      <c r="AV755" s="75"/>
      <c r="AW755" s="75"/>
      <c r="AX755" s="80">
        <f t="shared" si="135"/>
        <v>0</v>
      </c>
      <c r="AY755" s="81" t="str">
        <f t="shared" si="136"/>
        <v/>
      </c>
      <c r="AZ755" s="83" t="str">
        <f t="shared" si="137"/>
        <v/>
      </c>
      <c r="BA755" s="80" t="str">
        <f t="shared" si="138"/>
        <v/>
      </c>
      <c r="BB755" s="84">
        <f t="shared" si="139"/>
        <v>0</v>
      </c>
      <c r="BC755" s="85" t="str">
        <f t="shared" si="140"/>
        <v/>
      </c>
      <c r="BD755" s="86" t="str">
        <f t="shared" si="141"/>
        <v/>
      </c>
      <c r="BE755" s="84">
        <f t="shared" si="142"/>
        <v>0</v>
      </c>
      <c r="BF755" s="87" t="str">
        <f t="shared" si="143"/>
        <v/>
      </c>
      <c r="BG755" s="88" t="str">
        <f t="shared" si="144"/>
        <v/>
      </c>
      <c r="BH755" s="89" t="str">
        <f t="shared" si="145"/>
        <v/>
      </c>
      <c r="BI755" s="90" t="str">
        <f t="shared" si="146"/>
        <v/>
      </c>
      <c r="BJ755" s="90" t="str">
        <f t="shared" si="147"/>
        <v/>
      </c>
      <c r="BK755" s="91">
        <f t="shared" si="148"/>
        <v>0</v>
      </c>
      <c r="BL755" s="92">
        <f t="shared" si="149"/>
        <v>0</v>
      </c>
      <c r="BM755" s="95"/>
    </row>
    <row r="756" spans="1:65">
      <c r="A756" s="61">
        <f t="shared" si="150"/>
        <v>0</v>
      </c>
      <c r="B756" s="62"/>
      <c r="C756" s="62"/>
      <c r="D756" s="63"/>
      <c r="E756" s="64"/>
      <c r="F756" s="64"/>
      <c r="G756" s="65"/>
      <c r="H756" s="66" t="str">
        <f t="shared" si="127"/>
        <v/>
      </c>
      <c r="I756" s="67" t="str">
        <f t="shared" si="128"/>
        <v/>
      </c>
      <c r="J756" s="68" t="str">
        <f t="shared" si="129"/>
        <v/>
      </c>
      <c r="K756" s="69" t="str">
        <f t="shared" si="130"/>
        <v/>
      </c>
      <c r="L756" s="70" t="str">
        <f t="shared" si="131"/>
        <v/>
      </c>
      <c r="M756" s="71"/>
      <c r="N756" s="71"/>
      <c r="O756" s="71"/>
      <c r="P756" s="71"/>
      <c r="Q756" s="61"/>
      <c r="R756" s="63"/>
      <c r="S756" s="72"/>
      <c r="T756" s="61"/>
      <c r="U756" s="73"/>
      <c r="V756" s="62"/>
      <c r="W756" s="62"/>
      <c r="X756" s="62"/>
      <c r="Y756" s="93"/>
      <c r="Z756" s="94"/>
      <c r="AA756" s="74"/>
      <c r="AB756" s="75"/>
      <c r="AC756" s="75"/>
      <c r="AD756" s="76"/>
      <c r="AE756" s="77"/>
      <c r="AF756" s="75"/>
      <c r="AG756" s="78"/>
      <c r="AH756" s="79"/>
      <c r="AI756" s="74"/>
      <c r="AJ756" s="75"/>
      <c r="AK756" s="75"/>
      <c r="AL756" s="80">
        <f t="shared" si="132"/>
        <v>0</v>
      </c>
      <c r="AM756" s="74"/>
      <c r="AN756" s="74"/>
      <c r="AO756" s="81" t="str">
        <f t="shared" si="133"/>
        <v/>
      </c>
      <c r="AP756" s="82"/>
      <c r="AQ756" s="75"/>
      <c r="AR756" s="75"/>
      <c r="AS756" s="80">
        <f t="shared" si="134"/>
        <v>0</v>
      </c>
      <c r="AT756" s="74"/>
      <c r="AU756" s="75"/>
      <c r="AV756" s="75"/>
      <c r="AW756" s="75"/>
      <c r="AX756" s="80">
        <f t="shared" si="135"/>
        <v>0</v>
      </c>
      <c r="AY756" s="81" t="str">
        <f t="shared" si="136"/>
        <v/>
      </c>
      <c r="AZ756" s="83" t="str">
        <f t="shared" si="137"/>
        <v/>
      </c>
      <c r="BA756" s="80" t="str">
        <f t="shared" si="138"/>
        <v/>
      </c>
      <c r="BB756" s="84">
        <f t="shared" si="139"/>
        <v>0</v>
      </c>
      <c r="BC756" s="85" t="str">
        <f t="shared" si="140"/>
        <v/>
      </c>
      <c r="BD756" s="86" t="str">
        <f t="shared" si="141"/>
        <v/>
      </c>
      <c r="BE756" s="84">
        <f t="shared" si="142"/>
        <v>0</v>
      </c>
      <c r="BF756" s="87" t="str">
        <f t="shared" si="143"/>
        <v/>
      </c>
      <c r="BG756" s="88" t="str">
        <f t="shared" si="144"/>
        <v/>
      </c>
      <c r="BH756" s="89" t="str">
        <f t="shared" si="145"/>
        <v/>
      </c>
      <c r="BI756" s="90" t="str">
        <f t="shared" si="146"/>
        <v/>
      </c>
      <c r="BJ756" s="90" t="str">
        <f t="shared" si="147"/>
        <v/>
      </c>
      <c r="BK756" s="91">
        <f t="shared" si="148"/>
        <v>0</v>
      </c>
      <c r="BL756" s="92">
        <f t="shared" si="149"/>
        <v>0</v>
      </c>
      <c r="BM756" s="95"/>
    </row>
    <row r="757" spans="1:65">
      <c r="A757" s="61">
        <f t="shared" si="150"/>
        <v>0</v>
      </c>
      <c r="B757" s="62"/>
      <c r="C757" s="62"/>
      <c r="D757" s="63"/>
      <c r="E757" s="64"/>
      <c r="F757" s="64"/>
      <c r="G757" s="65"/>
      <c r="H757" s="66" t="str">
        <f t="shared" si="127"/>
        <v/>
      </c>
      <c r="I757" s="67" t="str">
        <f t="shared" si="128"/>
        <v/>
      </c>
      <c r="J757" s="68" t="str">
        <f t="shared" si="129"/>
        <v/>
      </c>
      <c r="K757" s="69" t="str">
        <f t="shared" si="130"/>
        <v/>
      </c>
      <c r="L757" s="70" t="str">
        <f t="shared" si="131"/>
        <v/>
      </c>
      <c r="M757" s="71"/>
      <c r="N757" s="71"/>
      <c r="O757" s="71"/>
      <c r="P757" s="71"/>
      <c r="Q757" s="61"/>
      <c r="R757" s="63"/>
      <c r="S757" s="72"/>
      <c r="T757" s="61"/>
      <c r="U757" s="73"/>
      <c r="V757" s="62"/>
      <c r="W757" s="62"/>
      <c r="X757" s="62"/>
      <c r="Y757" s="93"/>
      <c r="Z757" s="94"/>
      <c r="AA757" s="74"/>
      <c r="AB757" s="75"/>
      <c r="AC757" s="75"/>
      <c r="AD757" s="76"/>
      <c r="AE757" s="77"/>
      <c r="AF757" s="75"/>
      <c r="AG757" s="78"/>
      <c r="AH757" s="79"/>
      <c r="AI757" s="74"/>
      <c r="AJ757" s="75"/>
      <c r="AK757" s="75"/>
      <c r="AL757" s="80">
        <f t="shared" si="132"/>
        <v>0</v>
      </c>
      <c r="AM757" s="74"/>
      <c r="AN757" s="74"/>
      <c r="AO757" s="81" t="str">
        <f t="shared" si="133"/>
        <v/>
      </c>
      <c r="AP757" s="82"/>
      <c r="AQ757" s="75"/>
      <c r="AR757" s="75"/>
      <c r="AS757" s="80">
        <f t="shared" si="134"/>
        <v>0</v>
      </c>
      <c r="AT757" s="74"/>
      <c r="AU757" s="75"/>
      <c r="AV757" s="75"/>
      <c r="AW757" s="75"/>
      <c r="AX757" s="80">
        <f t="shared" si="135"/>
        <v>0</v>
      </c>
      <c r="AY757" s="81" t="str">
        <f t="shared" si="136"/>
        <v/>
      </c>
      <c r="AZ757" s="83" t="str">
        <f t="shared" si="137"/>
        <v/>
      </c>
      <c r="BA757" s="80" t="str">
        <f t="shared" si="138"/>
        <v/>
      </c>
      <c r="BB757" s="84">
        <f t="shared" si="139"/>
        <v>0</v>
      </c>
      <c r="BC757" s="85" t="str">
        <f t="shared" si="140"/>
        <v/>
      </c>
      <c r="BD757" s="86" t="str">
        <f t="shared" si="141"/>
        <v/>
      </c>
      <c r="BE757" s="84">
        <f t="shared" si="142"/>
        <v>0</v>
      </c>
      <c r="BF757" s="87" t="str">
        <f t="shared" si="143"/>
        <v/>
      </c>
      <c r="BG757" s="88" t="str">
        <f t="shared" si="144"/>
        <v/>
      </c>
      <c r="BH757" s="89" t="str">
        <f t="shared" si="145"/>
        <v/>
      </c>
      <c r="BI757" s="90" t="str">
        <f t="shared" si="146"/>
        <v/>
      </c>
      <c r="BJ757" s="90" t="str">
        <f t="shared" si="147"/>
        <v/>
      </c>
      <c r="BK757" s="91">
        <f t="shared" si="148"/>
        <v>0</v>
      </c>
      <c r="BL757" s="92">
        <f t="shared" si="149"/>
        <v>0</v>
      </c>
      <c r="BM757" s="95"/>
    </row>
    <row r="758" spans="1:65">
      <c r="A758" s="61">
        <f t="shared" si="150"/>
        <v>0</v>
      </c>
      <c r="B758" s="62"/>
      <c r="C758" s="62"/>
      <c r="D758" s="63"/>
      <c r="E758" s="64"/>
      <c r="F758" s="64"/>
      <c r="G758" s="65"/>
      <c r="H758" s="66" t="str">
        <f t="shared" si="127"/>
        <v/>
      </c>
      <c r="I758" s="67" t="str">
        <f t="shared" si="128"/>
        <v/>
      </c>
      <c r="J758" s="68" t="str">
        <f t="shared" si="129"/>
        <v/>
      </c>
      <c r="K758" s="69" t="str">
        <f t="shared" si="130"/>
        <v/>
      </c>
      <c r="L758" s="70" t="str">
        <f t="shared" si="131"/>
        <v/>
      </c>
      <c r="M758" s="71"/>
      <c r="N758" s="71"/>
      <c r="O758" s="71"/>
      <c r="P758" s="71"/>
      <c r="Q758" s="61"/>
      <c r="R758" s="63"/>
      <c r="S758" s="72"/>
      <c r="T758" s="61"/>
      <c r="U758" s="73"/>
      <c r="V758" s="62"/>
      <c r="W758" s="62"/>
      <c r="X758" s="62"/>
      <c r="Y758" s="93"/>
      <c r="Z758" s="94"/>
      <c r="AA758" s="74"/>
      <c r="AB758" s="75"/>
      <c r="AC758" s="75"/>
      <c r="AD758" s="76"/>
      <c r="AE758" s="77"/>
      <c r="AF758" s="75"/>
      <c r="AG758" s="78"/>
      <c r="AH758" s="79"/>
      <c r="AI758" s="74"/>
      <c r="AJ758" s="75"/>
      <c r="AK758" s="75"/>
      <c r="AL758" s="80">
        <f t="shared" si="132"/>
        <v>0</v>
      </c>
      <c r="AM758" s="74"/>
      <c r="AN758" s="74"/>
      <c r="AO758" s="81" t="str">
        <f t="shared" si="133"/>
        <v/>
      </c>
      <c r="AP758" s="82"/>
      <c r="AQ758" s="75"/>
      <c r="AR758" s="75"/>
      <c r="AS758" s="80">
        <f t="shared" si="134"/>
        <v>0</v>
      </c>
      <c r="AT758" s="74"/>
      <c r="AU758" s="75"/>
      <c r="AV758" s="75"/>
      <c r="AW758" s="75"/>
      <c r="AX758" s="80">
        <f t="shared" si="135"/>
        <v>0</v>
      </c>
      <c r="AY758" s="81" t="str">
        <f t="shared" si="136"/>
        <v/>
      </c>
      <c r="AZ758" s="83" t="str">
        <f t="shared" si="137"/>
        <v/>
      </c>
      <c r="BA758" s="80" t="str">
        <f t="shared" si="138"/>
        <v/>
      </c>
      <c r="BB758" s="84">
        <f t="shared" si="139"/>
        <v>0</v>
      </c>
      <c r="BC758" s="85" t="str">
        <f t="shared" si="140"/>
        <v/>
      </c>
      <c r="BD758" s="86" t="str">
        <f t="shared" si="141"/>
        <v/>
      </c>
      <c r="BE758" s="84">
        <f t="shared" si="142"/>
        <v>0</v>
      </c>
      <c r="BF758" s="87" t="str">
        <f t="shared" si="143"/>
        <v/>
      </c>
      <c r="BG758" s="88" t="str">
        <f t="shared" si="144"/>
        <v/>
      </c>
      <c r="BH758" s="89" t="str">
        <f t="shared" si="145"/>
        <v/>
      </c>
      <c r="BI758" s="90" t="str">
        <f t="shared" si="146"/>
        <v/>
      </c>
      <c r="BJ758" s="90" t="str">
        <f t="shared" si="147"/>
        <v/>
      </c>
      <c r="BK758" s="91">
        <f t="shared" si="148"/>
        <v>0</v>
      </c>
      <c r="BL758" s="92">
        <f t="shared" si="149"/>
        <v>0</v>
      </c>
      <c r="BM758" s="95"/>
    </row>
    <row r="759" spans="1:65">
      <c r="A759" s="61">
        <f t="shared" si="150"/>
        <v>0</v>
      </c>
      <c r="B759" s="62"/>
      <c r="C759" s="62"/>
      <c r="D759" s="63"/>
      <c r="E759" s="64"/>
      <c r="F759" s="64"/>
      <c r="G759" s="65"/>
      <c r="H759" s="66" t="str">
        <f t="shared" si="127"/>
        <v/>
      </c>
      <c r="I759" s="67" t="str">
        <f t="shared" si="128"/>
        <v/>
      </c>
      <c r="J759" s="68" t="str">
        <f t="shared" si="129"/>
        <v/>
      </c>
      <c r="K759" s="69" t="str">
        <f t="shared" si="130"/>
        <v/>
      </c>
      <c r="L759" s="70" t="str">
        <f t="shared" si="131"/>
        <v/>
      </c>
      <c r="M759" s="71"/>
      <c r="N759" s="71"/>
      <c r="O759" s="71"/>
      <c r="P759" s="71"/>
      <c r="Q759" s="61"/>
      <c r="R759" s="63"/>
      <c r="S759" s="72"/>
      <c r="T759" s="61"/>
      <c r="U759" s="73"/>
      <c r="V759" s="62"/>
      <c r="W759" s="62"/>
      <c r="X759" s="62"/>
      <c r="Y759" s="93"/>
      <c r="Z759" s="94"/>
      <c r="AA759" s="74"/>
      <c r="AB759" s="75"/>
      <c r="AC759" s="75"/>
      <c r="AD759" s="76"/>
      <c r="AE759" s="77"/>
      <c r="AF759" s="75"/>
      <c r="AG759" s="78"/>
      <c r="AH759" s="79"/>
      <c r="AI759" s="74"/>
      <c r="AJ759" s="75"/>
      <c r="AK759" s="75"/>
      <c r="AL759" s="80">
        <f t="shared" si="132"/>
        <v>0</v>
      </c>
      <c r="AM759" s="74"/>
      <c r="AN759" s="74"/>
      <c r="AO759" s="81" t="str">
        <f t="shared" si="133"/>
        <v/>
      </c>
      <c r="AP759" s="82"/>
      <c r="AQ759" s="75"/>
      <c r="AR759" s="75"/>
      <c r="AS759" s="80">
        <f t="shared" si="134"/>
        <v>0</v>
      </c>
      <c r="AT759" s="74"/>
      <c r="AU759" s="75"/>
      <c r="AV759" s="75"/>
      <c r="AW759" s="75"/>
      <c r="AX759" s="80">
        <f t="shared" si="135"/>
        <v>0</v>
      </c>
      <c r="AY759" s="81" t="str">
        <f t="shared" si="136"/>
        <v/>
      </c>
      <c r="AZ759" s="83" t="str">
        <f t="shared" si="137"/>
        <v/>
      </c>
      <c r="BA759" s="80" t="str">
        <f t="shared" si="138"/>
        <v/>
      </c>
      <c r="BB759" s="84">
        <f t="shared" si="139"/>
        <v>0</v>
      </c>
      <c r="BC759" s="85" t="str">
        <f t="shared" si="140"/>
        <v/>
      </c>
      <c r="BD759" s="86" t="str">
        <f t="shared" si="141"/>
        <v/>
      </c>
      <c r="BE759" s="84">
        <f t="shared" si="142"/>
        <v>0</v>
      </c>
      <c r="BF759" s="87" t="str">
        <f t="shared" si="143"/>
        <v/>
      </c>
      <c r="BG759" s="88" t="str">
        <f t="shared" si="144"/>
        <v/>
      </c>
      <c r="BH759" s="89" t="str">
        <f t="shared" si="145"/>
        <v/>
      </c>
      <c r="BI759" s="90" t="str">
        <f t="shared" si="146"/>
        <v/>
      </c>
      <c r="BJ759" s="90" t="str">
        <f t="shared" si="147"/>
        <v/>
      </c>
      <c r="BK759" s="91">
        <f t="shared" si="148"/>
        <v>0</v>
      </c>
      <c r="BL759" s="92">
        <f t="shared" si="149"/>
        <v>0</v>
      </c>
      <c r="BM759" s="95"/>
    </row>
    <row r="760" spans="1:65">
      <c r="A760" s="61">
        <f t="shared" si="150"/>
        <v>0</v>
      </c>
      <c r="B760" s="62"/>
      <c r="C760" s="62"/>
      <c r="D760" s="63"/>
      <c r="E760" s="64"/>
      <c r="F760" s="64"/>
      <c r="G760" s="65"/>
      <c r="H760" s="66" t="str">
        <f t="shared" si="127"/>
        <v/>
      </c>
      <c r="I760" s="67" t="str">
        <f t="shared" si="128"/>
        <v/>
      </c>
      <c r="J760" s="68" t="str">
        <f t="shared" si="129"/>
        <v/>
      </c>
      <c r="K760" s="69" t="str">
        <f t="shared" si="130"/>
        <v/>
      </c>
      <c r="L760" s="70" t="str">
        <f t="shared" si="131"/>
        <v/>
      </c>
      <c r="M760" s="71"/>
      <c r="N760" s="71"/>
      <c r="O760" s="71"/>
      <c r="P760" s="71"/>
      <c r="Q760" s="61"/>
      <c r="R760" s="63"/>
      <c r="S760" s="72"/>
      <c r="T760" s="61"/>
      <c r="U760" s="73"/>
      <c r="V760" s="62"/>
      <c r="W760" s="62"/>
      <c r="X760" s="62"/>
      <c r="Y760" s="93"/>
      <c r="Z760" s="94"/>
      <c r="AA760" s="74"/>
      <c r="AB760" s="75"/>
      <c r="AC760" s="75"/>
      <c r="AD760" s="76"/>
      <c r="AE760" s="77"/>
      <c r="AF760" s="75"/>
      <c r="AG760" s="78"/>
      <c r="AH760" s="79"/>
      <c r="AI760" s="74"/>
      <c r="AJ760" s="75"/>
      <c r="AK760" s="75"/>
      <c r="AL760" s="80">
        <f t="shared" si="132"/>
        <v>0</v>
      </c>
      <c r="AM760" s="74"/>
      <c r="AN760" s="74"/>
      <c r="AO760" s="81" t="str">
        <f t="shared" si="133"/>
        <v/>
      </c>
      <c r="AP760" s="82"/>
      <c r="AQ760" s="75"/>
      <c r="AR760" s="75"/>
      <c r="AS760" s="80">
        <f t="shared" si="134"/>
        <v>0</v>
      </c>
      <c r="AT760" s="74"/>
      <c r="AU760" s="75"/>
      <c r="AV760" s="75"/>
      <c r="AW760" s="75"/>
      <c r="AX760" s="80">
        <f t="shared" si="135"/>
        <v>0</v>
      </c>
      <c r="AY760" s="81" t="str">
        <f t="shared" si="136"/>
        <v/>
      </c>
      <c r="AZ760" s="83" t="str">
        <f t="shared" si="137"/>
        <v/>
      </c>
      <c r="BA760" s="80" t="str">
        <f t="shared" si="138"/>
        <v/>
      </c>
      <c r="BB760" s="84">
        <f t="shared" si="139"/>
        <v>0</v>
      </c>
      <c r="BC760" s="85" t="str">
        <f t="shared" si="140"/>
        <v/>
      </c>
      <c r="BD760" s="86" t="str">
        <f t="shared" si="141"/>
        <v/>
      </c>
      <c r="BE760" s="84">
        <f t="shared" si="142"/>
        <v>0</v>
      </c>
      <c r="BF760" s="87" t="str">
        <f t="shared" si="143"/>
        <v/>
      </c>
      <c r="BG760" s="88" t="str">
        <f t="shared" si="144"/>
        <v/>
      </c>
      <c r="BH760" s="89" t="str">
        <f t="shared" si="145"/>
        <v/>
      </c>
      <c r="BI760" s="90" t="str">
        <f t="shared" si="146"/>
        <v/>
      </c>
      <c r="BJ760" s="90" t="str">
        <f t="shared" si="147"/>
        <v/>
      </c>
      <c r="BK760" s="91">
        <f t="shared" si="148"/>
        <v>0</v>
      </c>
      <c r="BL760" s="92">
        <f t="shared" si="149"/>
        <v>0</v>
      </c>
      <c r="BM760" s="95"/>
    </row>
    <row r="761" spans="1:65">
      <c r="A761" s="61">
        <f t="shared" si="150"/>
        <v>0</v>
      </c>
      <c r="B761" s="62"/>
      <c r="C761" s="62"/>
      <c r="D761" s="63"/>
      <c r="E761" s="64"/>
      <c r="F761" s="64"/>
      <c r="G761" s="65"/>
      <c r="H761" s="66" t="str">
        <f t="shared" si="127"/>
        <v/>
      </c>
      <c r="I761" s="67" t="str">
        <f t="shared" si="128"/>
        <v/>
      </c>
      <c r="J761" s="68" t="str">
        <f t="shared" si="129"/>
        <v/>
      </c>
      <c r="K761" s="69" t="str">
        <f t="shared" si="130"/>
        <v/>
      </c>
      <c r="L761" s="70" t="str">
        <f t="shared" si="131"/>
        <v/>
      </c>
      <c r="M761" s="71"/>
      <c r="N761" s="71"/>
      <c r="O761" s="71"/>
      <c r="P761" s="71"/>
      <c r="Q761" s="61"/>
      <c r="R761" s="63"/>
      <c r="S761" s="72"/>
      <c r="T761" s="61"/>
      <c r="U761" s="73"/>
      <c r="V761" s="62"/>
      <c r="W761" s="62"/>
      <c r="X761" s="62"/>
      <c r="Y761" s="93"/>
      <c r="Z761" s="94"/>
      <c r="AA761" s="74"/>
      <c r="AB761" s="75"/>
      <c r="AC761" s="75"/>
      <c r="AD761" s="76"/>
      <c r="AE761" s="77"/>
      <c r="AF761" s="75"/>
      <c r="AG761" s="78"/>
      <c r="AH761" s="79"/>
      <c r="AI761" s="74"/>
      <c r="AJ761" s="75"/>
      <c r="AK761" s="75"/>
      <c r="AL761" s="80">
        <f t="shared" si="132"/>
        <v>0</v>
      </c>
      <c r="AM761" s="74"/>
      <c r="AN761" s="74"/>
      <c r="AO761" s="81" t="str">
        <f t="shared" si="133"/>
        <v/>
      </c>
      <c r="AP761" s="82"/>
      <c r="AQ761" s="75"/>
      <c r="AR761" s="75"/>
      <c r="AS761" s="80">
        <f t="shared" si="134"/>
        <v>0</v>
      </c>
      <c r="AT761" s="74"/>
      <c r="AU761" s="75"/>
      <c r="AV761" s="75"/>
      <c r="AW761" s="75"/>
      <c r="AX761" s="80">
        <f t="shared" si="135"/>
        <v>0</v>
      </c>
      <c r="AY761" s="81" t="str">
        <f t="shared" si="136"/>
        <v/>
      </c>
      <c r="AZ761" s="83" t="str">
        <f t="shared" si="137"/>
        <v/>
      </c>
      <c r="BA761" s="80" t="str">
        <f t="shared" si="138"/>
        <v/>
      </c>
      <c r="BB761" s="84">
        <f t="shared" si="139"/>
        <v>0</v>
      </c>
      <c r="BC761" s="85" t="str">
        <f t="shared" si="140"/>
        <v/>
      </c>
      <c r="BD761" s="86" t="str">
        <f t="shared" si="141"/>
        <v/>
      </c>
      <c r="BE761" s="84">
        <f t="shared" si="142"/>
        <v>0</v>
      </c>
      <c r="BF761" s="87" t="str">
        <f t="shared" si="143"/>
        <v/>
      </c>
      <c r="BG761" s="88" t="str">
        <f t="shared" si="144"/>
        <v/>
      </c>
      <c r="BH761" s="89" t="str">
        <f t="shared" si="145"/>
        <v/>
      </c>
      <c r="BI761" s="90" t="str">
        <f t="shared" si="146"/>
        <v/>
      </c>
      <c r="BJ761" s="90" t="str">
        <f t="shared" si="147"/>
        <v/>
      </c>
      <c r="BK761" s="91">
        <f t="shared" si="148"/>
        <v>0</v>
      </c>
      <c r="BL761" s="92">
        <f t="shared" si="149"/>
        <v>0</v>
      </c>
      <c r="BM761" s="95"/>
    </row>
    <row r="762" spans="1:65">
      <c r="A762" s="61">
        <f t="shared" si="150"/>
        <v>0</v>
      </c>
      <c r="B762" s="62"/>
      <c r="C762" s="62"/>
      <c r="D762" s="63"/>
      <c r="E762" s="64"/>
      <c r="F762" s="64"/>
      <c r="G762" s="65"/>
      <c r="H762" s="66" t="str">
        <f t="shared" si="127"/>
        <v/>
      </c>
      <c r="I762" s="67" t="str">
        <f t="shared" si="128"/>
        <v/>
      </c>
      <c r="J762" s="68" t="str">
        <f t="shared" si="129"/>
        <v/>
      </c>
      <c r="K762" s="69" t="str">
        <f t="shared" si="130"/>
        <v/>
      </c>
      <c r="L762" s="70" t="str">
        <f t="shared" si="131"/>
        <v/>
      </c>
      <c r="M762" s="71"/>
      <c r="N762" s="71"/>
      <c r="O762" s="71"/>
      <c r="P762" s="71"/>
      <c r="Q762" s="61"/>
      <c r="R762" s="63"/>
      <c r="S762" s="72"/>
      <c r="T762" s="61"/>
      <c r="U762" s="73"/>
      <c r="V762" s="62"/>
      <c r="W762" s="62"/>
      <c r="X762" s="62"/>
      <c r="Y762" s="93"/>
      <c r="Z762" s="94"/>
      <c r="AA762" s="74"/>
      <c r="AB762" s="75"/>
      <c r="AC762" s="75"/>
      <c r="AD762" s="76"/>
      <c r="AE762" s="77"/>
      <c r="AF762" s="75"/>
      <c r="AG762" s="78"/>
      <c r="AH762" s="79"/>
      <c r="AI762" s="74"/>
      <c r="AJ762" s="75"/>
      <c r="AK762" s="75"/>
      <c r="AL762" s="80">
        <f t="shared" si="132"/>
        <v>0</v>
      </c>
      <c r="AM762" s="74"/>
      <c r="AN762" s="74"/>
      <c r="AO762" s="81" t="str">
        <f t="shared" si="133"/>
        <v/>
      </c>
      <c r="AP762" s="82"/>
      <c r="AQ762" s="75"/>
      <c r="AR762" s="75"/>
      <c r="AS762" s="80">
        <f t="shared" si="134"/>
        <v>0</v>
      </c>
      <c r="AT762" s="74"/>
      <c r="AU762" s="75"/>
      <c r="AV762" s="75"/>
      <c r="AW762" s="75"/>
      <c r="AX762" s="80">
        <f t="shared" si="135"/>
        <v>0</v>
      </c>
      <c r="AY762" s="81" t="str">
        <f t="shared" si="136"/>
        <v/>
      </c>
      <c r="AZ762" s="83" t="str">
        <f t="shared" si="137"/>
        <v/>
      </c>
      <c r="BA762" s="80" t="str">
        <f t="shared" si="138"/>
        <v/>
      </c>
      <c r="BB762" s="84">
        <f t="shared" si="139"/>
        <v>0</v>
      </c>
      <c r="BC762" s="85" t="str">
        <f t="shared" si="140"/>
        <v/>
      </c>
      <c r="BD762" s="86" t="str">
        <f t="shared" si="141"/>
        <v/>
      </c>
      <c r="BE762" s="84">
        <f t="shared" si="142"/>
        <v>0</v>
      </c>
      <c r="BF762" s="87" t="str">
        <f t="shared" si="143"/>
        <v/>
      </c>
      <c r="BG762" s="88" t="str">
        <f t="shared" si="144"/>
        <v/>
      </c>
      <c r="BH762" s="89" t="str">
        <f t="shared" si="145"/>
        <v/>
      </c>
      <c r="BI762" s="90" t="str">
        <f t="shared" si="146"/>
        <v/>
      </c>
      <c r="BJ762" s="90" t="str">
        <f t="shared" si="147"/>
        <v/>
      </c>
      <c r="BK762" s="91">
        <f t="shared" si="148"/>
        <v>0</v>
      </c>
      <c r="BL762" s="92">
        <f t="shared" si="149"/>
        <v>0</v>
      </c>
      <c r="BM762" s="95"/>
    </row>
    <row r="763" spans="1:65">
      <c r="A763" s="61">
        <f t="shared" si="150"/>
        <v>0</v>
      </c>
      <c r="B763" s="62"/>
      <c r="C763" s="62"/>
      <c r="D763" s="63"/>
      <c r="E763" s="64"/>
      <c r="F763" s="64"/>
      <c r="G763" s="65"/>
      <c r="H763" s="66" t="str">
        <f t="shared" si="127"/>
        <v/>
      </c>
      <c r="I763" s="67" t="str">
        <f t="shared" si="128"/>
        <v/>
      </c>
      <c r="J763" s="68" t="str">
        <f t="shared" si="129"/>
        <v/>
      </c>
      <c r="K763" s="69" t="str">
        <f t="shared" si="130"/>
        <v/>
      </c>
      <c r="L763" s="70" t="str">
        <f t="shared" si="131"/>
        <v/>
      </c>
      <c r="M763" s="71"/>
      <c r="N763" s="71"/>
      <c r="O763" s="71"/>
      <c r="P763" s="71"/>
      <c r="Q763" s="61"/>
      <c r="R763" s="63"/>
      <c r="S763" s="72"/>
      <c r="T763" s="61"/>
      <c r="U763" s="73"/>
      <c r="V763" s="62"/>
      <c r="W763" s="62"/>
      <c r="X763" s="62"/>
      <c r="Y763" s="93"/>
      <c r="Z763" s="94"/>
      <c r="AA763" s="74"/>
      <c r="AB763" s="75"/>
      <c r="AC763" s="75"/>
      <c r="AD763" s="76"/>
      <c r="AE763" s="77"/>
      <c r="AF763" s="75"/>
      <c r="AG763" s="78"/>
      <c r="AH763" s="79"/>
      <c r="AI763" s="74"/>
      <c r="AJ763" s="75"/>
      <c r="AK763" s="75"/>
      <c r="AL763" s="80">
        <f t="shared" si="132"/>
        <v>0</v>
      </c>
      <c r="AM763" s="74"/>
      <c r="AN763" s="74"/>
      <c r="AO763" s="81" t="str">
        <f t="shared" si="133"/>
        <v/>
      </c>
      <c r="AP763" s="82"/>
      <c r="AQ763" s="75"/>
      <c r="AR763" s="75"/>
      <c r="AS763" s="80">
        <f t="shared" si="134"/>
        <v>0</v>
      </c>
      <c r="AT763" s="74"/>
      <c r="AU763" s="75"/>
      <c r="AV763" s="75"/>
      <c r="AW763" s="75"/>
      <c r="AX763" s="80">
        <f t="shared" si="135"/>
        <v>0</v>
      </c>
      <c r="AY763" s="81" t="str">
        <f t="shared" si="136"/>
        <v/>
      </c>
      <c r="AZ763" s="83" t="str">
        <f t="shared" si="137"/>
        <v/>
      </c>
      <c r="BA763" s="80" t="str">
        <f t="shared" si="138"/>
        <v/>
      </c>
      <c r="BB763" s="84">
        <f t="shared" si="139"/>
        <v>0</v>
      </c>
      <c r="BC763" s="85" t="str">
        <f t="shared" si="140"/>
        <v/>
      </c>
      <c r="BD763" s="86" t="str">
        <f t="shared" si="141"/>
        <v/>
      </c>
      <c r="BE763" s="84">
        <f t="shared" si="142"/>
        <v>0</v>
      </c>
      <c r="BF763" s="87" t="str">
        <f t="shared" si="143"/>
        <v/>
      </c>
      <c r="BG763" s="88" t="str">
        <f t="shared" si="144"/>
        <v/>
      </c>
      <c r="BH763" s="89" t="str">
        <f t="shared" si="145"/>
        <v/>
      </c>
      <c r="BI763" s="90" t="str">
        <f t="shared" si="146"/>
        <v/>
      </c>
      <c r="BJ763" s="90" t="str">
        <f t="shared" si="147"/>
        <v/>
      </c>
      <c r="BK763" s="91">
        <f t="shared" si="148"/>
        <v>0</v>
      </c>
      <c r="BL763" s="92">
        <f t="shared" si="149"/>
        <v>0</v>
      </c>
      <c r="BM763" s="95"/>
    </row>
    <row r="764" spans="1:65">
      <c r="A764" s="61">
        <f t="shared" si="150"/>
        <v>0</v>
      </c>
      <c r="B764" s="62"/>
      <c r="C764" s="62"/>
      <c r="D764" s="63"/>
      <c r="E764" s="64"/>
      <c r="F764" s="64"/>
      <c r="G764" s="65"/>
      <c r="H764" s="66" t="str">
        <f t="shared" si="127"/>
        <v/>
      </c>
      <c r="I764" s="67" t="str">
        <f t="shared" si="128"/>
        <v/>
      </c>
      <c r="J764" s="68" t="str">
        <f t="shared" si="129"/>
        <v/>
      </c>
      <c r="K764" s="69" t="str">
        <f t="shared" si="130"/>
        <v/>
      </c>
      <c r="L764" s="70" t="str">
        <f t="shared" si="131"/>
        <v/>
      </c>
      <c r="M764" s="71"/>
      <c r="N764" s="71"/>
      <c r="O764" s="71"/>
      <c r="P764" s="71"/>
      <c r="Q764" s="61"/>
      <c r="R764" s="63"/>
      <c r="S764" s="72"/>
      <c r="T764" s="61"/>
      <c r="U764" s="73"/>
      <c r="V764" s="62"/>
      <c r="W764" s="62"/>
      <c r="X764" s="62"/>
      <c r="Y764" s="93"/>
      <c r="Z764" s="94"/>
      <c r="AA764" s="74"/>
      <c r="AB764" s="75"/>
      <c r="AC764" s="75"/>
      <c r="AD764" s="76"/>
      <c r="AE764" s="77"/>
      <c r="AF764" s="75"/>
      <c r="AG764" s="78"/>
      <c r="AH764" s="79"/>
      <c r="AI764" s="74"/>
      <c r="AJ764" s="75"/>
      <c r="AK764" s="75"/>
      <c r="AL764" s="80">
        <f t="shared" si="132"/>
        <v>0</v>
      </c>
      <c r="AM764" s="74"/>
      <c r="AN764" s="74"/>
      <c r="AO764" s="81" t="str">
        <f t="shared" si="133"/>
        <v/>
      </c>
      <c r="AP764" s="82"/>
      <c r="AQ764" s="75"/>
      <c r="AR764" s="75"/>
      <c r="AS764" s="80">
        <f t="shared" si="134"/>
        <v>0</v>
      </c>
      <c r="AT764" s="74"/>
      <c r="AU764" s="75"/>
      <c r="AV764" s="75"/>
      <c r="AW764" s="75"/>
      <c r="AX764" s="80">
        <f t="shared" si="135"/>
        <v>0</v>
      </c>
      <c r="AY764" s="81" t="str">
        <f t="shared" si="136"/>
        <v/>
      </c>
      <c r="AZ764" s="83" t="str">
        <f t="shared" si="137"/>
        <v/>
      </c>
      <c r="BA764" s="80" t="str">
        <f t="shared" si="138"/>
        <v/>
      </c>
      <c r="BB764" s="84">
        <f t="shared" si="139"/>
        <v>0</v>
      </c>
      <c r="BC764" s="85" t="str">
        <f t="shared" si="140"/>
        <v/>
      </c>
      <c r="BD764" s="86" t="str">
        <f t="shared" si="141"/>
        <v/>
      </c>
      <c r="BE764" s="84">
        <f t="shared" si="142"/>
        <v>0</v>
      </c>
      <c r="BF764" s="87" t="str">
        <f t="shared" si="143"/>
        <v/>
      </c>
      <c r="BG764" s="88" t="str">
        <f t="shared" si="144"/>
        <v/>
      </c>
      <c r="BH764" s="89" t="str">
        <f t="shared" si="145"/>
        <v/>
      </c>
      <c r="BI764" s="90" t="str">
        <f t="shared" si="146"/>
        <v/>
      </c>
      <c r="BJ764" s="90" t="str">
        <f t="shared" si="147"/>
        <v/>
      </c>
      <c r="BK764" s="91">
        <f t="shared" si="148"/>
        <v>0</v>
      </c>
      <c r="BL764" s="92">
        <f t="shared" si="149"/>
        <v>0</v>
      </c>
      <c r="BM764" s="95"/>
    </row>
    <row r="765" spans="1:65">
      <c r="A765" s="61">
        <f t="shared" si="150"/>
        <v>0</v>
      </c>
      <c r="B765" s="62"/>
      <c r="C765" s="62"/>
      <c r="D765" s="63"/>
      <c r="E765" s="64"/>
      <c r="F765" s="64"/>
      <c r="G765" s="65"/>
      <c r="H765" s="66" t="str">
        <f t="shared" si="127"/>
        <v/>
      </c>
      <c r="I765" s="67" t="str">
        <f t="shared" si="128"/>
        <v/>
      </c>
      <c r="J765" s="68" t="str">
        <f t="shared" si="129"/>
        <v/>
      </c>
      <c r="K765" s="69" t="str">
        <f t="shared" si="130"/>
        <v/>
      </c>
      <c r="L765" s="70" t="str">
        <f t="shared" si="131"/>
        <v/>
      </c>
      <c r="M765" s="71"/>
      <c r="N765" s="71"/>
      <c r="O765" s="71"/>
      <c r="P765" s="71"/>
      <c r="Q765" s="61"/>
      <c r="R765" s="63"/>
      <c r="S765" s="72"/>
      <c r="T765" s="61"/>
      <c r="U765" s="73"/>
      <c r="V765" s="62"/>
      <c r="W765" s="62"/>
      <c r="X765" s="62"/>
      <c r="Y765" s="93"/>
      <c r="Z765" s="94"/>
      <c r="AA765" s="74"/>
      <c r="AB765" s="75"/>
      <c r="AC765" s="75"/>
      <c r="AD765" s="76"/>
      <c r="AE765" s="77"/>
      <c r="AF765" s="75"/>
      <c r="AG765" s="78"/>
      <c r="AH765" s="79"/>
      <c r="AI765" s="74"/>
      <c r="AJ765" s="75"/>
      <c r="AK765" s="75"/>
      <c r="AL765" s="80">
        <f t="shared" si="132"/>
        <v>0</v>
      </c>
      <c r="AM765" s="74"/>
      <c r="AN765" s="74"/>
      <c r="AO765" s="81" t="str">
        <f t="shared" si="133"/>
        <v/>
      </c>
      <c r="AP765" s="82"/>
      <c r="AQ765" s="75"/>
      <c r="AR765" s="75"/>
      <c r="AS765" s="80">
        <f t="shared" si="134"/>
        <v>0</v>
      </c>
      <c r="AT765" s="74"/>
      <c r="AU765" s="75"/>
      <c r="AV765" s="75"/>
      <c r="AW765" s="75"/>
      <c r="AX765" s="80">
        <f t="shared" si="135"/>
        <v>0</v>
      </c>
      <c r="AY765" s="81" t="str">
        <f t="shared" si="136"/>
        <v/>
      </c>
      <c r="AZ765" s="83" t="str">
        <f t="shared" si="137"/>
        <v/>
      </c>
      <c r="BA765" s="80" t="str">
        <f t="shared" si="138"/>
        <v/>
      </c>
      <c r="BB765" s="84">
        <f t="shared" si="139"/>
        <v>0</v>
      </c>
      <c r="BC765" s="85" t="str">
        <f t="shared" si="140"/>
        <v/>
      </c>
      <c r="BD765" s="86" t="str">
        <f t="shared" si="141"/>
        <v/>
      </c>
      <c r="BE765" s="84">
        <f t="shared" si="142"/>
        <v>0</v>
      </c>
      <c r="BF765" s="87" t="str">
        <f t="shared" si="143"/>
        <v/>
      </c>
      <c r="BG765" s="88" t="str">
        <f t="shared" si="144"/>
        <v/>
      </c>
      <c r="BH765" s="89" t="str">
        <f t="shared" si="145"/>
        <v/>
      </c>
      <c r="BI765" s="90" t="str">
        <f t="shared" si="146"/>
        <v/>
      </c>
      <c r="BJ765" s="90" t="str">
        <f t="shared" si="147"/>
        <v/>
      </c>
      <c r="BK765" s="91">
        <f t="shared" si="148"/>
        <v>0</v>
      </c>
      <c r="BL765" s="92">
        <f t="shared" si="149"/>
        <v>0</v>
      </c>
      <c r="BM765" s="95"/>
    </row>
    <row r="766" spans="1:65">
      <c r="A766" s="61">
        <f t="shared" si="150"/>
        <v>0</v>
      </c>
      <c r="B766" s="62"/>
      <c r="C766" s="62"/>
      <c r="D766" s="63"/>
      <c r="E766" s="64"/>
      <c r="F766" s="64"/>
      <c r="G766" s="65"/>
      <c r="H766" s="66" t="str">
        <f t="shared" si="127"/>
        <v/>
      </c>
      <c r="I766" s="67" t="str">
        <f t="shared" si="128"/>
        <v/>
      </c>
      <c r="J766" s="68" t="str">
        <f t="shared" si="129"/>
        <v/>
      </c>
      <c r="K766" s="69" t="str">
        <f t="shared" si="130"/>
        <v/>
      </c>
      <c r="L766" s="70" t="str">
        <f t="shared" si="131"/>
        <v/>
      </c>
      <c r="M766" s="71"/>
      <c r="N766" s="71"/>
      <c r="O766" s="71"/>
      <c r="P766" s="71"/>
      <c r="Q766" s="61"/>
      <c r="R766" s="63"/>
      <c r="S766" s="72"/>
      <c r="T766" s="61"/>
      <c r="U766" s="73"/>
      <c r="V766" s="62"/>
      <c r="W766" s="62"/>
      <c r="X766" s="62"/>
      <c r="Y766" s="93"/>
      <c r="Z766" s="94"/>
      <c r="AA766" s="74"/>
      <c r="AB766" s="75"/>
      <c r="AC766" s="75"/>
      <c r="AD766" s="76"/>
      <c r="AE766" s="77"/>
      <c r="AF766" s="75"/>
      <c r="AG766" s="78"/>
      <c r="AH766" s="79"/>
      <c r="AI766" s="74"/>
      <c r="AJ766" s="75"/>
      <c r="AK766" s="75"/>
      <c r="AL766" s="80">
        <f t="shared" si="132"/>
        <v>0</v>
      </c>
      <c r="AM766" s="74"/>
      <c r="AN766" s="74"/>
      <c r="AO766" s="81" t="str">
        <f t="shared" si="133"/>
        <v/>
      </c>
      <c r="AP766" s="82"/>
      <c r="AQ766" s="75"/>
      <c r="AR766" s="75"/>
      <c r="AS766" s="80">
        <f t="shared" si="134"/>
        <v>0</v>
      </c>
      <c r="AT766" s="74"/>
      <c r="AU766" s="75"/>
      <c r="AV766" s="75"/>
      <c r="AW766" s="75"/>
      <c r="AX766" s="80">
        <f t="shared" si="135"/>
        <v>0</v>
      </c>
      <c r="AY766" s="81" t="str">
        <f t="shared" si="136"/>
        <v/>
      </c>
      <c r="AZ766" s="83" t="str">
        <f t="shared" si="137"/>
        <v/>
      </c>
      <c r="BA766" s="80" t="str">
        <f t="shared" si="138"/>
        <v/>
      </c>
      <c r="BB766" s="84">
        <f t="shared" si="139"/>
        <v>0</v>
      </c>
      <c r="BC766" s="85" t="str">
        <f t="shared" si="140"/>
        <v/>
      </c>
      <c r="BD766" s="86" t="str">
        <f t="shared" si="141"/>
        <v/>
      </c>
      <c r="BE766" s="84">
        <f t="shared" si="142"/>
        <v>0</v>
      </c>
      <c r="BF766" s="87" t="str">
        <f t="shared" si="143"/>
        <v/>
      </c>
      <c r="BG766" s="88" t="str">
        <f t="shared" si="144"/>
        <v/>
      </c>
      <c r="BH766" s="89" t="str">
        <f t="shared" si="145"/>
        <v/>
      </c>
      <c r="BI766" s="90" t="str">
        <f t="shared" si="146"/>
        <v/>
      </c>
      <c r="BJ766" s="90" t="str">
        <f t="shared" si="147"/>
        <v/>
      </c>
      <c r="BK766" s="91">
        <f t="shared" si="148"/>
        <v>0</v>
      </c>
      <c r="BL766" s="92">
        <f t="shared" si="149"/>
        <v>0</v>
      </c>
      <c r="BM766" s="95"/>
    </row>
    <row r="767" spans="1:65">
      <c r="A767" s="61">
        <f t="shared" si="150"/>
        <v>0</v>
      </c>
      <c r="B767" s="62"/>
      <c r="C767" s="62"/>
      <c r="D767" s="63"/>
      <c r="E767" s="64"/>
      <c r="F767" s="64"/>
      <c r="G767" s="65"/>
      <c r="H767" s="66" t="str">
        <f t="shared" si="127"/>
        <v/>
      </c>
      <c r="I767" s="67" t="str">
        <f t="shared" si="128"/>
        <v/>
      </c>
      <c r="J767" s="68" t="str">
        <f t="shared" si="129"/>
        <v/>
      </c>
      <c r="K767" s="69" t="str">
        <f t="shared" si="130"/>
        <v/>
      </c>
      <c r="L767" s="70" t="str">
        <f t="shared" si="131"/>
        <v/>
      </c>
      <c r="M767" s="71"/>
      <c r="N767" s="71"/>
      <c r="O767" s="71"/>
      <c r="P767" s="71"/>
      <c r="Q767" s="61"/>
      <c r="R767" s="63"/>
      <c r="S767" s="72"/>
      <c r="T767" s="61"/>
      <c r="U767" s="73"/>
      <c r="V767" s="62"/>
      <c r="W767" s="62"/>
      <c r="X767" s="62"/>
      <c r="Y767" s="93"/>
      <c r="Z767" s="94"/>
      <c r="AA767" s="74"/>
      <c r="AB767" s="75"/>
      <c r="AC767" s="75"/>
      <c r="AD767" s="76"/>
      <c r="AE767" s="77"/>
      <c r="AF767" s="75"/>
      <c r="AG767" s="78"/>
      <c r="AH767" s="79"/>
      <c r="AI767" s="74"/>
      <c r="AJ767" s="75"/>
      <c r="AK767" s="75"/>
      <c r="AL767" s="80">
        <f t="shared" si="132"/>
        <v>0</v>
      </c>
      <c r="AM767" s="74"/>
      <c r="AN767" s="74"/>
      <c r="AO767" s="81" t="str">
        <f t="shared" si="133"/>
        <v/>
      </c>
      <c r="AP767" s="82"/>
      <c r="AQ767" s="75"/>
      <c r="AR767" s="75"/>
      <c r="AS767" s="80">
        <f t="shared" si="134"/>
        <v>0</v>
      </c>
      <c r="AT767" s="74"/>
      <c r="AU767" s="75"/>
      <c r="AV767" s="75"/>
      <c r="AW767" s="75"/>
      <c r="AX767" s="80">
        <f t="shared" si="135"/>
        <v>0</v>
      </c>
      <c r="AY767" s="81" t="str">
        <f t="shared" si="136"/>
        <v/>
      </c>
      <c r="AZ767" s="83" t="str">
        <f t="shared" si="137"/>
        <v/>
      </c>
      <c r="BA767" s="80" t="str">
        <f t="shared" si="138"/>
        <v/>
      </c>
      <c r="BB767" s="84">
        <f t="shared" si="139"/>
        <v>0</v>
      </c>
      <c r="BC767" s="85" t="str">
        <f t="shared" si="140"/>
        <v/>
      </c>
      <c r="BD767" s="86" t="str">
        <f t="shared" si="141"/>
        <v/>
      </c>
      <c r="BE767" s="84">
        <f t="shared" si="142"/>
        <v>0</v>
      </c>
      <c r="BF767" s="87" t="str">
        <f t="shared" si="143"/>
        <v/>
      </c>
      <c r="BG767" s="88" t="str">
        <f t="shared" si="144"/>
        <v/>
      </c>
      <c r="BH767" s="89" t="str">
        <f t="shared" si="145"/>
        <v/>
      </c>
      <c r="BI767" s="90" t="str">
        <f t="shared" si="146"/>
        <v/>
      </c>
      <c r="BJ767" s="90" t="str">
        <f t="shared" si="147"/>
        <v/>
      </c>
      <c r="BK767" s="91">
        <f t="shared" si="148"/>
        <v>0</v>
      </c>
      <c r="BL767" s="92">
        <f t="shared" si="149"/>
        <v>0</v>
      </c>
      <c r="BM767" s="95"/>
    </row>
    <row r="768" spans="1:65">
      <c r="A768" s="61">
        <f t="shared" si="150"/>
        <v>0</v>
      </c>
      <c r="B768" s="62"/>
      <c r="C768" s="62"/>
      <c r="D768" s="63"/>
      <c r="E768" s="64"/>
      <c r="F768" s="64"/>
      <c r="G768" s="65"/>
      <c r="H768" s="66" t="str">
        <f t="shared" si="127"/>
        <v/>
      </c>
      <c r="I768" s="67" t="str">
        <f t="shared" si="128"/>
        <v/>
      </c>
      <c r="J768" s="68" t="str">
        <f t="shared" si="129"/>
        <v/>
      </c>
      <c r="K768" s="69" t="str">
        <f t="shared" si="130"/>
        <v/>
      </c>
      <c r="L768" s="70" t="str">
        <f t="shared" si="131"/>
        <v/>
      </c>
      <c r="M768" s="71"/>
      <c r="N768" s="71"/>
      <c r="O768" s="71"/>
      <c r="P768" s="71"/>
      <c r="Q768" s="61"/>
      <c r="R768" s="63"/>
      <c r="S768" s="72"/>
      <c r="T768" s="61"/>
      <c r="U768" s="73"/>
      <c r="V768" s="62"/>
      <c r="W768" s="62"/>
      <c r="X768" s="62"/>
      <c r="Y768" s="93"/>
      <c r="Z768" s="94"/>
      <c r="AA768" s="74"/>
      <c r="AB768" s="75"/>
      <c r="AC768" s="75"/>
      <c r="AD768" s="76"/>
      <c r="AE768" s="77"/>
      <c r="AF768" s="75"/>
      <c r="AG768" s="78"/>
      <c r="AH768" s="79"/>
      <c r="AI768" s="74"/>
      <c r="AJ768" s="75"/>
      <c r="AK768" s="75"/>
      <c r="AL768" s="80">
        <f t="shared" si="132"/>
        <v>0</v>
      </c>
      <c r="AM768" s="74"/>
      <c r="AN768" s="74"/>
      <c r="AO768" s="81" t="str">
        <f t="shared" si="133"/>
        <v/>
      </c>
      <c r="AP768" s="82"/>
      <c r="AQ768" s="75"/>
      <c r="AR768" s="75"/>
      <c r="AS768" s="80">
        <f t="shared" si="134"/>
        <v>0</v>
      </c>
      <c r="AT768" s="74"/>
      <c r="AU768" s="75"/>
      <c r="AV768" s="75"/>
      <c r="AW768" s="75"/>
      <c r="AX768" s="80">
        <f t="shared" si="135"/>
        <v>0</v>
      </c>
      <c r="AY768" s="81" t="str">
        <f t="shared" si="136"/>
        <v/>
      </c>
      <c r="AZ768" s="83" t="str">
        <f t="shared" si="137"/>
        <v/>
      </c>
      <c r="BA768" s="80" t="str">
        <f t="shared" si="138"/>
        <v/>
      </c>
      <c r="BB768" s="84">
        <f t="shared" si="139"/>
        <v>0</v>
      </c>
      <c r="BC768" s="85" t="str">
        <f t="shared" si="140"/>
        <v/>
      </c>
      <c r="BD768" s="86" t="str">
        <f t="shared" si="141"/>
        <v/>
      </c>
      <c r="BE768" s="84">
        <f t="shared" si="142"/>
        <v>0</v>
      </c>
      <c r="BF768" s="87" t="str">
        <f t="shared" si="143"/>
        <v/>
      </c>
      <c r="BG768" s="88" t="str">
        <f t="shared" si="144"/>
        <v/>
      </c>
      <c r="BH768" s="89" t="str">
        <f t="shared" si="145"/>
        <v/>
      </c>
      <c r="BI768" s="90" t="str">
        <f t="shared" si="146"/>
        <v/>
      </c>
      <c r="BJ768" s="90" t="str">
        <f t="shared" si="147"/>
        <v/>
      </c>
      <c r="BK768" s="91">
        <f t="shared" si="148"/>
        <v>0</v>
      </c>
      <c r="BL768" s="92">
        <f t="shared" si="149"/>
        <v>0</v>
      </c>
      <c r="BM768" s="95"/>
    </row>
    <row r="769" spans="1:65">
      <c r="A769" s="61">
        <f t="shared" si="150"/>
        <v>0</v>
      </c>
      <c r="B769" s="62"/>
      <c r="C769" s="62"/>
      <c r="D769" s="63"/>
      <c r="E769" s="64"/>
      <c r="F769" s="64"/>
      <c r="G769" s="65"/>
      <c r="H769" s="66" t="str">
        <f t="shared" si="127"/>
        <v/>
      </c>
      <c r="I769" s="67" t="str">
        <f t="shared" si="128"/>
        <v/>
      </c>
      <c r="J769" s="68" t="str">
        <f t="shared" si="129"/>
        <v/>
      </c>
      <c r="K769" s="69" t="str">
        <f t="shared" si="130"/>
        <v/>
      </c>
      <c r="L769" s="70" t="str">
        <f t="shared" si="131"/>
        <v/>
      </c>
      <c r="M769" s="71"/>
      <c r="N769" s="71"/>
      <c r="O769" s="71"/>
      <c r="P769" s="71"/>
      <c r="Q769" s="61"/>
      <c r="R769" s="63"/>
      <c r="S769" s="72"/>
      <c r="T769" s="61"/>
      <c r="U769" s="73"/>
      <c r="V769" s="62"/>
      <c r="W769" s="62"/>
      <c r="X769" s="62"/>
      <c r="Y769" s="93"/>
      <c r="Z769" s="94"/>
      <c r="AA769" s="74"/>
      <c r="AB769" s="75"/>
      <c r="AC769" s="75"/>
      <c r="AD769" s="76"/>
      <c r="AE769" s="77"/>
      <c r="AF769" s="75"/>
      <c r="AG769" s="78"/>
      <c r="AH769" s="79"/>
      <c r="AI769" s="74"/>
      <c r="AJ769" s="75"/>
      <c r="AK769" s="75"/>
      <c r="AL769" s="80">
        <f t="shared" si="132"/>
        <v>0</v>
      </c>
      <c r="AM769" s="74"/>
      <c r="AN769" s="74"/>
      <c r="AO769" s="81" t="str">
        <f t="shared" si="133"/>
        <v/>
      </c>
      <c r="AP769" s="82"/>
      <c r="AQ769" s="75"/>
      <c r="AR769" s="75"/>
      <c r="AS769" s="80">
        <f t="shared" si="134"/>
        <v>0</v>
      </c>
      <c r="AT769" s="74"/>
      <c r="AU769" s="75"/>
      <c r="AV769" s="75"/>
      <c r="AW769" s="75"/>
      <c r="AX769" s="80">
        <f t="shared" si="135"/>
        <v>0</v>
      </c>
      <c r="AY769" s="81" t="str">
        <f t="shared" si="136"/>
        <v/>
      </c>
      <c r="AZ769" s="83" t="str">
        <f t="shared" si="137"/>
        <v/>
      </c>
      <c r="BA769" s="80" t="str">
        <f t="shared" si="138"/>
        <v/>
      </c>
      <c r="BB769" s="84">
        <f t="shared" si="139"/>
        <v>0</v>
      </c>
      <c r="BC769" s="85" t="str">
        <f t="shared" si="140"/>
        <v/>
      </c>
      <c r="BD769" s="86" t="str">
        <f t="shared" si="141"/>
        <v/>
      </c>
      <c r="BE769" s="84">
        <f t="shared" si="142"/>
        <v>0</v>
      </c>
      <c r="BF769" s="87" t="str">
        <f t="shared" si="143"/>
        <v/>
      </c>
      <c r="BG769" s="88" t="str">
        <f t="shared" si="144"/>
        <v/>
      </c>
      <c r="BH769" s="89" t="str">
        <f t="shared" si="145"/>
        <v/>
      </c>
      <c r="BI769" s="90" t="str">
        <f t="shared" si="146"/>
        <v/>
      </c>
      <c r="BJ769" s="90" t="str">
        <f t="shared" si="147"/>
        <v/>
      </c>
      <c r="BK769" s="91">
        <f t="shared" si="148"/>
        <v>0</v>
      </c>
      <c r="BL769" s="92">
        <f t="shared" si="149"/>
        <v>0</v>
      </c>
      <c r="BM769" s="95"/>
    </row>
    <row r="770" spans="1:65">
      <c r="A770" s="61">
        <f t="shared" si="150"/>
        <v>0</v>
      </c>
      <c r="B770" s="62"/>
      <c r="C770" s="62"/>
      <c r="D770" s="63"/>
      <c r="E770" s="64"/>
      <c r="F770" s="64"/>
      <c r="G770" s="65"/>
      <c r="H770" s="66" t="str">
        <f t="shared" si="127"/>
        <v/>
      </c>
      <c r="I770" s="67" t="str">
        <f t="shared" si="128"/>
        <v/>
      </c>
      <c r="J770" s="68" t="str">
        <f t="shared" si="129"/>
        <v/>
      </c>
      <c r="K770" s="69" t="str">
        <f t="shared" si="130"/>
        <v/>
      </c>
      <c r="L770" s="70" t="str">
        <f t="shared" si="131"/>
        <v/>
      </c>
      <c r="M770" s="71"/>
      <c r="N770" s="71"/>
      <c r="O770" s="71"/>
      <c r="P770" s="71"/>
      <c r="Q770" s="61"/>
      <c r="R770" s="63"/>
      <c r="S770" s="72"/>
      <c r="T770" s="61"/>
      <c r="U770" s="73"/>
      <c r="V770" s="62"/>
      <c r="W770" s="62"/>
      <c r="X770" s="62"/>
      <c r="Y770" s="93"/>
      <c r="Z770" s="94"/>
      <c r="AA770" s="74"/>
      <c r="AB770" s="75"/>
      <c r="AC770" s="75"/>
      <c r="AD770" s="76"/>
      <c r="AE770" s="77"/>
      <c r="AF770" s="75"/>
      <c r="AG770" s="78"/>
      <c r="AH770" s="79"/>
      <c r="AI770" s="74"/>
      <c r="AJ770" s="75"/>
      <c r="AK770" s="75"/>
      <c r="AL770" s="80">
        <f t="shared" si="132"/>
        <v>0</v>
      </c>
      <c r="AM770" s="74"/>
      <c r="AN770" s="74"/>
      <c r="AO770" s="81" t="str">
        <f t="shared" si="133"/>
        <v/>
      </c>
      <c r="AP770" s="82"/>
      <c r="AQ770" s="75"/>
      <c r="AR770" s="75"/>
      <c r="AS770" s="80">
        <f t="shared" si="134"/>
        <v>0</v>
      </c>
      <c r="AT770" s="74"/>
      <c r="AU770" s="75"/>
      <c r="AV770" s="75"/>
      <c r="AW770" s="75"/>
      <c r="AX770" s="80">
        <f t="shared" si="135"/>
        <v>0</v>
      </c>
      <c r="AY770" s="81" t="str">
        <f t="shared" si="136"/>
        <v/>
      </c>
      <c r="AZ770" s="83" t="str">
        <f t="shared" si="137"/>
        <v/>
      </c>
      <c r="BA770" s="80" t="str">
        <f t="shared" si="138"/>
        <v/>
      </c>
      <c r="BB770" s="84">
        <f t="shared" si="139"/>
        <v>0</v>
      </c>
      <c r="BC770" s="85" t="str">
        <f t="shared" si="140"/>
        <v/>
      </c>
      <c r="BD770" s="86" t="str">
        <f t="shared" si="141"/>
        <v/>
      </c>
      <c r="BE770" s="84">
        <f t="shared" si="142"/>
        <v>0</v>
      </c>
      <c r="BF770" s="87" t="str">
        <f t="shared" si="143"/>
        <v/>
      </c>
      <c r="BG770" s="88" t="str">
        <f t="shared" si="144"/>
        <v/>
      </c>
      <c r="BH770" s="89" t="str">
        <f t="shared" si="145"/>
        <v/>
      </c>
      <c r="BI770" s="90" t="str">
        <f t="shared" si="146"/>
        <v/>
      </c>
      <c r="BJ770" s="90" t="str">
        <f t="shared" si="147"/>
        <v/>
      </c>
      <c r="BK770" s="91">
        <f t="shared" si="148"/>
        <v>0</v>
      </c>
      <c r="BL770" s="92">
        <f t="shared" si="149"/>
        <v>0</v>
      </c>
      <c r="BM770" s="95"/>
    </row>
    <row r="771" spans="1:65">
      <c r="A771" s="61">
        <f t="shared" si="150"/>
        <v>0</v>
      </c>
      <c r="B771" s="62"/>
      <c r="C771" s="62"/>
      <c r="D771" s="63"/>
      <c r="E771" s="64"/>
      <c r="F771" s="64"/>
      <c r="G771" s="65"/>
      <c r="H771" s="66" t="str">
        <f t="shared" si="127"/>
        <v/>
      </c>
      <c r="I771" s="67" t="str">
        <f t="shared" si="128"/>
        <v/>
      </c>
      <c r="J771" s="68" t="str">
        <f t="shared" si="129"/>
        <v/>
      </c>
      <c r="K771" s="69" t="str">
        <f t="shared" si="130"/>
        <v/>
      </c>
      <c r="L771" s="70" t="str">
        <f t="shared" si="131"/>
        <v/>
      </c>
      <c r="M771" s="71"/>
      <c r="N771" s="71"/>
      <c r="O771" s="71"/>
      <c r="P771" s="71"/>
      <c r="Q771" s="61"/>
      <c r="R771" s="63"/>
      <c r="S771" s="72"/>
      <c r="T771" s="61"/>
      <c r="U771" s="73"/>
      <c r="V771" s="62"/>
      <c r="W771" s="62"/>
      <c r="X771" s="62"/>
      <c r="Y771" s="93"/>
      <c r="Z771" s="94"/>
      <c r="AA771" s="74"/>
      <c r="AB771" s="75"/>
      <c r="AC771" s="75"/>
      <c r="AD771" s="76"/>
      <c r="AE771" s="77"/>
      <c r="AF771" s="75"/>
      <c r="AG771" s="78"/>
      <c r="AH771" s="79"/>
      <c r="AI771" s="74"/>
      <c r="AJ771" s="75"/>
      <c r="AK771" s="75"/>
      <c r="AL771" s="80">
        <f t="shared" si="132"/>
        <v>0</v>
      </c>
      <c r="AM771" s="74"/>
      <c r="AN771" s="74"/>
      <c r="AO771" s="81" t="str">
        <f t="shared" si="133"/>
        <v/>
      </c>
      <c r="AP771" s="82"/>
      <c r="AQ771" s="75"/>
      <c r="AR771" s="75"/>
      <c r="AS771" s="80">
        <f t="shared" si="134"/>
        <v>0</v>
      </c>
      <c r="AT771" s="74"/>
      <c r="AU771" s="75"/>
      <c r="AV771" s="75"/>
      <c r="AW771" s="75"/>
      <c r="AX771" s="80">
        <f t="shared" si="135"/>
        <v>0</v>
      </c>
      <c r="AY771" s="81" t="str">
        <f t="shared" si="136"/>
        <v/>
      </c>
      <c r="AZ771" s="83" t="str">
        <f t="shared" si="137"/>
        <v/>
      </c>
      <c r="BA771" s="80" t="str">
        <f t="shared" si="138"/>
        <v/>
      </c>
      <c r="BB771" s="84">
        <f t="shared" si="139"/>
        <v>0</v>
      </c>
      <c r="BC771" s="85" t="str">
        <f t="shared" si="140"/>
        <v/>
      </c>
      <c r="BD771" s="86" t="str">
        <f t="shared" si="141"/>
        <v/>
      </c>
      <c r="BE771" s="84">
        <f t="shared" si="142"/>
        <v>0</v>
      </c>
      <c r="BF771" s="87" t="str">
        <f t="shared" si="143"/>
        <v/>
      </c>
      <c r="BG771" s="88" t="str">
        <f t="shared" si="144"/>
        <v/>
      </c>
      <c r="BH771" s="89" t="str">
        <f t="shared" si="145"/>
        <v/>
      </c>
      <c r="BI771" s="90" t="str">
        <f t="shared" si="146"/>
        <v/>
      </c>
      <c r="BJ771" s="90" t="str">
        <f t="shared" si="147"/>
        <v/>
      </c>
      <c r="BK771" s="91">
        <f t="shared" si="148"/>
        <v>0</v>
      </c>
      <c r="BL771" s="92">
        <f t="shared" si="149"/>
        <v>0</v>
      </c>
      <c r="BM771" s="95"/>
    </row>
    <row r="772" spans="1:65">
      <c r="A772" s="61">
        <f t="shared" si="150"/>
        <v>0</v>
      </c>
      <c r="B772" s="62"/>
      <c r="C772" s="62"/>
      <c r="D772" s="63"/>
      <c r="E772" s="64"/>
      <c r="F772" s="64"/>
      <c r="G772" s="65"/>
      <c r="H772" s="66" t="str">
        <f t="shared" si="127"/>
        <v/>
      </c>
      <c r="I772" s="67" t="str">
        <f t="shared" si="128"/>
        <v/>
      </c>
      <c r="J772" s="68" t="str">
        <f t="shared" si="129"/>
        <v/>
      </c>
      <c r="K772" s="69" t="str">
        <f t="shared" si="130"/>
        <v/>
      </c>
      <c r="L772" s="70" t="str">
        <f t="shared" si="131"/>
        <v/>
      </c>
      <c r="M772" s="71"/>
      <c r="N772" s="71"/>
      <c r="O772" s="71"/>
      <c r="P772" s="71"/>
      <c r="Q772" s="61"/>
      <c r="R772" s="63"/>
      <c r="S772" s="72"/>
      <c r="T772" s="61"/>
      <c r="U772" s="73"/>
      <c r="V772" s="62"/>
      <c r="W772" s="62"/>
      <c r="X772" s="62"/>
      <c r="Y772" s="93"/>
      <c r="Z772" s="94"/>
      <c r="AA772" s="74"/>
      <c r="AB772" s="75"/>
      <c r="AC772" s="75"/>
      <c r="AD772" s="76"/>
      <c r="AE772" s="77"/>
      <c r="AF772" s="75"/>
      <c r="AG772" s="78"/>
      <c r="AH772" s="79"/>
      <c r="AI772" s="74"/>
      <c r="AJ772" s="75"/>
      <c r="AK772" s="75"/>
      <c r="AL772" s="80">
        <f t="shared" si="132"/>
        <v>0</v>
      </c>
      <c r="AM772" s="74"/>
      <c r="AN772" s="74"/>
      <c r="AO772" s="81" t="str">
        <f t="shared" si="133"/>
        <v/>
      </c>
      <c r="AP772" s="82"/>
      <c r="AQ772" s="75"/>
      <c r="AR772" s="75"/>
      <c r="AS772" s="80">
        <f t="shared" si="134"/>
        <v>0</v>
      </c>
      <c r="AT772" s="74"/>
      <c r="AU772" s="75"/>
      <c r="AV772" s="75"/>
      <c r="AW772" s="75"/>
      <c r="AX772" s="80">
        <f t="shared" si="135"/>
        <v>0</v>
      </c>
      <c r="AY772" s="81" t="str">
        <f t="shared" si="136"/>
        <v/>
      </c>
      <c r="AZ772" s="83" t="str">
        <f t="shared" si="137"/>
        <v/>
      </c>
      <c r="BA772" s="80" t="str">
        <f t="shared" si="138"/>
        <v/>
      </c>
      <c r="BB772" s="84">
        <f t="shared" si="139"/>
        <v>0</v>
      </c>
      <c r="BC772" s="85" t="str">
        <f t="shared" si="140"/>
        <v/>
      </c>
      <c r="BD772" s="86" t="str">
        <f t="shared" si="141"/>
        <v/>
      </c>
      <c r="BE772" s="84">
        <f t="shared" si="142"/>
        <v>0</v>
      </c>
      <c r="BF772" s="87" t="str">
        <f t="shared" si="143"/>
        <v/>
      </c>
      <c r="BG772" s="88" t="str">
        <f t="shared" si="144"/>
        <v/>
      </c>
      <c r="BH772" s="89" t="str">
        <f t="shared" si="145"/>
        <v/>
      </c>
      <c r="BI772" s="90" t="str">
        <f t="shared" si="146"/>
        <v/>
      </c>
      <c r="BJ772" s="90" t="str">
        <f t="shared" si="147"/>
        <v/>
      </c>
      <c r="BK772" s="91">
        <f t="shared" si="148"/>
        <v>0</v>
      </c>
      <c r="BL772" s="92">
        <f t="shared" si="149"/>
        <v>0</v>
      </c>
      <c r="BM772" s="95"/>
    </row>
    <row r="773" spans="1:65">
      <c r="A773" s="61">
        <f t="shared" si="150"/>
        <v>0</v>
      </c>
      <c r="B773" s="62"/>
      <c r="C773" s="62"/>
      <c r="D773" s="63"/>
      <c r="E773" s="64"/>
      <c r="F773" s="64"/>
      <c r="G773" s="65"/>
      <c r="H773" s="66" t="str">
        <f t="shared" si="127"/>
        <v/>
      </c>
      <c r="I773" s="67" t="str">
        <f t="shared" si="128"/>
        <v/>
      </c>
      <c r="J773" s="68" t="str">
        <f t="shared" si="129"/>
        <v/>
      </c>
      <c r="K773" s="69" t="str">
        <f t="shared" si="130"/>
        <v/>
      </c>
      <c r="L773" s="70" t="str">
        <f t="shared" si="131"/>
        <v/>
      </c>
      <c r="M773" s="71"/>
      <c r="N773" s="71"/>
      <c r="O773" s="71"/>
      <c r="P773" s="71"/>
      <c r="Q773" s="61"/>
      <c r="R773" s="63"/>
      <c r="S773" s="72"/>
      <c r="T773" s="61"/>
      <c r="U773" s="73"/>
      <c r="V773" s="62"/>
      <c r="W773" s="62"/>
      <c r="X773" s="62"/>
      <c r="Y773" s="93"/>
      <c r="Z773" s="94"/>
      <c r="AA773" s="74"/>
      <c r="AB773" s="75"/>
      <c r="AC773" s="75"/>
      <c r="AD773" s="76"/>
      <c r="AE773" s="77"/>
      <c r="AF773" s="75"/>
      <c r="AG773" s="78"/>
      <c r="AH773" s="79"/>
      <c r="AI773" s="74"/>
      <c r="AJ773" s="75"/>
      <c r="AK773" s="75"/>
      <c r="AL773" s="80">
        <f t="shared" si="132"/>
        <v>0</v>
      </c>
      <c r="AM773" s="74"/>
      <c r="AN773" s="74"/>
      <c r="AO773" s="81" t="str">
        <f t="shared" si="133"/>
        <v/>
      </c>
      <c r="AP773" s="82"/>
      <c r="AQ773" s="75"/>
      <c r="AR773" s="75"/>
      <c r="AS773" s="80">
        <f t="shared" si="134"/>
        <v>0</v>
      </c>
      <c r="AT773" s="74"/>
      <c r="AU773" s="75"/>
      <c r="AV773" s="75"/>
      <c r="AW773" s="75"/>
      <c r="AX773" s="80">
        <f t="shared" si="135"/>
        <v>0</v>
      </c>
      <c r="AY773" s="81" t="str">
        <f t="shared" si="136"/>
        <v/>
      </c>
      <c r="AZ773" s="83" t="str">
        <f t="shared" si="137"/>
        <v/>
      </c>
      <c r="BA773" s="80" t="str">
        <f t="shared" si="138"/>
        <v/>
      </c>
      <c r="BB773" s="84">
        <f t="shared" si="139"/>
        <v>0</v>
      </c>
      <c r="BC773" s="85" t="str">
        <f t="shared" si="140"/>
        <v/>
      </c>
      <c r="BD773" s="86" t="str">
        <f t="shared" si="141"/>
        <v/>
      </c>
      <c r="BE773" s="84">
        <f t="shared" si="142"/>
        <v>0</v>
      </c>
      <c r="BF773" s="87" t="str">
        <f t="shared" si="143"/>
        <v/>
      </c>
      <c r="BG773" s="88" t="str">
        <f t="shared" si="144"/>
        <v/>
      </c>
      <c r="BH773" s="89" t="str">
        <f t="shared" si="145"/>
        <v/>
      </c>
      <c r="BI773" s="90" t="str">
        <f t="shared" si="146"/>
        <v/>
      </c>
      <c r="BJ773" s="90" t="str">
        <f t="shared" si="147"/>
        <v/>
      </c>
      <c r="BK773" s="91">
        <f t="shared" si="148"/>
        <v>0</v>
      </c>
      <c r="BL773" s="92">
        <f t="shared" si="149"/>
        <v>0</v>
      </c>
      <c r="BM773" s="95"/>
    </row>
    <row r="774" spans="1:65">
      <c r="A774" s="61">
        <f t="shared" si="150"/>
        <v>0</v>
      </c>
      <c r="B774" s="62"/>
      <c r="C774" s="62"/>
      <c r="D774" s="63"/>
      <c r="E774" s="64"/>
      <c r="F774" s="64"/>
      <c r="G774" s="65"/>
      <c r="H774" s="66" t="str">
        <f t="shared" si="127"/>
        <v/>
      </c>
      <c r="I774" s="67" t="str">
        <f t="shared" si="128"/>
        <v/>
      </c>
      <c r="J774" s="68" t="str">
        <f t="shared" si="129"/>
        <v/>
      </c>
      <c r="K774" s="69" t="str">
        <f t="shared" si="130"/>
        <v/>
      </c>
      <c r="L774" s="70" t="str">
        <f t="shared" si="131"/>
        <v/>
      </c>
      <c r="M774" s="71"/>
      <c r="N774" s="71"/>
      <c r="O774" s="71"/>
      <c r="P774" s="71"/>
      <c r="Q774" s="61"/>
      <c r="R774" s="63"/>
      <c r="S774" s="72"/>
      <c r="T774" s="61"/>
      <c r="U774" s="73"/>
      <c r="V774" s="62"/>
      <c r="W774" s="62"/>
      <c r="X774" s="62"/>
      <c r="Y774" s="93"/>
      <c r="Z774" s="94"/>
      <c r="AA774" s="74"/>
      <c r="AB774" s="75"/>
      <c r="AC774" s="75"/>
      <c r="AD774" s="76"/>
      <c r="AE774" s="77"/>
      <c r="AF774" s="75"/>
      <c r="AG774" s="78"/>
      <c r="AH774" s="79"/>
      <c r="AI774" s="74"/>
      <c r="AJ774" s="75"/>
      <c r="AK774" s="75"/>
      <c r="AL774" s="80">
        <f t="shared" si="132"/>
        <v>0</v>
      </c>
      <c r="AM774" s="74"/>
      <c r="AN774" s="74"/>
      <c r="AO774" s="81" t="str">
        <f t="shared" si="133"/>
        <v/>
      </c>
      <c r="AP774" s="82"/>
      <c r="AQ774" s="75"/>
      <c r="AR774" s="75"/>
      <c r="AS774" s="80">
        <f t="shared" si="134"/>
        <v>0</v>
      </c>
      <c r="AT774" s="74"/>
      <c r="AU774" s="75"/>
      <c r="AV774" s="75"/>
      <c r="AW774" s="75"/>
      <c r="AX774" s="80">
        <f t="shared" si="135"/>
        <v>0</v>
      </c>
      <c r="AY774" s="81" t="str">
        <f t="shared" si="136"/>
        <v/>
      </c>
      <c r="AZ774" s="83" t="str">
        <f t="shared" si="137"/>
        <v/>
      </c>
      <c r="BA774" s="80" t="str">
        <f t="shared" si="138"/>
        <v/>
      </c>
      <c r="BB774" s="84">
        <f t="shared" si="139"/>
        <v>0</v>
      </c>
      <c r="BC774" s="85" t="str">
        <f t="shared" si="140"/>
        <v/>
      </c>
      <c r="BD774" s="86" t="str">
        <f t="shared" si="141"/>
        <v/>
      </c>
      <c r="BE774" s="84">
        <f t="shared" si="142"/>
        <v>0</v>
      </c>
      <c r="BF774" s="87" t="str">
        <f t="shared" si="143"/>
        <v/>
      </c>
      <c r="BG774" s="88" t="str">
        <f t="shared" si="144"/>
        <v/>
      </c>
      <c r="BH774" s="89" t="str">
        <f t="shared" si="145"/>
        <v/>
      </c>
      <c r="BI774" s="90" t="str">
        <f t="shared" si="146"/>
        <v/>
      </c>
      <c r="BJ774" s="90" t="str">
        <f t="shared" si="147"/>
        <v/>
      </c>
      <c r="BK774" s="91">
        <f t="shared" si="148"/>
        <v>0</v>
      </c>
      <c r="BL774" s="92">
        <f t="shared" si="149"/>
        <v>0</v>
      </c>
      <c r="BM774" s="95"/>
    </row>
    <row r="775" spans="1:65">
      <c r="A775" s="61">
        <f t="shared" si="150"/>
        <v>0</v>
      </c>
      <c r="B775" s="62"/>
      <c r="C775" s="62"/>
      <c r="D775" s="63"/>
      <c r="E775" s="64"/>
      <c r="F775" s="64"/>
      <c r="G775" s="65"/>
      <c r="H775" s="66" t="str">
        <f t="shared" si="127"/>
        <v/>
      </c>
      <c r="I775" s="67" t="str">
        <f t="shared" si="128"/>
        <v/>
      </c>
      <c r="J775" s="68" t="str">
        <f t="shared" si="129"/>
        <v/>
      </c>
      <c r="K775" s="69" t="str">
        <f t="shared" si="130"/>
        <v/>
      </c>
      <c r="L775" s="70" t="str">
        <f t="shared" si="131"/>
        <v/>
      </c>
      <c r="M775" s="71"/>
      <c r="N775" s="71"/>
      <c r="O775" s="71"/>
      <c r="P775" s="71"/>
      <c r="Q775" s="61"/>
      <c r="R775" s="63"/>
      <c r="S775" s="72"/>
      <c r="T775" s="61"/>
      <c r="U775" s="73"/>
      <c r="V775" s="62"/>
      <c r="W775" s="62"/>
      <c r="X775" s="62"/>
      <c r="Y775" s="93"/>
      <c r="Z775" s="94"/>
      <c r="AA775" s="74"/>
      <c r="AB775" s="75"/>
      <c r="AC775" s="75"/>
      <c r="AD775" s="76"/>
      <c r="AE775" s="77"/>
      <c r="AF775" s="75"/>
      <c r="AG775" s="78"/>
      <c r="AH775" s="79"/>
      <c r="AI775" s="74"/>
      <c r="AJ775" s="75"/>
      <c r="AK775" s="75"/>
      <c r="AL775" s="80">
        <f t="shared" si="132"/>
        <v>0</v>
      </c>
      <c r="AM775" s="74"/>
      <c r="AN775" s="74"/>
      <c r="AO775" s="81" t="str">
        <f t="shared" si="133"/>
        <v/>
      </c>
      <c r="AP775" s="82"/>
      <c r="AQ775" s="75"/>
      <c r="AR775" s="75"/>
      <c r="AS775" s="80">
        <f t="shared" si="134"/>
        <v>0</v>
      </c>
      <c r="AT775" s="74"/>
      <c r="AU775" s="75"/>
      <c r="AV775" s="75"/>
      <c r="AW775" s="75"/>
      <c r="AX775" s="80">
        <f t="shared" si="135"/>
        <v>0</v>
      </c>
      <c r="AY775" s="81" t="str">
        <f t="shared" si="136"/>
        <v/>
      </c>
      <c r="AZ775" s="83" t="str">
        <f t="shared" si="137"/>
        <v/>
      </c>
      <c r="BA775" s="80" t="str">
        <f t="shared" si="138"/>
        <v/>
      </c>
      <c r="BB775" s="84">
        <f t="shared" si="139"/>
        <v>0</v>
      </c>
      <c r="BC775" s="85" t="str">
        <f t="shared" si="140"/>
        <v/>
      </c>
      <c r="BD775" s="86" t="str">
        <f t="shared" si="141"/>
        <v/>
      </c>
      <c r="BE775" s="84">
        <f t="shared" si="142"/>
        <v>0</v>
      </c>
      <c r="BF775" s="87" t="str">
        <f t="shared" si="143"/>
        <v/>
      </c>
      <c r="BG775" s="88" t="str">
        <f t="shared" si="144"/>
        <v/>
      </c>
      <c r="BH775" s="89" t="str">
        <f t="shared" si="145"/>
        <v/>
      </c>
      <c r="BI775" s="90" t="str">
        <f t="shared" si="146"/>
        <v/>
      </c>
      <c r="BJ775" s="90" t="str">
        <f t="shared" si="147"/>
        <v/>
      </c>
      <c r="BK775" s="91">
        <f t="shared" si="148"/>
        <v>0</v>
      </c>
      <c r="BL775" s="92">
        <f t="shared" si="149"/>
        <v>0</v>
      </c>
      <c r="BM775" s="95"/>
    </row>
    <row r="776" spans="1:65">
      <c r="A776" s="61">
        <f t="shared" si="150"/>
        <v>0</v>
      </c>
      <c r="B776" s="62"/>
      <c r="C776" s="62"/>
      <c r="D776" s="63"/>
      <c r="E776" s="64"/>
      <c r="F776" s="64"/>
      <c r="G776" s="65"/>
      <c r="H776" s="66" t="str">
        <f t="shared" ref="H776:H839" si="151">IF(F776="","",IF(F776="","",IF((F776-E776+1)&gt;360,"Most Recently 12 Months","Year To Date")))</f>
        <v/>
      </c>
      <c r="I776" s="67" t="str">
        <f t="shared" ref="I776:I839" si="152">IF(F776="","",ROUND((F776-E776+1)/(((365*3+366)/4)/12),0))</f>
        <v/>
      </c>
      <c r="J776" s="68" t="str">
        <f t="shared" ref="J776:J839" si="153">IF(F776="","",YEAR(F776))</f>
        <v/>
      </c>
      <c r="K776" s="69" t="str">
        <f t="shared" ref="K776:K839" si="154">IF(F776="","",CEILING(L776/3,1))</f>
        <v/>
      </c>
      <c r="L776" s="70" t="str">
        <f t="shared" ref="L776:L839" si="155">IF(F776="","",MONTH(F776))</f>
        <v/>
      </c>
      <c r="M776" s="71"/>
      <c r="N776" s="71"/>
      <c r="O776" s="71"/>
      <c r="P776" s="71"/>
      <c r="Q776" s="61"/>
      <c r="R776" s="63"/>
      <c r="S776" s="72"/>
      <c r="T776" s="61"/>
      <c r="U776" s="73"/>
      <c r="V776" s="62"/>
      <c r="W776" s="62"/>
      <c r="X776" s="62"/>
      <c r="Y776" s="93"/>
      <c r="Z776" s="94"/>
      <c r="AA776" s="74"/>
      <c r="AB776" s="75"/>
      <c r="AC776" s="75"/>
      <c r="AD776" s="76"/>
      <c r="AE776" s="77"/>
      <c r="AF776" s="75"/>
      <c r="AG776" s="78"/>
      <c r="AH776" s="79"/>
      <c r="AI776" s="74"/>
      <c r="AJ776" s="75"/>
      <c r="AK776" s="75"/>
      <c r="AL776" s="80">
        <f t="shared" ref="AL776:AL839" si="156">SUM(AI776:AK776)</f>
        <v>0</v>
      </c>
      <c r="AM776" s="74"/>
      <c r="AN776" s="74"/>
      <c r="AO776" s="81" t="str">
        <f t="shared" ref="AO776:AO839" si="157">IFERROR(AN776/AM776,"")</f>
        <v/>
      </c>
      <c r="AP776" s="82"/>
      <c r="AQ776" s="75"/>
      <c r="AR776" s="75"/>
      <c r="AS776" s="80">
        <f t="shared" ref="AS776:AS839" si="158">SUM(AQ776:AR776)</f>
        <v>0</v>
      </c>
      <c r="AT776" s="74"/>
      <c r="AU776" s="75"/>
      <c r="AV776" s="75"/>
      <c r="AW776" s="75"/>
      <c r="AX776" s="80">
        <f t="shared" ref="AX776:AX839" si="159">SUM(AT776:AW776)</f>
        <v>0</v>
      </c>
      <c r="AY776" s="81" t="str">
        <f t="shared" ref="AY776:AY839" si="160">IFERROR(AP776/AF776,"")</f>
        <v/>
      </c>
      <c r="AZ776" s="83" t="str">
        <f t="shared" ref="AZ776:AZ839" si="161">IFERROR(AS776/AP776,"")</f>
        <v/>
      </c>
      <c r="BA776" s="80" t="str">
        <f t="shared" ref="BA776:BA839" si="162">IFERROR(AY776*AZ776,"")</f>
        <v/>
      </c>
      <c r="BB776" s="84">
        <f t="shared" ref="BB776:BB839" si="163">AG776-SUM(AL776,AS776:AU776,AW776)</f>
        <v>0</v>
      </c>
      <c r="BC776" s="85" t="str">
        <f t="shared" ref="BC776:BC839" si="164">IFERROR(BB776/AV776,"")</f>
        <v/>
      </c>
      <c r="BD776" s="86" t="str">
        <f t="shared" ref="BD776:BD839" si="165">IFERROR(BB776/AG776,"")</f>
        <v/>
      </c>
      <c r="BE776" s="84">
        <f t="shared" ref="BE776:BE839" si="166">AG776-SUM(AL776,AS776:AU776)</f>
        <v>0</v>
      </c>
      <c r="BF776" s="87" t="str">
        <f t="shared" ref="BF776:BF839" si="167">IFERROR(BE776/SUM(AV776:AW776),"")</f>
        <v/>
      </c>
      <c r="BG776" s="88" t="str">
        <f t="shared" ref="BG776:BG839" si="168">IFERROR(BE776/AG776,"")</f>
        <v/>
      </c>
      <c r="BH776" s="89" t="str">
        <f t="shared" ref="BH776:BH839" si="169">IFERROR(AS776/AG776,"")</f>
        <v/>
      </c>
      <c r="BI776" s="90" t="str">
        <f t="shared" ref="BI776:BI839" si="170">IFERROR(AL776/AG776,"")</f>
        <v/>
      </c>
      <c r="BJ776" s="90" t="str">
        <f t="shared" ref="BJ776:BJ839" si="171">IFERROR(AX776/AG776,"")</f>
        <v/>
      </c>
      <c r="BK776" s="91">
        <f t="shared" ref="BK776:BK839" si="172">SUM(BH776:BJ776)</f>
        <v>0</v>
      </c>
      <c r="BL776" s="92">
        <f t="shared" ref="BL776:BL839" si="173">AG776-SUM(AL776,AS776,AX776)</f>
        <v>0</v>
      </c>
      <c r="BM776" s="95"/>
    </row>
    <row r="777" spans="1:65">
      <c r="A777" s="61">
        <f t="shared" si="150"/>
        <v>0</v>
      </c>
      <c r="B777" s="62"/>
      <c r="C777" s="62"/>
      <c r="D777" s="63"/>
      <c r="E777" s="64"/>
      <c r="F777" s="64"/>
      <c r="G777" s="65"/>
      <c r="H777" s="66" t="str">
        <f t="shared" si="151"/>
        <v/>
      </c>
      <c r="I777" s="67" t="str">
        <f t="shared" si="152"/>
        <v/>
      </c>
      <c r="J777" s="68" t="str">
        <f t="shared" si="153"/>
        <v/>
      </c>
      <c r="K777" s="69" t="str">
        <f t="shared" si="154"/>
        <v/>
      </c>
      <c r="L777" s="70" t="str">
        <f t="shared" si="155"/>
        <v/>
      </c>
      <c r="M777" s="71"/>
      <c r="N777" s="71"/>
      <c r="O777" s="71"/>
      <c r="P777" s="71"/>
      <c r="Q777" s="61"/>
      <c r="R777" s="63"/>
      <c r="S777" s="72"/>
      <c r="T777" s="61"/>
      <c r="U777" s="73"/>
      <c r="V777" s="62"/>
      <c r="W777" s="62"/>
      <c r="X777" s="62"/>
      <c r="Y777" s="93"/>
      <c r="Z777" s="94"/>
      <c r="AA777" s="74"/>
      <c r="AB777" s="75"/>
      <c r="AC777" s="75"/>
      <c r="AD777" s="76"/>
      <c r="AE777" s="77"/>
      <c r="AF777" s="75"/>
      <c r="AG777" s="78"/>
      <c r="AH777" s="79"/>
      <c r="AI777" s="74"/>
      <c r="AJ777" s="75"/>
      <c r="AK777" s="75"/>
      <c r="AL777" s="80">
        <f t="shared" si="156"/>
        <v>0</v>
      </c>
      <c r="AM777" s="74"/>
      <c r="AN777" s="74"/>
      <c r="AO777" s="81" t="str">
        <f t="shared" si="157"/>
        <v/>
      </c>
      <c r="AP777" s="82"/>
      <c r="AQ777" s="75"/>
      <c r="AR777" s="75"/>
      <c r="AS777" s="80">
        <f t="shared" si="158"/>
        <v>0</v>
      </c>
      <c r="AT777" s="74"/>
      <c r="AU777" s="75"/>
      <c r="AV777" s="75"/>
      <c r="AW777" s="75"/>
      <c r="AX777" s="80">
        <f t="shared" si="159"/>
        <v>0</v>
      </c>
      <c r="AY777" s="81" t="str">
        <f t="shared" si="160"/>
        <v/>
      </c>
      <c r="AZ777" s="83" t="str">
        <f t="shared" si="161"/>
        <v/>
      </c>
      <c r="BA777" s="80" t="str">
        <f t="shared" si="162"/>
        <v/>
      </c>
      <c r="BB777" s="84">
        <f t="shared" si="163"/>
        <v>0</v>
      </c>
      <c r="BC777" s="85" t="str">
        <f t="shared" si="164"/>
        <v/>
      </c>
      <c r="BD777" s="86" t="str">
        <f t="shared" si="165"/>
        <v/>
      </c>
      <c r="BE777" s="84">
        <f t="shared" si="166"/>
        <v>0</v>
      </c>
      <c r="BF777" s="87" t="str">
        <f t="shared" si="167"/>
        <v/>
      </c>
      <c r="BG777" s="88" t="str">
        <f t="shared" si="168"/>
        <v/>
      </c>
      <c r="BH777" s="89" t="str">
        <f t="shared" si="169"/>
        <v/>
      </c>
      <c r="BI777" s="90" t="str">
        <f t="shared" si="170"/>
        <v/>
      </c>
      <c r="BJ777" s="90" t="str">
        <f t="shared" si="171"/>
        <v/>
      </c>
      <c r="BK777" s="91">
        <f t="shared" si="172"/>
        <v>0</v>
      </c>
      <c r="BL777" s="92">
        <f t="shared" si="173"/>
        <v>0</v>
      </c>
      <c r="BM777" s="95"/>
    </row>
    <row r="778" spans="1:65">
      <c r="A778" s="61">
        <f t="shared" si="150"/>
        <v>0</v>
      </c>
      <c r="B778" s="62"/>
      <c r="C778" s="62"/>
      <c r="D778" s="63"/>
      <c r="E778" s="64"/>
      <c r="F778" s="64"/>
      <c r="G778" s="65"/>
      <c r="H778" s="66" t="str">
        <f t="shared" si="151"/>
        <v/>
      </c>
      <c r="I778" s="67" t="str">
        <f t="shared" si="152"/>
        <v/>
      </c>
      <c r="J778" s="68" t="str">
        <f t="shared" si="153"/>
        <v/>
      </c>
      <c r="K778" s="69" t="str">
        <f t="shared" si="154"/>
        <v/>
      </c>
      <c r="L778" s="70" t="str">
        <f t="shared" si="155"/>
        <v/>
      </c>
      <c r="M778" s="71"/>
      <c r="N778" s="71"/>
      <c r="O778" s="71"/>
      <c r="P778" s="71"/>
      <c r="Q778" s="61"/>
      <c r="R778" s="63"/>
      <c r="S778" s="72"/>
      <c r="T778" s="61"/>
      <c r="U778" s="73"/>
      <c r="V778" s="62"/>
      <c r="W778" s="62"/>
      <c r="X778" s="62"/>
      <c r="Y778" s="93"/>
      <c r="Z778" s="94"/>
      <c r="AA778" s="74"/>
      <c r="AB778" s="75"/>
      <c r="AC778" s="75"/>
      <c r="AD778" s="76"/>
      <c r="AE778" s="77"/>
      <c r="AF778" s="75"/>
      <c r="AG778" s="78"/>
      <c r="AH778" s="79"/>
      <c r="AI778" s="74"/>
      <c r="AJ778" s="75"/>
      <c r="AK778" s="75"/>
      <c r="AL778" s="80">
        <f t="shared" si="156"/>
        <v>0</v>
      </c>
      <c r="AM778" s="74"/>
      <c r="AN778" s="74"/>
      <c r="AO778" s="81" t="str">
        <f t="shared" si="157"/>
        <v/>
      </c>
      <c r="AP778" s="82"/>
      <c r="AQ778" s="75"/>
      <c r="AR778" s="75"/>
      <c r="AS778" s="80">
        <f t="shared" si="158"/>
        <v>0</v>
      </c>
      <c r="AT778" s="74"/>
      <c r="AU778" s="75"/>
      <c r="AV778" s="75"/>
      <c r="AW778" s="75"/>
      <c r="AX778" s="80">
        <f t="shared" si="159"/>
        <v>0</v>
      </c>
      <c r="AY778" s="81" t="str">
        <f t="shared" si="160"/>
        <v/>
      </c>
      <c r="AZ778" s="83" t="str">
        <f t="shared" si="161"/>
        <v/>
      </c>
      <c r="BA778" s="80" t="str">
        <f t="shared" si="162"/>
        <v/>
      </c>
      <c r="BB778" s="84">
        <f t="shared" si="163"/>
        <v>0</v>
      </c>
      <c r="BC778" s="85" t="str">
        <f t="shared" si="164"/>
        <v/>
      </c>
      <c r="BD778" s="86" t="str">
        <f t="shared" si="165"/>
        <v/>
      </c>
      <c r="BE778" s="84">
        <f t="shared" si="166"/>
        <v>0</v>
      </c>
      <c r="BF778" s="87" t="str">
        <f t="shared" si="167"/>
        <v/>
      </c>
      <c r="BG778" s="88" t="str">
        <f t="shared" si="168"/>
        <v/>
      </c>
      <c r="BH778" s="89" t="str">
        <f t="shared" si="169"/>
        <v/>
      </c>
      <c r="BI778" s="90" t="str">
        <f t="shared" si="170"/>
        <v/>
      </c>
      <c r="BJ778" s="90" t="str">
        <f t="shared" si="171"/>
        <v/>
      </c>
      <c r="BK778" s="91">
        <f t="shared" si="172"/>
        <v>0</v>
      </c>
      <c r="BL778" s="92">
        <f t="shared" si="173"/>
        <v>0</v>
      </c>
      <c r="BM778" s="95"/>
    </row>
    <row r="779" spans="1:65">
      <c r="A779" s="61">
        <f t="shared" si="150"/>
        <v>0</v>
      </c>
      <c r="B779" s="62"/>
      <c r="C779" s="62"/>
      <c r="D779" s="63"/>
      <c r="E779" s="64"/>
      <c r="F779" s="64"/>
      <c r="G779" s="65"/>
      <c r="H779" s="66" t="str">
        <f t="shared" si="151"/>
        <v/>
      </c>
      <c r="I779" s="67" t="str">
        <f t="shared" si="152"/>
        <v/>
      </c>
      <c r="J779" s="68" t="str">
        <f t="shared" si="153"/>
        <v/>
      </c>
      <c r="K779" s="69" t="str">
        <f t="shared" si="154"/>
        <v/>
      </c>
      <c r="L779" s="70" t="str">
        <f t="shared" si="155"/>
        <v/>
      </c>
      <c r="M779" s="71"/>
      <c r="N779" s="71"/>
      <c r="O779" s="71"/>
      <c r="P779" s="71"/>
      <c r="Q779" s="61"/>
      <c r="R779" s="63"/>
      <c r="S779" s="72"/>
      <c r="T779" s="61"/>
      <c r="U779" s="73"/>
      <c r="V779" s="62"/>
      <c r="W779" s="62"/>
      <c r="X779" s="62"/>
      <c r="Y779" s="93"/>
      <c r="Z779" s="94"/>
      <c r="AA779" s="74"/>
      <c r="AB779" s="75"/>
      <c r="AC779" s="75"/>
      <c r="AD779" s="76"/>
      <c r="AE779" s="77"/>
      <c r="AF779" s="75"/>
      <c r="AG779" s="78"/>
      <c r="AH779" s="79"/>
      <c r="AI779" s="74"/>
      <c r="AJ779" s="75"/>
      <c r="AK779" s="75"/>
      <c r="AL779" s="80">
        <f t="shared" si="156"/>
        <v>0</v>
      </c>
      <c r="AM779" s="74"/>
      <c r="AN779" s="74"/>
      <c r="AO779" s="81" t="str">
        <f t="shared" si="157"/>
        <v/>
      </c>
      <c r="AP779" s="82"/>
      <c r="AQ779" s="75"/>
      <c r="AR779" s="75"/>
      <c r="AS779" s="80">
        <f t="shared" si="158"/>
        <v>0</v>
      </c>
      <c r="AT779" s="74"/>
      <c r="AU779" s="75"/>
      <c r="AV779" s="75"/>
      <c r="AW779" s="75"/>
      <c r="AX779" s="80">
        <f t="shared" si="159"/>
        <v>0</v>
      </c>
      <c r="AY779" s="81" t="str">
        <f t="shared" si="160"/>
        <v/>
      </c>
      <c r="AZ779" s="83" t="str">
        <f t="shared" si="161"/>
        <v/>
      </c>
      <c r="BA779" s="80" t="str">
        <f t="shared" si="162"/>
        <v/>
      </c>
      <c r="BB779" s="84">
        <f t="shared" si="163"/>
        <v>0</v>
      </c>
      <c r="BC779" s="85" t="str">
        <f t="shared" si="164"/>
        <v/>
      </c>
      <c r="BD779" s="86" t="str">
        <f t="shared" si="165"/>
        <v/>
      </c>
      <c r="BE779" s="84">
        <f t="shared" si="166"/>
        <v>0</v>
      </c>
      <c r="BF779" s="87" t="str">
        <f t="shared" si="167"/>
        <v/>
      </c>
      <c r="BG779" s="88" t="str">
        <f t="shared" si="168"/>
        <v/>
      </c>
      <c r="BH779" s="89" t="str">
        <f t="shared" si="169"/>
        <v/>
      </c>
      <c r="BI779" s="90" t="str">
        <f t="shared" si="170"/>
        <v/>
      </c>
      <c r="BJ779" s="90" t="str">
        <f t="shared" si="171"/>
        <v/>
      </c>
      <c r="BK779" s="91">
        <f t="shared" si="172"/>
        <v>0</v>
      </c>
      <c r="BL779" s="92">
        <f t="shared" si="173"/>
        <v>0</v>
      </c>
      <c r="BM779" s="95"/>
    </row>
    <row r="780" spans="1:65">
      <c r="A780" s="61">
        <f t="shared" si="150"/>
        <v>0</v>
      </c>
      <c r="B780" s="62"/>
      <c r="C780" s="62"/>
      <c r="D780" s="63"/>
      <c r="E780" s="64"/>
      <c r="F780" s="64"/>
      <c r="G780" s="65"/>
      <c r="H780" s="66" t="str">
        <f t="shared" si="151"/>
        <v/>
      </c>
      <c r="I780" s="67" t="str">
        <f t="shared" si="152"/>
        <v/>
      </c>
      <c r="J780" s="68" t="str">
        <f t="shared" si="153"/>
        <v/>
      </c>
      <c r="K780" s="69" t="str">
        <f t="shared" si="154"/>
        <v/>
      </c>
      <c r="L780" s="70" t="str">
        <f t="shared" si="155"/>
        <v/>
      </c>
      <c r="M780" s="71"/>
      <c r="N780" s="71"/>
      <c r="O780" s="71"/>
      <c r="P780" s="71"/>
      <c r="Q780" s="61"/>
      <c r="R780" s="63"/>
      <c r="S780" s="72"/>
      <c r="T780" s="61"/>
      <c r="U780" s="73"/>
      <c r="V780" s="62"/>
      <c r="W780" s="62"/>
      <c r="X780" s="62"/>
      <c r="Y780" s="93"/>
      <c r="Z780" s="94"/>
      <c r="AA780" s="74"/>
      <c r="AB780" s="75"/>
      <c r="AC780" s="75"/>
      <c r="AD780" s="76"/>
      <c r="AE780" s="77"/>
      <c r="AF780" s="75"/>
      <c r="AG780" s="78"/>
      <c r="AH780" s="79"/>
      <c r="AI780" s="74"/>
      <c r="AJ780" s="75"/>
      <c r="AK780" s="75"/>
      <c r="AL780" s="80">
        <f t="shared" si="156"/>
        <v>0</v>
      </c>
      <c r="AM780" s="74"/>
      <c r="AN780" s="74"/>
      <c r="AO780" s="81" t="str">
        <f t="shared" si="157"/>
        <v/>
      </c>
      <c r="AP780" s="82"/>
      <c r="AQ780" s="75"/>
      <c r="AR780" s="75"/>
      <c r="AS780" s="80">
        <f t="shared" si="158"/>
        <v>0</v>
      </c>
      <c r="AT780" s="74"/>
      <c r="AU780" s="75"/>
      <c r="AV780" s="75"/>
      <c r="AW780" s="75"/>
      <c r="AX780" s="80">
        <f t="shared" si="159"/>
        <v>0</v>
      </c>
      <c r="AY780" s="81" t="str">
        <f t="shared" si="160"/>
        <v/>
      </c>
      <c r="AZ780" s="83" t="str">
        <f t="shared" si="161"/>
        <v/>
      </c>
      <c r="BA780" s="80" t="str">
        <f t="shared" si="162"/>
        <v/>
      </c>
      <c r="BB780" s="84">
        <f t="shared" si="163"/>
        <v>0</v>
      </c>
      <c r="BC780" s="85" t="str">
        <f t="shared" si="164"/>
        <v/>
      </c>
      <c r="BD780" s="86" t="str">
        <f t="shared" si="165"/>
        <v/>
      </c>
      <c r="BE780" s="84">
        <f t="shared" si="166"/>
        <v>0</v>
      </c>
      <c r="BF780" s="87" t="str">
        <f t="shared" si="167"/>
        <v/>
      </c>
      <c r="BG780" s="88" t="str">
        <f t="shared" si="168"/>
        <v/>
      </c>
      <c r="BH780" s="89" t="str">
        <f t="shared" si="169"/>
        <v/>
      </c>
      <c r="BI780" s="90" t="str">
        <f t="shared" si="170"/>
        <v/>
      </c>
      <c r="BJ780" s="90" t="str">
        <f t="shared" si="171"/>
        <v/>
      </c>
      <c r="BK780" s="91">
        <f t="shared" si="172"/>
        <v>0</v>
      </c>
      <c r="BL780" s="92">
        <f t="shared" si="173"/>
        <v>0</v>
      </c>
      <c r="BM780" s="95"/>
    </row>
    <row r="781" spans="1:65">
      <c r="A781" s="61">
        <f t="shared" si="150"/>
        <v>0</v>
      </c>
      <c r="B781" s="62"/>
      <c r="C781" s="62"/>
      <c r="D781" s="63"/>
      <c r="E781" s="64"/>
      <c r="F781" s="64"/>
      <c r="G781" s="65"/>
      <c r="H781" s="66" t="str">
        <f t="shared" si="151"/>
        <v/>
      </c>
      <c r="I781" s="67" t="str">
        <f t="shared" si="152"/>
        <v/>
      </c>
      <c r="J781" s="68" t="str">
        <f t="shared" si="153"/>
        <v/>
      </c>
      <c r="K781" s="69" t="str">
        <f t="shared" si="154"/>
        <v/>
      </c>
      <c r="L781" s="70" t="str">
        <f t="shared" si="155"/>
        <v/>
      </c>
      <c r="M781" s="71"/>
      <c r="N781" s="71"/>
      <c r="O781" s="71"/>
      <c r="P781" s="71"/>
      <c r="Q781" s="61"/>
      <c r="R781" s="63"/>
      <c r="S781" s="72"/>
      <c r="T781" s="61"/>
      <c r="U781" s="73"/>
      <c r="V781" s="62"/>
      <c r="W781" s="62"/>
      <c r="X781" s="62"/>
      <c r="Y781" s="93"/>
      <c r="Z781" s="94"/>
      <c r="AA781" s="74"/>
      <c r="AB781" s="75"/>
      <c r="AC781" s="75"/>
      <c r="AD781" s="76"/>
      <c r="AE781" s="77"/>
      <c r="AF781" s="75"/>
      <c r="AG781" s="78"/>
      <c r="AH781" s="79"/>
      <c r="AI781" s="74"/>
      <c r="AJ781" s="75"/>
      <c r="AK781" s="75"/>
      <c r="AL781" s="80">
        <f t="shared" si="156"/>
        <v>0</v>
      </c>
      <c r="AM781" s="74"/>
      <c r="AN781" s="74"/>
      <c r="AO781" s="81" t="str">
        <f t="shared" si="157"/>
        <v/>
      </c>
      <c r="AP781" s="82"/>
      <c r="AQ781" s="75"/>
      <c r="AR781" s="75"/>
      <c r="AS781" s="80">
        <f t="shared" si="158"/>
        <v>0</v>
      </c>
      <c r="AT781" s="74"/>
      <c r="AU781" s="75"/>
      <c r="AV781" s="75"/>
      <c r="AW781" s="75"/>
      <c r="AX781" s="80">
        <f t="shared" si="159"/>
        <v>0</v>
      </c>
      <c r="AY781" s="81" t="str">
        <f t="shared" si="160"/>
        <v/>
      </c>
      <c r="AZ781" s="83" t="str">
        <f t="shared" si="161"/>
        <v/>
      </c>
      <c r="BA781" s="80" t="str">
        <f t="shared" si="162"/>
        <v/>
      </c>
      <c r="BB781" s="84">
        <f t="shared" si="163"/>
        <v>0</v>
      </c>
      <c r="BC781" s="85" t="str">
        <f t="shared" si="164"/>
        <v/>
      </c>
      <c r="BD781" s="86" t="str">
        <f t="shared" si="165"/>
        <v/>
      </c>
      <c r="BE781" s="84">
        <f t="shared" si="166"/>
        <v>0</v>
      </c>
      <c r="BF781" s="87" t="str">
        <f t="shared" si="167"/>
        <v/>
      </c>
      <c r="BG781" s="88" t="str">
        <f t="shared" si="168"/>
        <v/>
      </c>
      <c r="BH781" s="89" t="str">
        <f t="shared" si="169"/>
        <v/>
      </c>
      <c r="BI781" s="90" t="str">
        <f t="shared" si="170"/>
        <v/>
      </c>
      <c r="BJ781" s="90" t="str">
        <f t="shared" si="171"/>
        <v/>
      </c>
      <c r="BK781" s="91">
        <f t="shared" si="172"/>
        <v>0</v>
      </c>
      <c r="BL781" s="92">
        <f t="shared" si="173"/>
        <v>0</v>
      </c>
      <c r="BM781" s="95"/>
    </row>
    <row r="782" spans="1:65">
      <c r="A782" s="61">
        <f t="shared" si="150"/>
        <v>0</v>
      </c>
      <c r="B782" s="62"/>
      <c r="C782" s="62"/>
      <c r="D782" s="63"/>
      <c r="E782" s="64"/>
      <c r="F782" s="64"/>
      <c r="G782" s="65"/>
      <c r="H782" s="66" t="str">
        <f t="shared" si="151"/>
        <v/>
      </c>
      <c r="I782" s="67" t="str">
        <f t="shared" si="152"/>
        <v/>
      </c>
      <c r="J782" s="68" t="str">
        <f t="shared" si="153"/>
        <v/>
      </c>
      <c r="K782" s="69" t="str">
        <f t="shared" si="154"/>
        <v/>
      </c>
      <c r="L782" s="70" t="str">
        <f t="shared" si="155"/>
        <v/>
      </c>
      <c r="M782" s="71"/>
      <c r="N782" s="71"/>
      <c r="O782" s="71"/>
      <c r="P782" s="71"/>
      <c r="Q782" s="61"/>
      <c r="R782" s="63"/>
      <c r="S782" s="72"/>
      <c r="T782" s="61"/>
      <c r="U782" s="73"/>
      <c r="V782" s="62"/>
      <c r="W782" s="62"/>
      <c r="X782" s="62"/>
      <c r="Y782" s="93"/>
      <c r="Z782" s="94"/>
      <c r="AA782" s="74"/>
      <c r="AB782" s="75"/>
      <c r="AC782" s="75"/>
      <c r="AD782" s="76"/>
      <c r="AE782" s="77"/>
      <c r="AF782" s="75"/>
      <c r="AG782" s="78"/>
      <c r="AH782" s="79"/>
      <c r="AI782" s="74"/>
      <c r="AJ782" s="75"/>
      <c r="AK782" s="75"/>
      <c r="AL782" s="80">
        <f t="shared" si="156"/>
        <v>0</v>
      </c>
      <c r="AM782" s="74"/>
      <c r="AN782" s="74"/>
      <c r="AO782" s="81" t="str">
        <f t="shared" si="157"/>
        <v/>
      </c>
      <c r="AP782" s="82"/>
      <c r="AQ782" s="75"/>
      <c r="AR782" s="75"/>
      <c r="AS782" s="80">
        <f t="shared" si="158"/>
        <v>0</v>
      </c>
      <c r="AT782" s="74"/>
      <c r="AU782" s="75"/>
      <c r="AV782" s="75"/>
      <c r="AW782" s="75"/>
      <c r="AX782" s="80">
        <f t="shared" si="159"/>
        <v>0</v>
      </c>
      <c r="AY782" s="81" t="str">
        <f t="shared" si="160"/>
        <v/>
      </c>
      <c r="AZ782" s="83" t="str">
        <f t="shared" si="161"/>
        <v/>
      </c>
      <c r="BA782" s="80" t="str">
        <f t="shared" si="162"/>
        <v/>
      </c>
      <c r="BB782" s="84">
        <f t="shared" si="163"/>
        <v>0</v>
      </c>
      <c r="BC782" s="85" t="str">
        <f t="shared" si="164"/>
        <v/>
      </c>
      <c r="BD782" s="86" t="str">
        <f t="shared" si="165"/>
        <v/>
      </c>
      <c r="BE782" s="84">
        <f t="shared" si="166"/>
        <v>0</v>
      </c>
      <c r="BF782" s="87" t="str">
        <f t="shared" si="167"/>
        <v/>
      </c>
      <c r="BG782" s="88" t="str">
        <f t="shared" si="168"/>
        <v/>
      </c>
      <c r="BH782" s="89" t="str">
        <f t="shared" si="169"/>
        <v/>
      </c>
      <c r="BI782" s="90" t="str">
        <f t="shared" si="170"/>
        <v/>
      </c>
      <c r="BJ782" s="90" t="str">
        <f t="shared" si="171"/>
        <v/>
      </c>
      <c r="BK782" s="91">
        <f t="shared" si="172"/>
        <v>0</v>
      </c>
      <c r="BL782" s="92">
        <f t="shared" si="173"/>
        <v>0</v>
      </c>
      <c r="BM782" s="95"/>
    </row>
    <row r="783" spans="1:65">
      <c r="A783" s="61">
        <f t="shared" si="150"/>
        <v>0</v>
      </c>
      <c r="B783" s="62"/>
      <c r="C783" s="62"/>
      <c r="D783" s="63"/>
      <c r="E783" s="64"/>
      <c r="F783" s="64"/>
      <c r="G783" s="65"/>
      <c r="H783" s="66" t="str">
        <f t="shared" si="151"/>
        <v/>
      </c>
      <c r="I783" s="67" t="str">
        <f t="shared" si="152"/>
        <v/>
      </c>
      <c r="J783" s="68" t="str">
        <f t="shared" si="153"/>
        <v/>
      </c>
      <c r="K783" s="69" t="str">
        <f t="shared" si="154"/>
        <v/>
      </c>
      <c r="L783" s="70" t="str">
        <f t="shared" si="155"/>
        <v/>
      </c>
      <c r="M783" s="71"/>
      <c r="N783" s="71"/>
      <c r="O783" s="71"/>
      <c r="P783" s="71"/>
      <c r="Q783" s="61"/>
      <c r="R783" s="63"/>
      <c r="S783" s="72"/>
      <c r="T783" s="61"/>
      <c r="U783" s="73"/>
      <c r="V783" s="62"/>
      <c r="W783" s="62"/>
      <c r="X783" s="62"/>
      <c r="Y783" s="93"/>
      <c r="Z783" s="94"/>
      <c r="AA783" s="74"/>
      <c r="AB783" s="75"/>
      <c r="AC783" s="75"/>
      <c r="AD783" s="76"/>
      <c r="AE783" s="77"/>
      <c r="AF783" s="75"/>
      <c r="AG783" s="78"/>
      <c r="AH783" s="79"/>
      <c r="AI783" s="74"/>
      <c r="AJ783" s="75"/>
      <c r="AK783" s="75"/>
      <c r="AL783" s="80">
        <f t="shared" si="156"/>
        <v>0</v>
      </c>
      <c r="AM783" s="74"/>
      <c r="AN783" s="74"/>
      <c r="AO783" s="81" t="str">
        <f t="shared" si="157"/>
        <v/>
      </c>
      <c r="AP783" s="82"/>
      <c r="AQ783" s="75"/>
      <c r="AR783" s="75"/>
      <c r="AS783" s="80">
        <f t="shared" si="158"/>
        <v>0</v>
      </c>
      <c r="AT783" s="74"/>
      <c r="AU783" s="75"/>
      <c r="AV783" s="75"/>
      <c r="AW783" s="75"/>
      <c r="AX783" s="80">
        <f t="shared" si="159"/>
        <v>0</v>
      </c>
      <c r="AY783" s="81" t="str">
        <f t="shared" si="160"/>
        <v/>
      </c>
      <c r="AZ783" s="83" t="str">
        <f t="shared" si="161"/>
        <v/>
      </c>
      <c r="BA783" s="80" t="str">
        <f t="shared" si="162"/>
        <v/>
      </c>
      <c r="BB783" s="84">
        <f t="shared" si="163"/>
        <v>0</v>
      </c>
      <c r="BC783" s="85" t="str">
        <f t="shared" si="164"/>
        <v/>
      </c>
      <c r="BD783" s="86" t="str">
        <f t="shared" si="165"/>
        <v/>
      </c>
      <c r="BE783" s="84">
        <f t="shared" si="166"/>
        <v>0</v>
      </c>
      <c r="BF783" s="87" t="str">
        <f t="shared" si="167"/>
        <v/>
      </c>
      <c r="BG783" s="88" t="str">
        <f t="shared" si="168"/>
        <v/>
      </c>
      <c r="BH783" s="89" t="str">
        <f t="shared" si="169"/>
        <v/>
      </c>
      <c r="BI783" s="90" t="str">
        <f t="shared" si="170"/>
        <v/>
      </c>
      <c r="BJ783" s="90" t="str">
        <f t="shared" si="171"/>
        <v/>
      </c>
      <c r="BK783" s="91">
        <f t="shared" si="172"/>
        <v>0</v>
      </c>
      <c r="BL783" s="92">
        <f t="shared" si="173"/>
        <v>0</v>
      </c>
      <c r="BM783" s="95"/>
    </row>
    <row r="784" spans="1:65">
      <c r="A784" s="61">
        <f t="shared" si="150"/>
        <v>0</v>
      </c>
      <c r="B784" s="62"/>
      <c r="C784" s="62"/>
      <c r="D784" s="63"/>
      <c r="E784" s="64"/>
      <c r="F784" s="64"/>
      <c r="G784" s="65"/>
      <c r="H784" s="66" t="str">
        <f t="shared" si="151"/>
        <v/>
      </c>
      <c r="I784" s="67" t="str">
        <f t="shared" si="152"/>
        <v/>
      </c>
      <c r="J784" s="68" t="str">
        <f t="shared" si="153"/>
        <v/>
      </c>
      <c r="K784" s="69" t="str">
        <f t="shared" si="154"/>
        <v/>
      </c>
      <c r="L784" s="70" t="str">
        <f t="shared" si="155"/>
        <v/>
      </c>
      <c r="M784" s="71"/>
      <c r="N784" s="71"/>
      <c r="O784" s="71"/>
      <c r="P784" s="71"/>
      <c r="Q784" s="61"/>
      <c r="R784" s="63"/>
      <c r="S784" s="72"/>
      <c r="T784" s="61"/>
      <c r="U784" s="73"/>
      <c r="V784" s="62"/>
      <c r="W784" s="62"/>
      <c r="X784" s="62"/>
      <c r="Y784" s="93"/>
      <c r="Z784" s="94"/>
      <c r="AA784" s="74"/>
      <c r="AB784" s="75"/>
      <c r="AC784" s="75"/>
      <c r="AD784" s="76"/>
      <c r="AE784" s="77"/>
      <c r="AF784" s="75"/>
      <c r="AG784" s="78"/>
      <c r="AH784" s="79"/>
      <c r="AI784" s="74"/>
      <c r="AJ784" s="75"/>
      <c r="AK784" s="75"/>
      <c r="AL784" s="80">
        <f t="shared" si="156"/>
        <v>0</v>
      </c>
      <c r="AM784" s="74"/>
      <c r="AN784" s="74"/>
      <c r="AO784" s="81" t="str">
        <f t="shared" si="157"/>
        <v/>
      </c>
      <c r="AP784" s="82"/>
      <c r="AQ784" s="75"/>
      <c r="AR784" s="75"/>
      <c r="AS784" s="80">
        <f t="shared" si="158"/>
        <v>0</v>
      </c>
      <c r="AT784" s="74"/>
      <c r="AU784" s="75"/>
      <c r="AV784" s="75"/>
      <c r="AW784" s="75"/>
      <c r="AX784" s="80">
        <f t="shared" si="159"/>
        <v>0</v>
      </c>
      <c r="AY784" s="81" t="str">
        <f t="shared" si="160"/>
        <v/>
      </c>
      <c r="AZ784" s="83" t="str">
        <f t="shared" si="161"/>
        <v/>
      </c>
      <c r="BA784" s="80" t="str">
        <f t="shared" si="162"/>
        <v/>
      </c>
      <c r="BB784" s="84">
        <f t="shared" si="163"/>
        <v>0</v>
      </c>
      <c r="BC784" s="85" t="str">
        <f t="shared" si="164"/>
        <v/>
      </c>
      <c r="BD784" s="86" t="str">
        <f t="shared" si="165"/>
        <v/>
      </c>
      <c r="BE784" s="84">
        <f t="shared" si="166"/>
        <v>0</v>
      </c>
      <c r="BF784" s="87" t="str">
        <f t="shared" si="167"/>
        <v/>
      </c>
      <c r="BG784" s="88" t="str">
        <f t="shared" si="168"/>
        <v/>
      </c>
      <c r="BH784" s="89" t="str">
        <f t="shared" si="169"/>
        <v/>
      </c>
      <c r="BI784" s="90" t="str">
        <f t="shared" si="170"/>
        <v/>
      </c>
      <c r="BJ784" s="90" t="str">
        <f t="shared" si="171"/>
        <v/>
      </c>
      <c r="BK784" s="91">
        <f t="shared" si="172"/>
        <v>0</v>
      </c>
      <c r="BL784" s="92">
        <f t="shared" si="173"/>
        <v>0</v>
      </c>
      <c r="BM784" s="95"/>
    </row>
    <row r="785" spans="1:65">
      <c r="A785" s="61">
        <f t="shared" si="150"/>
        <v>0</v>
      </c>
      <c r="B785" s="62"/>
      <c r="C785" s="62"/>
      <c r="D785" s="63"/>
      <c r="E785" s="64"/>
      <c r="F785" s="64"/>
      <c r="G785" s="65"/>
      <c r="H785" s="66" t="str">
        <f t="shared" si="151"/>
        <v/>
      </c>
      <c r="I785" s="67" t="str">
        <f t="shared" si="152"/>
        <v/>
      </c>
      <c r="J785" s="68" t="str">
        <f t="shared" si="153"/>
        <v/>
      </c>
      <c r="K785" s="69" t="str">
        <f t="shared" si="154"/>
        <v/>
      </c>
      <c r="L785" s="70" t="str">
        <f t="shared" si="155"/>
        <v/>
      </c>
      <c r="M785" s="71"/>
      <c r="N785" s="71"/>
      <c r="O785" s="71"/>
      <c r="P785" s="71"/>
      <c r="Q785" s="61"/>
      <c r="R785" s="63"/>
      <c r="S785" s="72"/>
      <c r="T785" s="61"/>
      <c r="U785" s="73"/>
      <c r="V785" s="62"/>
      <c r="W785" s="62"/>
      <c r="X785" s="62"/>
      <c r="Y785" s="93"/>
      <c r="Z785" s="94"/>
      <c r="AA785" s="74"/>
      <c r="AB785" s="75"/>
      <c r="AC785" s="75"/>
      <c r="AD785" s="76"/>
      <c r="AE785" s="77"/>
      <c r="AF785" s="75"/>
      <c r="AG785" s="78"/>
      <c r="AH785" s="79"/>
      <c r="AI785" s="74"/>
      <c r="AJ785" s="75"/>
      <c r="AK785" s="75"/>
      <c r="AL785" s="80">
        <f t="shared" si="156"/>
        <v>0</v>
      </c>
      <c r="AM785" s="74"/>
      <c r="AN785" s="74"/>
      <c r="AO785" s="81" t="str">
        <f t="shared" si="157"/>
        <v/>
      </c>
      <c r="AP785" s="82"/>
      <c r="AQ785" s="75"/>
      <c r="AR785" s="75"/>
      <c r="AS785" s="80">
        <f t="shared" si="158"/>
        <v>0</v>
      </c>
      <c r="AT785" s="74"/>
      <c r="AU785" s="75"/>
      <c r="AV785" s="75"/>
      <c r="AW785" s="75"/>
      <c r="AX785" s="80">
        <f t="shared" si="159"/>
        <v>0</v>
      </c>
      <c r="AY785" s="81" t="str">
        <f t="shared" si="160"/>
        <v/>
      </c>
      <c r="AZ785" s="83" t="str">
        <f t="shared" si="161"/>
        <v/>
      </c>
      <c r="BA785" s="80" t="str">
        <f t="shared" si="162"/>
        <v/>
      </c>
      <c r="BB785" s="84">
        <f t="shared" si="163"/>
        <v>0</v>
      </c>
      <c r="BC785" s="85" t="str">
        <f t="shared" si="164"/>
        <v/>
      </c>
      <c r="BD785" s="86" t="str">
        <f t="shared" si="165"/>
        <v/>
      </c>
      <c r="BE785" s="84">
        <f t="shared" si="166"/>
        <v>0</v>
      </c>
      <c r="BF785" s="87" t="str">
        <f t="shared" si="167"/>
        <v/>
      </c>
      <c r="BG785" s="88" t="str">
        <f t="shared" si="168"/>
        <v/>
      </c>
      <c r="BH785" s="89" t="str">
        <f t="shared" si="169"/>
        <v/>
      </c>
      <c r="BI785" s="90" t="str">
        <f t="shared" si="170"/>
        <v/>
      </c>
      <c r="BJ785" s="90" t="str">
        <f t="shared" si="171"/>
        <v/>
      </c>
      <c r="BK785" s="91">
        <f t="shared" si="172"/>
        <v>0</v>
      </c>
      <c r="BL785" s="92">
        <f t="shared" si="173"/>
        <v>0</v>
      </c>
      <c r="BM785" s="95"/>
    </row>
    <row r="786" spans="1:65">
      <c r="A786" s="61">
        <f t="shared" si="150"/>
        <v>0</v>
      </c>
      <c r="B786" s="62"/>
      <c r="C786" s="62"/>
      <c r="D786" s="63"/>
      <c r="E786" s="64"/>
      <c r="F786" s="64"/>
      <c r="G786" s="65"/>
      <c r="H786" s="66" t="str">
        <f t="shared" si="151"/>
        <v/>
      </c>
      <c r="I786" s="67" t="str">
        <f t="shared" si="152"/>
        <v/>
      </c>
      <c r="J786" s="68" t="str">
        <f t="shared" si="153"/>
        <v/>
      </c>
      <c r="K786" s="69" t="str">
        <f t="shared" si="154"/>
        <v/>
      </c>
      <c r="L786" s="70" t="str">
        <f t="shared" si="155"/>
        <v/>
      </c>
      <c r="M786" s="71"/>
      <c r="N786" s="71"/>
      <c r="O786" s="71"/>
      <c r="P786" s="71"/>
      <c r="Q786" s="61"/>
      <c r="R786" s="63"/>
      <c r="S786" s="72"/>
      <c r="T786" s="61"/>
      <c r="U786" s="73"/>
      <c r="V786" s="62"/>
      <c r="W786" s="62"/>
      <c r="X786" s="62"/>
      <c r="Y786" s="93"/>
      <c r="Z786" s="94"/>
      <c r="AA786" s="74"/>
      <c r="AB786" s="75"/>
      <c r="AC786" s="75"/>
      <c r="AD786" s="76"/>
      <c r="AE786" s="77"/>
      <c r="AF786" s="75"/>
      <c r="AG786" s="78"/>
      <c r="AH786" s="79"/>
      <c r="AI786" s="74"/>
      <c r="AJ786" s="75"/>
      <c r="AK786" s="75"/>
      <c r="AL786" s="80">
        <f t="shared" si="156"/>
        <v>0</v>
      </c>
      <c r="AM786" s="74"/>
      <c r="AN786" s="74"/>
      <c r="AO786" s="81" t="str">
        <f t="shared" si="157"/>
        <v/>
      </c>
      <c r="AP786" s="82"/>
      <c r="AQ786" s="75"/>
      <c r="AR786" s="75"/>
      <c r="AS786" s="80">
        <f t="shared" si="158"/>
        <v>0</v>
      </c>
      <c r="AT786" s="74"/>
      <c r="AU786" s="75"/>
      <c r="AV786" s="75"/>
      <c r="AW786" s="75"/>
      <c r="AX786" s="80">
        <f t="shared" si="159"/>
        <v>0</v>
      </c>
      <c r="AY786" s="81" t="str">
        <f t="shared" si="160"/>
        <v/>
      </c>
      <c r="AZ786" s="83" t="str">
        <f t="shared" si="161"/>
        <v/>
      </c>
      <c r="BA786" s="80" t="str">
        <f t="shared" si="162"/>
        <v/>
      </c>
      <c r="BB786" s="84">
        <f t="shared" si="163"/>
        <v>0</v>
      </c>
      <c r="BC786" s="85" t="str">
        <f t="shared" si="164"/>
        <v/>
      </c>
      <c r="BD786" s="86" t="str">
        <f t="shared" si="165"/>
        <v/>
      </c>
      <c r="BE786" s="84">
        <f t="shared" si="166"/>
        <v>0</v>
      </c>
      <c r="BF786" s="87" t="str">
        <f t="shared" si="167"/>
        <v/>
      </c>
      <c r="BG786" s="88" t="str">
        <f t="shared" si="168"/>
        <v/>
      </c>
      <c r="BH786" s="89" t="str">
        <f t="shared" si="169"/>
        <v/>
      </c>
      <c r="BI786" s="90" t="str">
        <f t="shared" si="170"/>
        <v/>
      </c>
      <c r="BJ786" s="90" t="str">
        <f t="shared" si="171"/>
        <v/>
      </c>
      <c r="BK786" s="91">
        <f t="shared" si="172"/>
        <v>0</v>
      </c>
      <c r="BL786" s="92">
        <f t="shared" si="173"/>
        <v>0</v>
      </c>
      <c r="BM786" s="95"/>
    </row>
    <row r="787" spans="1:65">
      <c r="A787" s="61">
        <f t="shared" si="150"/>
        <v>0</v>
      </c>
      <c r="B787" s="62"/>
      <c r="C787" s="62"/>
      <c r="D787" s="63"/>
      <c r="E787" s="64"/>
      <c r="F787" s="64"/>
      <c r="G787" s="65"/>
      <c r="H787" s="66" t="str">
        <f t="shared" si="151"/>
        <v/>
      </c>
      <c r="I787" s="67" t="str">
        <f t="shared" si="152"/>
        <v/>
      </c>
      <c r="J787" s="68" t="str">
        <f t="shared" si="153"/>
        <v/>
      </c>
      <c r="K787" s="69" t="str">
        <f t="shared" si="154"/>
        <v/>
      </c>
      <c r="L787" s="70" t="str">
        <f t="shared" si="155"/>
        <v/>
      </c>
      <c r="M787" s="71"/>
      <c r="N787" s="71"/>
      <c r="O787" s="71"/>
      <c r="P787" s="71"/>
      <c r="Q787" s="61"/>
      <c r="R787" s="63"/>
      <c r="S787" s="72"/>
      <c r="T787" s="61"/>
      <c r="U787" s="73"/>
      <c r="V787" s="62"/>
      <c r="W787" s="62"/>
      <c r="X787" s="62"/>
      <c r="Y787" s="93"/>
      <c r="Z787" s="94"/>
      <c r="AA787" s="74"/>
      <c r="AB787" s="75"/>
      <c r="AC787" s="75"/>
      <c r="AD787" s="76"/>
      <c r="AE787" s="77"/>
      <c r="AF787" s="75"/>
      <c r="AG787" s="78"/>
      <c r="AH787" s="79"/>
      <c r="AI787" s="74"/>
      <c r="AJ787" s="75"/>
      <c r="AK787" s="75"/>
      <c r="AL787" s="80">
        <f t="shared" si="156"/>
        <v>0</v>
      </c>
      <c r="AM787" s="74"/>
      <c r="AN787" s="74"/>
      <c r="AO787" s="81" t="str">
        <f t="shared" si="157"/>
        <v/>
      </c>
      <c r="AP787" s="82"/>
      <c r="AQ787" s="75"/>
      <c r="AR787" s="75"/>
      <c r="AS787" s="80">
        <f t="shared" si="158"/>
        <v>0</v>
      </c>
      <c r="AT787" s="74"/>
      <c r="AU787" s="75"/>
      <c r="AV787" s="75"/>
      <c r="AW787" s="75"/>
      <c r="AX787" s="80">
        <f t="shared" si="159"/>
        <v>0</v>
      </c>
      <c r="AY787" s="81" t="str">
        <f t="shared" si="160"/>
        <v/>
      </c>
      <c r="AZ787" s="83" t="str">
        <f t="shared" si="161"/>
        <v/>
      </c>
      <c r="BA787" s="80" t="str">
        <f t="shared" si="162"/>
        <v/>
      </c>
      <c r="BB787" s="84">
        <f t="shared" si="163"/>
        <v>0</v>
      </c>
      <c r="BC787" s="85" t="str">
        <f t="shared" si="164"/>
        <v/>
      </c>
      <c r="BD787" s="86" t="str">
        <f t="shared" si="165"/>
        <v/>
      </c>
      <c r="BE787" s="84">
        <f t="shared" si="166"/>
        <v>0</v>
      </c>
      <c r="BF787" s="87" t="str">
        <f t="shared" si="167"/>
        <v/>
      </c>
      <c r="BG787" s="88" t="str">
        <f t="shared" si="168"/>
        <v/>
      </c>
      <c r="BH787" s="89" t="str">
        <f t="shared" si="169"/>
        <v/>
      </c>
      <c r="BI787" s="90" t="str">
        <f t="shared" si="170"/>
        <v/>
      </c>
      <c r="BJ787" s="90" t="str">
        <f t="shared" si="171"/>
        <v/>
      </c>
      <c r="BK787" s="91">
        <f t="shared" si="172"/>
        <v>0</v>
      </c>
      <c r="BL787" s="92">
        <f t="shared" si="173"/>
        <v>0</v>
      </c>
      <c r="BM787" s="95"/>
    </row>
    <row r="788" spans="1:65">
      <c r="A788" s="61">
        <f t="shared" si="150"/>
        <v>0</v>
      </c>
      <c r="B788" s="62"/>
      <c r="C788" s="62"/>
      <c r="D788" s="63"/>
      <c r="E788" s="64"/>
      <c r="F788" s="64"/>
      <c r="G788" s="65"/>
      <c r="H788" s="66" t="str">
        <f t="shared" si="151"/>
        <v/>
      </c>
      <c r="I788" s="67" t="str">
        <f t="shared" si="152"/>
        <v/>
      </c>
      <c r="J788" s="68" t="str">
        <f t="shared" si="153"/>
        <v/>
      </c>
      <c r="K788" s="69" t="str">
        <f t="shared" si="154"/>
        <v/>
      </c>
      <c r="L788" s="70" t="str">
        <f t="shared" si="155"/>
        <v/>
      </c>
      <c r="M788" s="71"/>
      <c r="N788" s="71"/>
      <c r="O788" s="71"/>
      <c r="P788" s="71"/>
      <c r="Q788" s="61"/>
      <c r="R788" s="63"/>
      <c r="S788" s="72"/>
      <c r="T788" s="61"/>
      <c r="U788" s="73"/>
      <c r="V788" s="62"/>
      <c r="W788" s="62"/>
      <c r="X788" s="62"/>
      <c r="Y788" s="93"/>
      <c r="Z788" s="94"/>
      <c r="AA788" s="74"/>
      <c r="AB788" s="75"/>
      <c r="AC788" s="75"/>
      <c r="AD788" s="76"/>
      <c r="AE788" s="77"/>
      <c r="AF788" s="75"/>
      <c r="AG788" s="78"/>
      <c r="AH788" s="79"/>
      <c r="AI788" s="74"/>
      <c r="AJ788" s="75"/>
      <c r="AK788" s="75"/>
      <c r="AL788" s="80">
        <f t="shared" si="156"/>
        <v>0</v>
      </c>
      <c r="AM788" s="74"/>
      <c r="AN788" s="74"/>
      <c r="AO788" s="81" t="str">
        <f t="shared" si="157"/>
        <v/>
      </c>
      <c r="AP788" s="82"/>
      <c r="AQ788" s="75"/>
      <c r="AR788" s="75"/>
      <c r="AS788" s="80">
        <f t="shared" si="158"/>
        <v>0</v>
      </c>
      <c r="AT788" s="74"/>
      <c r="AU788" s="75"/>
      <c r="AV788" s="75"/>
      <c r="AW788" s="75"/>
      <c r="AX788" s="80">
        <f t="shared" si="159"/>
        <v>0</v>
      </c>
      <c r="AY788" s="81" t="str">
        <f t="shared" si="160"/>
        <v/>
      </c>
      <c r="AZ788" s="83" t="str">
        <f t="shared" si="161"/>
        <v/>
      </c>
      <c r="BA788" s="80" t="str">
        <f t="shared" si="162"/>
        <v/>
      </c>
      <c r="BB788" s="84">
        <f t="shared" si="163"/>
        <v>0</v>
      </c>
      <c r="BC788" s="85" t="str">
        <f t="shared" si="164"/>
        <v/>
      </c>
      <c r="BD788" s="86" t="str">
        <f t="shared" si="165"/>
        <v/>
      </c>
      <c r="BE788" s="84">
        <f t="shared" si="166"/>
        <v>0</v>
      </c>
      <c r="BF788" s="87" t="str">
        <f t="shared" si="167"/>
        <v/>
      </c>
      <c r="BG788" s="88" t="str">
        <f t="shared" si="168"/>
        <v/>
      </c>
      <c r="BH788" s="89" t="str">
        <f t="shared" si="169"/>
        <v/>
      </c>
      <c r="BI788" s="90" t="str">
        <f t="shared" si="170"/>
        <v/>
      </c>
      <c r="BJ788" s="90" t="str">
        <f t="shared" si="171"/>
        <v/>
      </c>
      <c r="BK788" s="91">
        <f t="shared" si="172"/>
        <v>0</v>
      </c>
      <c r="BL788" s="92">
        <f t="shared" si="173"/>
        <v>0</v>
      </c>
      <c r="BM788" s="95"/>
    </row>
    <row r="789" spans="1:65">
      <c r="A789" s="61">
        <f t="shared" si="150"/>
        <v>0</v>
      </c>
      <c r="B789" s="62"/>
      <c r="C789" s="62"/>
      <c r="D789" s="63"/>
      <c r="E789" s="64"/>
      <c r="F789" s="64"/>
      <c r="G789" s="65"/>
      <c r="H789" s="66" t="str">
        <f t="shared" si="151"/>
        <v/>
      </c>
      <c r="I789" s="67" t="str">
        <f t="shared" si="152"/>
        <v/>
      </c>
      <c r="J789" s="68" t="str">
        <f t="shared" si="153"/>
        <v/>
      </c>
      <c r="K789" s="69" t="str">
        <f t="shared" si="154"/>
        <v/>
      </c>
      <c r="L789" s="70" t="str">
        <f t="shared" si="155"/>
        <v/>
      </c>
      <c r="M789" s="71"/>
      <c r="N789" s="71"/>
      <c r="O789" s="71"/>
      <c r="P789" s="71"/>
      <c r="Q789" s="61"/>
      <c r="R789" s="63"/>
      <c r="S789" s="72"/>
      <c r="T789" s="61"/>
      <c r="U789" s="73"/>
      <c r="V789" s="62"/>
      <c r="W789" s="62"/>
      <c r="X789" s="62"/>
      <c r="Y789" s="93"/>
      <c r="Z789" s="94"/>
      <c r="AA789" s="74"/>
      <c r="AB789" s="75"/>
      <c r="AC789" s="75"/>
      <c r="AD789" s="76"/>
      <c r="AE789" s="77"/>
      <c r="AF789" s="75"/>
      <c r="AG789" s="78"/>
      <c r="AH789" s="79"/>
      <c r="AI789" s="74"/>
      <c r="AJ789" s="75"/>
      <c r="AK789" s="75"/>
      <c r="AL789" s="80">
        <f t="shared" si="156"/>
        <v>0</v>
      </c>
      <c r="AM789" s="74"/>
      <c r="AN789" s="74"/>
      <c r="AO789" s="81" t="str">
        <f t="shared" si="157"/>
        <v/>
      </c>
      <c r="AP789" s="82"/>
      <c r="AQ789" s="75"/>
      <c r="AR789" s="75"/>
      <c r="AS789" s="80">
        <f t="shared" si="158"/>
        <v>0</v>
      </c>
      <c r="AT789" s="74"/>
      <c r="AU789" s="75"/>
      <c r="AV789" s="75"/>
      <c r="AW789" s="75"/>
      <c r="AX789" s="80">
        <f t="shared" si="159"/>
        <v>0</v>
      </c>
      <c r="AY789" s="81" t="str">
        <f t="shared" si="160"/>
        <v/>
      </c>
      <c r="AZ789" s="83" t="str">
        <f t="shared" si="161"/>
        <v/>
      </c>
      <c r="BA789" s="80" t="str">
        <f t="shared" si="162"/>
        <v/>
      </c>
      <c r="BB789" s="84">
        <f t="shared" si="163"/>
        <v>0</v>
      </c>
      <c r="BC789" s="85" t="str">
        <f t="shared" si="164"/>
        <v/>
      </c>
      <c r="BD789" s="86" t="str">
        <f t="shared" si="165"/>
        <v/>
      </c>
      <c r="BE789" s="84">
        <f t="shared" si="166"/>
        <v>0</v>
      </c>
      <c r="BF789" s="87" t="str">
        <f t="shared" si="167"/>
        <v/>
      </c>
      <c r="BG789" s="88" t="str">
        <f t="shared" si="168"/>
        <v/>
      </c>
      <c r="BH789" s="89" t="str">
        <f t="shared" si="169"/>
        <v/>
      </c>
      <c r="BI789" s="90" t="str">
        <f t="shared" si="170"/>
        <v/>
      </c>
      <c r="BJ789" s="90" t="str">
        <f t="shared" si="171"/>
        <v/>
      </c>
      <c r="BK789" s="91">
        <f t="shared" si="172"/>
        <v>0</v>
      </c>
      <c r="BL789" s="92">
        <f t="shared" si="173"/>
        <v>0</v>
      </c>
      <c r="BM789" s="95"/>
    </row>
    <row r="790" spans="1:65">
      <c r="A790" s="61">
        <f t="shared" si="150"/>
        <v>0</v>
      </c>
      <c r="B790" s="62"/>
      <c r="C790" s="62"/>
      <c r="D790" s="63"/>
      <c r="E790" s="64"/>
      <c r="F790" s="64"/>
      <c r="G790" s="65"/>
      <c r="H790" s="66" t="str">
        <f t="shared" si="151"/>
        <v/>
      </c>
      <c r="I790" s="67" t="str">
        <f t="shared" si="152"/>
        <v/>
      </c>
      <c r="J790" s="68" t="str">
        <f t="shared" si="153"/>
        <v/>
      </c>
      <c r="K790" s="69" t="str">
        <f t="shared" si="154"/>
        <v/>
      </c>
      <c r="L790" s="70" t="str">
        <f t="shared" si="155"/>
        <v/>
      </c>
      <c r="M790" s="71"/>
      <c r="N790" s="71"/>
      <c r="O790" s="71"/>
      <c r="P790" s="71"/>
      <c r="Q790" s="61"/>
      <c r="R790" s="63"/>
      <c r="S790" s="72"/>
      <c r="T790" s="61"/>
      <c r="U790" s="73"/>
      <c r="V790" s="62"/>
      <c r="W790" s="62"/>
      <c r="X790" s="62"/>
      <c r="Y790" s="93"/>
      <c r="Z790" s="94"/>
      <c r="AA790" s="74"/>
      <c r="AB790" s="75"/>
      <c r="AC790" s="75"/>
      <c r="AD790" s="76"/>
      <c r="AE790" s="77"/>
      <c r="AF790" s="75"/>
      <c r="AG790" s="78"/>
      <c r="AH790" s="79"/>
      <c r="AI790" s="74"/>
      <c r="AJ790" s="75"/>
      <c r="AK790" s="75"/>
      <c r="AL790" s="80">
        <f t="shared" si="156"/>
        <v>0</v>
      </c>
      <c r="AM790" s="74"/>
      <c r="AN790" s="74"/>
      <c r="AO790" s="81" t="str">
        <f t="shared" si="157"/>
        <v/>
      </c>
      <c r="AP790" s="82"/>
      <c r="AQ790" s="75"/>
      <c r="AR790" s="75"/>
      <c r="AS790" s="80">
        <f t="shared" si="158"/>
        <v>0</v>
      </c>
      <c r="AT790" s="74"/>
      <c r="AU790" s="75"/>
      <c r="AV790" s="75"/>
      <c r="AW790" s="75"/>
      <c r="AX790" s="80">
        <f t="shared" si="159"/>
        <v>0</v>
      </c>
      <c r="AY790" s="81" t="str">
        <f t="shared" si="160"/>
        <v/>
      </c>
      <c r="AZ790" s="83" t="str">
        <f t="shared" si="161"/>
        <v/>
      </c>
      <c r="BA790" s="80" t="str">
        <f t="shared" si="162"/>
        <v/>
      </c>
      <c r="BB790" s="84">
        <f t="shared" si="163"/>
        <v>0</v>
      </c>
      <c r="BC790" s="85" t="str">
        <f t="shared" si="164"/>
        <v/>
      </c>
      <c r="BD790" s="86" t="str">
        <f t="shared" si="165"/>
        <v/>
      </c>
      <c r="BE790" s="84">
        <f t="shared" si="166"/>
        <v>0</v>
      </c>
      <c r="BF790" s="87" t="str">
        <f t="shared" si="167"/>
        <v/>
      </c>
      <c r="BG790" s="88" t="str">
        <f t="shared" si="168"/>
        <v/>
      </c>
      <c r="BH790" s="89" t="str">
        <f t="shared" si="169"/>
        <v/>
      </c>
      <c r="BI790" s="90" t="str">
        <f t="shared" si="170"/>
        <v/>
      </c>
      <c r="BJ790" s="90" t="str">
        <f t="shared" si="171"/>
        <v/>
      </c>
      <c r="BK790" s="91">
        <f t="shared" si="172"/>
        <v>0</v>
      </c>
      <c r="BL790" s="92">
        <f t="shared" si="173"/>
        <v>0</v>
      </c>
      <c r="BM790" s="95"/>
    </row>
    <row r="791" spans="1:65">
      <c r="A791" s="61">
        <f t="shared" si="150"/>
        <v>0</v>
      </c>
      <c r="B791" s="62"/>
      <c r="C791" s="62"/>
      <c r="D791" s="63"/>
      <c r="E791" s="64"/>
      <c r="F791" s="64"/>
      <c r="G791" s="65"/>
      <c r="H791" s="66" t="str">
        <f t="shared" si="151"/>
        <v/>
      </c>
      <c r="I791" s="67" t="str">
        <f t="shared" si="152"/>
        <v/>
      </c>
      <c r="J791" s="68" t="str">
        <f t="shared" si="153"/>
        <v/>
      </c>
      <c r="K791" s="69" t="str">
        <f t="shared" si="154"/>
        <v/>
      </c>
      <c r="L791" s="70" t="str">
        <f t="shared" si="155"/>
        <v/>
      </c>
      <c r="M791" s="71"/>
      <c r="N791" s="71"/>
      <c r="O791" s="71"/>
      <c r="P791" s="71"/>
      <c r="Q791" s="61"/>
      <c r="R791" s="63"/>
      <c r="S791" s="72"/>
      <c r="T791" s="61"/>
      <c r="U791" s="73"/>
      <c r="V791" s="62"/>
      <c r="W791" s="62"/>
      <c r="X791" s="62"/>
      <c r="Y791" s="93"/>
      <c r="Z791" s="94"/>
      <c r="AA791" s="74"/>
      <c r="AB791" s="75"/>
      <c r="AC791" s="75"/>
      <c r="AD791" s="76"/>
      <c r="AE791" s="77"/>
      <c r="AF791" s="75"/>
      <c r="AG791" s="78"/>
      <c r="AH791" s="79"/>
      <c r="AI791" s="74"/>
      <c r="AJ791" s="75"/>
      <c r="AK791" s="75"/>
      <c r="AL791" s="80">
        <f t="shared" si="156"/>
        <v>0</v>
      </c>
      <c r="AM791" s="74"/>
      <c r="AN791" s="74"/>
      <c r="AO791" s="81" t="str">
        <f t="shared" si="157"/>
        <v/>
      </c>
      <c r="AP791" s="82"/>
      <c r="AQ791" s="75"/>
      <c r="AR791" s="75"/>
      <c r="AS791" s="80">
        <f t="shared" si="158"/>
        <v>0</v>
      </c>
      <c r="AT791" s="74"/>
      <c r="AU791" s="75"/>
      <c r="AV791" s="75"/>
      <c r="AW791" s="75"/>
      <c r="AX791" s="80">
        <f t="shared" si="159"/>
        <v>0</v>
      </c>
      <c r="AY791" s="81" t="str">
        <f t="shared" si="160"/>
        <v/>
      </c>
      <c r="AZ791" s="83" t="str">
        <f t="shared" si="161"/>
        <v/>
      </c>
      <c r="BA791" s="80" t="str">
        <f t="shared" si="162"/>
        <v/>
      </c>
      <c r="BB791" s="84">
        <f t="shared" si="163"/>
        <v>0</v>
      </c>
      <c r="BC791" s="85" t="str">
        <f t="shared" si="164"/>
        <v/>
      </c>
      <c r="BD791" s="86" t="str">
        <f t="shared" si="165"/>
        <v/>
      </c>
      <c r="BE791" s="84">
        <f t="shared" si="166"/>
        <v>0</v>
      </c>
      <c r="BF791" s="87" t="str">
        <f t="shared" si="167"/>
        <v/>
      </c>
      <c r="BG791" s="88" t="str">
        <f t="shared" si="168"/>
        <v/>
      </c>
      <c r="BH791" s="89" t="str">
        <f t="shared" si="169"/>
        <v/>
      </c>
      <c r="BI791" s="90" t="str">
        <f t="shared" si="170"/>
        <v/>
      </c>
      <c r="BJ791" s="90" t="str">
        <f t="shared" si="171"/>
        <v/>
      </c>
      <c r="BK791" s="91">
        <f t="shared" si="172"/>
        <v>0</v>
      </c>
      <c r="BL791" s="92">
        <f t="shared" si="173"/>
        <v>0</v>
      </c>
      <c r="BM791" s="95"/>
    </row>
    <row r="792" spans="1:65">
      <c r="A792" s="61">
        <f t="shared" si="150"/>
        <v>0</v>
      </c>
      <c r="B792" s="62"/>
      <c r="C792" s="62"/>
      <c r="D792" s="63"/>
      <c r="E792" s="64"/>
      <c r="F792" s="64"/>
      <c r="G792" s="65"/>
      <c r="H792" s="66" t="str">
        <f t="shared" si="151"/>
        <v/>
      </c>
      <c r="I792" s="67" t="str">
        <f t="shared" si="152"/>
        <v/>
      </c>
      <c r="J792" s="68" t="str">
        <f t="shared" si="153"/>
        <v/>
      </c>
      <c r="K792" s="69" t="str">
        <f t="shared" si="154"/>
        <v/>
      </c>
      <c r="L792" s="70" t="str">
        <f t="shared" si="155"/>
        <v/>
      </c>
      <c r="M792" s="71"/>
      <c r="N792" s="71"/>
      <c r="O792" s="71"/>
      <c r="P792" s="71"/>
      <c r="Q792" s="61"/>
      <c r="R792" s="63"/>
      <c r="S792" s="72"/>
      <c r="T792" s="61"/>
      <c r="U792" s="73"/>
      <c r="V792" s="62"/>
      <c r="W792" s="62"/>
      <c r="X792" s="62"/>
      <c r="Y792" s="93"/>
      <c r="Z792" s="94"/>
      <c r="AA792" s="74"/>
      <c r="AB792" s="75"/>
      <c r="AC792" s="75"/>
      <c r="AD792" s="76"/>
      <c r="AE792" s="77"/>
      <c r="AF792" s="75"/>
      <c r="AG792" s="78"/>
      <c r="AH792" s="79"/>
      <c r="AI792" s="74"/>
      <c r="AJ792" s="75"/>
      <c r="AK792" s="75"/>
      <c r="AL792" s="80">
        <f t="shared" si="156"/>
        <v>0</v>
      </c>
      <c r="AM792" s="74"/>
      <c r="AN792" s="74"/>
      <c r="AO792" s="81" t="str">
        <f t="shared" si="157"/>
        <v/>
      </c>
      <c r="AP792" s="82"/>
      <c r="AQ792" s="75"/>
      <c r="AR792" s="75"/>
      <c r="AS792" s="80">
        <f t="shared" si="158"/>
        <v>0</v>
      </c>
      <c r="AT792" s="74"/>
      <c r="AU792" s="75"/>
      <c r="AV792" s="75"/>
      <c r="AW792" s="75"/>
      <c r="AX792" s="80">
        <f t="shared" si="159"/>
        <v>0</v>
      </c>
      <c r="AY792" s="81" t="str">
        <f t="shared" si="160"/>
        <v/>
      </c>
      <c r="AZ792" s="83" t="str">
        <f t="shared" si="161"/>
        <v/>
      </c>
      <c r="BA792" s="80" t="str">
        <f t="shared" si="162"/>
        <v/>
      </c>
      <c r="BB792" s="84">
        <f t="shared" si="163"/>
        <v>0</v>
      </c>
      <c r="BC792" s="85" t="str">
        <f t="shared" si="164"/>
        <v/>
      </c>
      <c r="BD792" s="86" t="str">
        <f t="shared" si="165"/>
        <v/>
      </c>
      <c r="BE792" s="84">
        <f t="shared" si="166"/>
        <v>0</v>
      </c>
      <c r="BF792" s="87" t="str">
        <f t="shared" si="167"/>
        <v/>
      </c>
      <c r="BG792" s="88" t="str">
        <f t="shared" si="168"/>
        <v/>
      </c>
      <c r="BH792" s="89" t="str">
        <f t="shared" si="169"/>
        <v/>
      </c>
      <c r="BI792" s="90" t="str">
        <f t="shared" si="170"/>
        <v/>
      </c>
      <c r="BJ792" s="90" t="str">
        <f t="shared" si="171"/>
        <v/>
      </c>
      <c r="BK792" s="91">
        <f t="shared" si="172"/>
        <v>0</v>
      </c>
      <c r="BL792" s="92">
        <f t="shared" si="173"/>
        <v>0</v>
      </c>
      <c r="BM792" s="95"/>
    </row>
    <row r="793" spans="1:65">
      <c r="A793" s="61">
        <f t="shared" si="150"/>
        <v>0</v>
      </c>
      <c r="B793" s="62"/>
      <c r="C793" s="62"/>
      <c r="D793" s="63"/>
      <c r="E793" s="64"/>
      <c r="F793" s="64"/>
      <c r="G793" s="65"/>
      <c r="H793" s="66" t="str">
        <f t="shared" si="151"/>
        <v/>
      </c>
      <c r="I793" s="67" t="str">
        <f t="shared" si="152"/>
        <v/>
      </c>
      <c r="J793" s="68" t="str">
        <f t="shared" si="153"/>
        <v/>
      </c>
      <c r="K793" s="69" t="str">
        <f t="shared" si="154"/>
        <v/>
      </c>
      <c r="L793" s="70" t="str">
        <f t="shared" si="155"/>
        <v/>
      </c>
      <c r="M793" s="71"/>
      <c r="N793" s="71"/>
      <c r="O793" s="71"/>
      <c r="P793" s="71"/>
      <c r="Q793" s="61"/>
      <c r="R793" s="63"/>
      <c r="S793" s="72"/>
      <c r="T793" s="61"/>
      <c r="U793" s="73"/>
      <c r="V793" s="62"/>
      <c r="W793" s="62"/>
      <c r="X793" s="62"/>
      <c r="Y793" s="93"/>
      <c r="Z793" s="94"/>
      <c r="AA793" s="74"/>
      <c r="AB793" s="75"/>
      <c r="AC793" s="75"/>
      <c r="AD793" s="76"/>
      <c r="AE793" s="77"/>
      <c r="AF793" s="75"/>
      <c r="AG793" s="78"/>
      <c r="AH793" s="79"/>
      <c r="AI793" s="74"/>
      <c r="AJ793" s="75"/>
      <c r="AK793" s="75"/>
      <c r="AL793" s="80">
        <f t="shared" si="156"/>
        <v>0</v>
      </c>
      <c r="AM793" s="74"/>
      <c r="AN793" s="74"/>
      <c r="AO793" s="81" t="str">
        <f t="shared" si="157"/>
        <v/>
      </c>
      <c r="AP793" s="82"/>
      <c r="AQ793" s="75"/>
      <c r="AR793" s="75"/>
      <c r="AS793" s="80">
        <f t="shared" si="158"/>
        <v>0</v>
      </c>
      <c r="AT793" s="74"/>
      <c r="AU793" s="75"/>
      <c r="AV793" s="75"/>
      <c r="AW793" s="75"/>
      <c r="AX793" s="80">
        <f t="shared" si="159"/>
        <v>0</v>
      </c>
      <c r="AY793" s="81" t="str">
        <f t="shared" si="160"/>
        <v/>
      </c>
      <c r="AZ793" s="83" t="str">
        <f t="shared" si="161"/>
        <v/>
      </c>
      <c r="BA793" s="80" t="str">
        <f t="shared" si="162"/>
        <v/>
      </c>
      <c r="BB793" s="84">
        <f t="shared" si="163"/>
        <v>0</v>
      </c>
      <c r="BC793" s="85" t="str">
        <f t="shared" si="164"/>
        <v/>
      </c>
      <c r="BD793" s="86" t="str">
        <f t="shared" si="165"/>
        <v/>
      </c>
      <c r="BE793" s="84">
        <f t="shared" si="166"/>
        <v>0</v>
      </c>
      <c r="BF793" s="87" t="str">
        <f t="shared" si="167"/>
        <v/>
      </c>
      <c r="BG793" s="88" t="str">
        <f t="shared" si="168"/>
        <v/>
      </c>
      <c r="BH793" s="89" t="str">
        <f t="shared" si="169"/>
        <v/>
      </c>
      <c r="BI793" s="90" t="str">
        <f t="shared" si="170"/>
        <v/>
      </c>
      <c r="BJ793" s="90" t="str">
        <f t="shared" si="171"/>
        <v/>
      </c>
      <c r="BK793" s="91">
        <f t="shared" si="172"/>
        <v>0</v>
      </c>
      <c r="BL793" s="92">
        <f t="shared" si="173"/>
        <v>0</v>
      </c>
      <c r="BM793" s="95"/>
    </row>
    <row r="794" spans="1:65">
      <c r="A794" s="61">
        <f t="shared" si="150"/>
        <v>0</v>
      </c>
      <c r="B794" s="62"/>
      <c r="C794" s="62"/>
      <c r="D794" s="63"/>
      <c r="E794" s="64"/>
      <c r="F794" s="64"/>
      <c r="G794" s="65"/>
      <c r="H794" s="66" t="str">
        <f t="shared" si="151"/>
        <v/>
      </c>
      <c r="I794" s="67" t="str">
        <f t="shared" si="152"/>
        <v/>
      </c>
      <c r="J794" s="68" t="str">
        <f t="shared" si="153"/>
        <v/>
      </c>
      <c r="K794" s="69" t="str">
        <f t="shared" si="154"/>
        <v/>
      </c>
      <c r="L794" s="70" t="str">
        <f t="shared" si="155"/>
        <v/>
      </c>
      <c r="M794" s="71"/>
      <c r="N794" s="71"/>
      <c r="O794" s="71"/>
      <c r="P794" s="71"/>
      <c r="Q794" s="61"/>
      <c r="R794" s="63"/>
      <c r="S794" s="72"/>
      <c r="T794" s="61"/>
      <c r="U794" s="73"/>
      <c r="V794" s="62"/>
      <c r="W794" s="62"/>
      <c r="X794" s="62"/>
      <c r="Y794" s="93"/>
      <c r="Z794" s="94"/>
      <c r="AA794" s="74"/>
      <c r="AB794" s="75"/>
      <c r="AC794" s="75"/>
      <c r="AD794" s="76"/>
      <c r="AE794" s="77"/>
      <c r="AF794" s="75"/>
      <c r="AG794" s="78"/>
      <c r="AH794" s="79"/>
      <c r="AI794" s="74"/>
      <c r="AJ794" s="75"/>
      <c r="AK794" s="75"/>
      <c r="AL794" s="80">
        <f t="shared" si="156"/>
        <v>0</v>
      </c>
      <c r="AM794" s="74"/>
      <c r="AN794" s="74"/>
      <c r="AO794" s="81" t="str">
        <f t="shared" si="157"/>
        <v/>
      </c>
      <c r="AP794" s="82"/>
      <c r="AQ794" s="75"/>
      <c r="AR794" s="75"/>
      <c r="AS794" s="80">
        <f t="shared" si="158"/>
        <v>0</v>
      </c>
      <c r="AT794" s="74"/>
      <c r="AU794" s="75"/>
      <c r="AV794" s="75"/>
      <c r="AW794" s="75"/>
      <c r="AX794" s="80">
        <f t="shared" si="159"/>
        <v>0</v>
      </c>
      <c r="AY794" s="81" t="str">
        <f t="shared" si="160"/>
        <v/>
      </c>
      <c r="AZ794" s="83" t="str">
        <f t="shared" si="161"/>
        <v/>
      </c>
      <c r="BA794" s="80" t="str">
        <f t="shared" si="162"/>
        <v/>
      </c>
      <c r="BB794" s="84">
        <f t="shared" si="163"/>
        <v>0</v>
      </c>
      <c r="BC794" s="85" t="str">
        <f t="shared" si="164"/>
        <v/>
      </c>
      <c r="BD794" s="86" t="str">
        <f t="shared" si="165"/>
        <v/>
      </c>
      <c r="BE794" s="84">
        <f t="shared" si="166"/>
        <v>0</v>
      </c>
      <c r="BF794" s="87" t="str">
        <f t="shared" si="167"/>
        <v/>
      </c>
      <c r="BG794" s="88" t="str">
        <f t="shared" si="168"/>
        <v/>
      </c>
      <c r="BH794" s="89" t="str">
        <f t="shared" si="169"/>
        <v/>
      </c>
      <c r="BI794" s="90" t="str">
        <f t="shared" si="170"/>
        <v/>
      </c>
      <c r="BJ794" s="90" t="str">
        <f t="shared" si="171"/>
        <v/>
      </c>
      <c r="BK794" s="91">
        <f t="shared" si="172"/>
        <v>0</v>
      </c>
      <c r="BL794" s="92">
        <f t="shared" si="173"/>
        <v>0</v>
      </c>
      <c r="BM794" s="95"/>
    </row>
    <row r="795" spans="1:65">
      <c r="A795" s="61">
        <f t="shared" si="150"/>
        <v>0</v>
      </c>
      <c r="B795" s="62"/>
      <c r="C795" s="62"/>
      <c r="D795" s="63"/>
      <c r="E795" s="64"/>
      <c r="F795" s="64"/>
      <c r="G795" s="65"/>
      <c r="H795" s="66" t="str">
        <f t="shared" si="151"/>
        <v/>
      </c>
      <c r="I795" s="67" t="str">
        <f t="shared" si="152"/>
        <v/>
      </c>
      <c r="J795" s="68" t="str">
        <f t="shared" si="153"/>
        <v/>
      </c>
      <c r="K795" s="69" t="str">
        <f t="shared" si="154"/>
        <v/>
      </c>
      <c r="L795" s="70" t="str">
        <f t="shared" si="155"/>
        <v/>
      </c>
      <c r="M795" s="71"/>
      <c r="N795" s="71"/>
      <c r="O795" s="71"/>
      <c r="P795" s="71"/>
      <c r="Q795" s="61"/>
      <c r="R795" s="63"/>
      <c r="S795" s="72"/>
      <c r="T795" s="61"/>
      <c r="U795" s="73"/>
      <c r="V795" s="62"/>
      <c r="W795" s="62"/>
      <c r="X795" s="62"/>
      <c r="Y795" s="93"/>
      <c r="Z795" s="94"/>
      <c r="AA795" s="74"/>
      <c r="AB795" s="75"/>
      <c r="AC795" s="75"/>
      <c r="AD795" s="76"/>
      <c r="AE795" s="77"/>
      <c r="AF795" s="75"/>
      <c r="AG795" s="78"/>
      <c r="AH795" s="79"/>
      <c r="AI795" s="74"/>
      <c r="AJ795" s="75"/>
      <c r="AK795" s="75"/>
      <c r="AL795" s="80">
        <f t="shared" si="156"/>
        <v>0</v>
      </c>
      <c r="AM795" s="74"/>
      <c r="AN795" s="74"/>
      <c r="AO795" s="81" t="str">
        <f t="shared" si="157"/>
        <v/>
      </c>
      <c r="AP795" s="82"/>
      <c r="AQ795" s="75"/>
      <c r="AR795" s="75"/>
      <c r="AS795" s="80">
        <f t="shared" si="158"/>
        <v>0</v>
      </c>
      <c r="AT795" s="74"/>
      <c r="AU795" s="75"/>
      <c r="AV795" s="75"/>
      <c r="AW795" s="75"/>
      <c r="AX795" s="80">
        <f t="shared" si="159"/>
        <v>0</v>
      </c>
      <c r="AY795" s="81" t="str">
        <f t="shared" si="160"/>
        <v/>
      </c>
      <c r="AZ795" s="83" t="str">
        <f t="shared" si="161"/>
        <v/>
      </c>
      <c r="BA795" s="80" t="str">
        <f t="shared" si="162"/>
        <v/>
      </c>
      <c r="BB795" s="84">
        <f t="shared" si="163"/>
        <v>0</v>
      </c>
      <c r="BC795" s="85" t="str">
        <f t="shared" si="164"/>
        <v/>
      </c>
      <c r="BD795" s="86" t="str">
        <f t="shared" si="165"/>
        <v/>
      </c>
      <c r="BE795" s="84">
        <f t="shared" si="166"/>
        <v>0</v>
      </c>
      <c r="BF795" s="87" t="str">
        <f t="shared" si="167"/>
        <v/>
      </c>
      <c r="BG795" s="88" t="str">
        <f t="shared" si="168"/>
        <v/>
      </c>
      <c r="BH795" s="89" t="str">
        <f t="shared" si="169"/>
        <v/>
      </c>
      <c r="BI795" s="90" t="str">
        <f t="shared" si="170"/>
        <v/>
      </c>
      <c r="BJ795" s="90" t="str">
        <f t="shared" si="171"/>
        <v/>
      </c>
      <c r="BK795" s="91">
        <f t="shared" si="172"/>
        <v>0</v>
      </c>
      <c r="BL795" s="92">
        <f t="shared" si="173"/>
        <v>0</v>
      </c>
      <c r="BM795" s="95"/>
    </row>
    <row r="796" spans="1:65">
      <c r="A796" s="61">
        <f t="shared" si="150"/>
        <v>0</v>
      </c>
      <c r="B796" s="62"/>
      <c r="C796" s="62"/>
      <c r="D796" s="63"/>
      <c r="E796" s="64"/>
      <c r="F796" s="64"/>
      <c r="G796" s="65"/>
      <c r="H796" s="66" t="str">
        <f t="shared" si="151"/>
        <v/>
      </c>
      <c r="I796" s="67" t="str">
        <f t="shared" si="152"/>
        <v/>
      </c>
      <c r="J796" s="68" t="str">
        <f t="shared" si="153"/>
        <v/>
      </c>
      <c r="K796" s="69" t="str">
        <f t="shared" si="154"/>
        <v/>
      </c>
      <c r="L796" s="70" t="str">
        <f t="shared" si="155"/>
        <v/>
      </c>
      <c r="M796" s="71"/>
      <c r="N796" s="71"/>
      <c r="O796" s="71"/>
      <c r="P796" s="71"/>
      <c r="Q796" s="61"/>
      <c r="R796" s="63"/>
      <c r="S796" s="72"/>
      <c r="T796" s="61"/>
      <c r="U796" s="73"/>
      <c r="V796" s="62"/>
      <c r="W796" s="62"/>
      <c r="X796" s="62"/>
      <c r="Y796" s="93"/>
      <c r="Z796" s="94"/>
      <c r="AA796" s="74"/>
      <c r="AB796" s="75"/>
      <c r="AC796" s="75"/>
      <c r="AD796" s="76"/>
      <c r="AE796" s="77"/>
      <c r="AF796" s="75"/>
      <c r="AG796" s="78"/>
      <c r="AH796" s="79"/>
      <c r="AI796" s="74"/>
      <c r="AJ796" s="75"/>
      <c r="AK796" s="75"/>
      <c r="AL796" s="80">
        <f t="shared" si="156"/>
        <v>0</v>
      </c>
      <c r="AM796" s="74"/>
      <c r="AN796" s="74"/>
      <c r="AO796" s="81" t="str">
        <f t="shared" si="157"/>
        <v/>
      </c>
      <c r="AP796" s="82"/>
      <c r="AQ796" s="75"/>
      <c r="AR796" s="75"/>
      <c r="AS796" s="80">
        <f t="shared" si="158"/>
        <v>0</v>
      </c>
      <c r="AT796" s="74"/>
      <c r="AU796" s="75"/>
      <c r="AV796" s="75"/>
      <c r="AW796" s="75"/>
      <c r="AX796" s="80">
        <f t="shared" si="159"/>
        <v>0</v>
      </c>
      <c r="AY796" s="81" t="str">
        <f t="shared" si="160"/>
        <v/>
      </c>
      <c r="AZ796" s="83" t="str">
        <f t="shared" si="161"/>
        <v/>
      </c>
      <c r="BA796" s="80" t="str">
        <f t="shared" si="162"/>
        <v/>
      </c>
      <c r="BB796" s="84">
        <f t="shared" si="163"/>
        <v>0</v>
      </c>
      <c r="BC796" s="85" t="str">
        <f t="shared" si="164"/>
        <v/>
      </c>
      <c r="BD796" s="86" t="str">
        <f t="shared" si="165"/>
        <v/>
      </c>
      <c r="BE796" s="84">
        <f t="shared" si="166"/>
        <v>0</v>
      </c>
      <c r="BF796" s="87" t="str">
        <f t="shared" si="167"/>
        <v/>
      </c>
      <c r="BG796" s="88" t="str">
        <f t="shared" si="168"/>
        <v/>
      </c>
      <c r="BH796" s="89" t="str">
        <f t="shared" si="169"/>
        <v/>
      </c>
      <c r="BI796" s="90" t="str">
        <f t="shared" si="170"/>
        <v/>
      </c>
      <c r="BJ796" s="90" t="str">
        <f t="shared" si="171"/>
        <v/>
      </c>
      <c r="BK796" s="91">
        <f t="shared" si="172"/>
        <v>0</v>
      </c>
      <c r="BL796" s="92">
        <f t="shared" si="173"/>
        <v>0</v>
      </c>
      <c r="BM796" s="95"/>
    </row>
    <row r="797" spans="1:65">
      <c r="A797" s="61">
        <f t="shared" si="150"/>
        <v>0</v>
      </c>
      <c r="B797" s="62"/>
      <c r="C797" s="62"/>
      <c r="D797" s="63"/>
      <c r="E797" s="64"/>
      <c r="F797" s="64"/>
      <c r="G797" s="65"/>
      <c r="H797" s="66" t="str">
        <f t="shared" si="151"/>
        <v/>
      </c>
      <c r="I797" s="67" t="str">
        <f t="shared" si="152"/>
        <v/>
      </c>
      <c r="J797" s="68" t="str">
        <f t="shared" si="153"/>
        <v/>
      </c>
      <c r="K797" s="69" t="str">
        <f t="shared" si="154"/>
        <v/>
      </c>
      <c r="L797" s="70" t="str">
        <f t="shared" si="155"/>
        <v/>
      </c>
      <c r="M797" s="71"/>
      <c r="N797" s="71"/>
      <c r="O797" s="71"/>
      <c r="P797" s="71"/>
      <c r="Q797" s="61"/>
      <c r="R797" s="63"/>
      <c r="S797" s="72"/>
      <c r="T797" s="61"/>
      <c r="U797" s="73"/>
      <c r="V797" s="62"/>
      <c r="W797" s="62"/>
      <c r="X797" s="62"/>
      <c r="Y797" s="93"/>
      <c r="Z797" s="94"/>
      <c r="AA797" s="74"/>
      <c r="AB797" s="75"/>
      <c r="AC797" s="75"/>
      <c r="AD797" s="76"/>
      <c r="AE797" s="77"/>
      <c r="AF797" s="75"/>
      <c r="AG797" s="78"/>
      <c r="AH797" s="79"/>
      <c r="AI797" s="74"/>
      <c r="AJ797" s="75"/>
      <c r="AK797" s="75"/>
      <c r="AL797" s="80">
        <f t="shared" si="156"/>
        <v>0</v>
      </c>
      <c r="AM797" s="74"/>
      <c r="AN797" s="74"/>
      <c r="AO797" s="81" t="str">
        <f t="shared" si="157"/>
        <v/>
      </c>
      <c r="AP797" s="82"/>
      <c r="AQ797" s="75"/>
      <c r="AR797" s="75"/>
      <c r="AS797" s="80">
        <f t="shared" si="158"/>
        <v>0</v>
      </c>
      <c r="AT797" s="74"/>
      <c r="AU797" s="75"/>
      <c r="AV797" s="75"/>
      <c r="AW797" s="75"/>
      <c r="AX797" s="80">
        <f t="shared" si="159"/>
        <v>0</v>
      </c>
      <c r="AY797" s="81" t="str">
        <f t="shared" si="160"/>
        <v/>
      </c>
      <c r="AZ797" s="83" t="str">
        <f t="shared" si="161"/>
        <v/>
      </c>
      <c r="BA797" s="80" t="str">
        <f t="shared" si="162"/>
        <v/>
      </c>
      <c r="BB797" s="84">
        <f t="shared" si="163"/>
        <v>0</v>
      </c>
      <c r="BC797" s="85" t="str">
        <f t="shared" si="164"/>
        <v/>
      </c>
      <c r="BD797" s="86" t="str">
        <f t="shared" si="165"/>
        <v/>
      </c>
      <c r="BE797" s="84">
        <f t="shared" si="166"/>
        <v>0</v>
      </c>
      <c r="BF797" s="87" t="str">
        <f t="shared" si="167"/>
        <v/>
      </c>
      <c r="BG797" s="88" t="str">
        <f t="shared" si="168"/>
        <v/>
      </c>
      <c r="BH797" s="89" t="str">
        <f t="shared" si="169"/>
        <v/>
      </c>
      <c r="BI797" s="90" t="str">
        <f t="shared" si="170"/>
        <v/>
      </c>
      <c r="BJ797" s="90" t="str">
        <f t="shared" si="171"/>
        <v/>
      </c>
      <c r="BK797" s="91">
        <f t="shared" si="172"/>
        <v>0</v>
      </c>
      <c r="BL797" s="92">
        <f t="shared" si="173"/>
        <v>0</v>
      </c>
      <c r="BM797" s="95"/>
    </row>
    <row r="798" spans="1:65">
      <c r="A798" s="61">
        <f t="shared" si="150"/>
        <v>0</v>
      </c>
      <c r="B798" s="62"/>
      <c r="C798" s="62"/>
      <c r="D798" s="63"/>
      <c r="E798" s="64"/>
      <c r="F798" s="64"/>
      <c r="G798" s="65"/>
      <c r="H798" s="66" t="str">
        <f t="shared" si="151"/>
        <v/>
      </c>
      <c r="I798" s="67" t="str">
        <f t="shared" si="152"/>
        <v/>
      </c>
      <c r="J798" s="68" t="str">
        <f t="shared" si="153"/>
        <v/>
      </c>
      <c r="K798" s="69" t="str">
        <f t="shared" si="154"/>
        <v/>
      </c>
      <c r="L798" s="70" t="str">
        <f t="shared" si="155"/>
        <v/>
      </c>
      <c r="M798" s="71"/>
      <c r="N798" s="71"/>
      <c r="O798" s="71"/>
      <c r="P798" s="71"/>
      <c r="Q798" s="61"/>
      <c r="R798" s="63"/>
      <c r="S798" s="72"/>
      <c r="T798" s="61"/>
      <c r="U798" s="73"/>
      <c r="V798" s="62"/>
      <c r="W798" s="62"/>
      <c r="X798" s="62"/>
      <c r="Y798" s="93"/>
      <c r="Z798" s="94"/>
      <c r="AA798" s="74"/>
      <c r="AB798" s="75"/>
      <c r="AC798" s="75"/>
      <c r="AD798" s="76"/>
      <c r="AE798" s="77"/>
      <c r="AF798" s="75"/>
      <c r="AG798" s="78"/>
      <c r="AH798" s="79"/>
      <c r="AI798" s="74"/>
      <c r="AJ798" s="75"/>
      <c r="AK798" s="75"/>
      <c r="AL798" s="80">
        <f t="shared" si="156"/>
        <v>0</v>
      </c>
      <c r="AM798" s="74"/>
      <c r="AN798" s="74"/>
      <c r="AO798" s="81" t="str">
        <f t="shared" si="157"/>
        <v/>
      </c>
      <c r="AP798" s="82"/>
      <c r="AQ798" s="75"/>
      <c r="AR798" s="75"/>
      <c r="AS798" s="80">
        <f t="shared" si="158"/>
        <v>0</v>
      </c>
      <c r="AT798" s="74"/>
      <c r="AU798" s="75"/>
      <c r="AV798" s="75"/>
      <c r="AW798" s="75"/>
      <c r="AX798" s="80">
        <f t="shared" si="159"/>
        <v>0</v>
      </c>
      <c r="AY798" s="81" t="str">
        <f t="shared" si="160"/>
        <v/>
      </c>
      <c r="AZ798" s="83" t="str">
        <f t="shared" si="161"/>
        <v/>
      </c>
      <c r="BA798" s="80" t="str">
        <f t="shared" si="162"/>
        <v/>
      </c>
      <c r="BB798" s="84">
        <f t="shared" si="163"/>
        <v>0</v>
      </c>
      <c r="BC798" s="85" t="str">
        <f t="shared" si="164"/>
        <v/>
      </c>
      <c r="BD798" s="86" t="str">
        <f t="shared" si="165"/>
        <v/>
      </c>
      <c r="BE798" s="84">
        <f t="shared" si="166"/>
        <v>0</v>
      </c>
      <c r="BF798" s="87" t="str">
        <f t="shared" si="167"/>
        <v/>
      </c>
      <c r="BG798" s="88" t="str">
        <f t="shared" si="168"/>
        <v/>
      </c>
      <c r="BH798" s="89" t="str">
        <f t="shared" si="169"/>
        <v/>
      </c>
      <c r="BI798" s="90" t="str">
        <f t="shared" si="170"/>
        <v/>
      </c>
      <c r="BJ798" s="90" t="str">
        <f t="shared" si="171"/>
        <v/>
      </c>
      <c r="BK798" s="91">
        <f t="shared" si="172"/>
        <v>0</v>
      </c>
      <c r="BL798" s="92">
        <f t="shared" si="173"/>
        <v>0</v>
      </c>
      <c r="BM798" s="95"/>
    </row>
    <row r="799" spans="1:65">
      <c r="A799" s="61">
        <f t="shared" si="150"/>
        <v>0</v>
      </c>
      <c r="B799" s="62"/>
      <c r="C799" s="62"/>
      <c r="D799" s="63"/>
      <c r="E799" s="64"/>
      <c r="F799" s="64"/>
      <c r="G799" s="65"/>
      <c r="H799" s="66" t="str">
        <f t="shared" si="151"/>
        <v/>
      </c>
      <c r="I799" s="67" t="str">
        <f t="shared" si="152"/>
        <v/>
      </c>
      <c r="J799" s="68" t="str">
        <f t="shared" si="153"/>
        <v/>
      </c>
      <c r="K799" s="69" t="str">
        <f t="shared" si="154"/>
        <v/>
      </c>
      <c r="L799" s="70" t="str">
        <f t="shared" si="155"/>
        <v/>
      </c>
      <c r="M799" s="71"/>
      <c r="N799" s="71"/>
      <c r="O799" s="71"/>
      <c r="P799" s="71"/>
      <c r="Q799" s="61"/>
      <c r="R799" s="63"/>
      <c r="S799" s="72"/>
      <c r="T799" s="61"/>
      <c r="U799" s="73"/>
      <c r="V799" s="62"/>
      <c r="W799" s="62"/>
      <c r="X799" s="62"/>
      <c r="Y799" s="93"/>
      <c r="Z799" s="94"/>
      <c r="AA799" s="74"/>
      <c r="AB799" s="75"/>
      <c r="AC799" s="75"/>
      <c r="AD799" s="76"/>
      <c r="AE799" s="77"/>
      <c r="AF799" s="75"/>
      <c r="AG799" s="78"/>
      <c r="AH799" s="79"/>
      <c r="AI799" s="74"/>
      <c r="AJ799" s="75"/>
      <c r="AK799" s="75"/>
      <c r="AL799" s="80">
        <f t="shared" si="156"/>
        <v>0</v>
      </c>
      <c r="AM799" s="74"/>
      <c r="AN799" s="74"/>
      <c r="AO799" s="81" t="str">
        <f t="shared" si="157"/>
        <v/>
      </c>
      <c r="AP799" s="82"/>
      <c r="AQ799" s="75"/>
      <c r="AR799" s="75"/>
      <c r="AS799" s="80">
        <f t="shared" si="158"/>
        <v>0</v>
      </c>
      <c r="AT799" s="74"/>
      <c r="AU799" s="75"/>
      <c r="AV799" s="75"/>
      <c r="AW799" s="75"/>
      <c r="AX799" s="80">
        <f t="shared" si="159"/>
        <v>0</v>
      </c>
      <c r="AY799" s="81" t="str">
        <f t="shared" si="160"/>
        <v/>
      </c>
      <c r="AZ799" s="83" t="str">
        <f t="shared" si="161"/>
        <v/>
      </c>
      <c r="BA799" s="80" t="str">
        <f t="shared" si="162"/>
        <v/>
      </c>
      <c r="BB799" s="84">
        <f t="shared" si="163"/>
        <v>0</v>
      </c>
      <c r="BC799" s="85" t="str">
        <f t="shared" si="164"/>
        <v/>
      </c>
      <c r="BD799" s="86" t="str">
        <f t="shared" si="165"/>
        <v/>
      </c>
      <c r="BE799" s="84">
        <f t="shared" si="166"/>
        <v>0</v>
      </c>
      <c r="BF799" s="87" t="str">
        <f t="shared" si="167"/>
        <v/>
      </c>
      <c r="BG799" s="88" t="str">
        <f t="shared" si="168"/>
        <v/>
      </c>
      <c r="BH799" s="89" t="str">
        <f t="shared" si="169"/>
        <v/>
      </c>
      <c r="BI799" s="90" t="str">
        <f t="shared" si="170"/>
        <v/>
      </c>
      <c r="BJ799" s="90" t="str">
        <f t="shared" si="171"/>
        <v/>
      </c>
      <c r="BK799" s="91">
        <f t="shared" si="172"/>
        <v>0</v>
      </c>
      <c r="BL799" s="92">
        <f t="shared" si="173"/>
        <v>0</v>
      </c>
      <c r="BM799" s="95"/>
    </row>
    <row r="800" spans="1:65">
      <c r="A800" s="61">
        <f t="shared" si="150"/>
        <v>0</v>
      </c>
      <c r="B800" s="62"/>
      <c r="C800" s="62"/>
      <c r="D800" s="63"/>
      <c r="E800" s="64"/>
      <c r="F800" s="64"/>
      <c r="G800" s="65"/>
      <c r="H800" s="66" t="str">
        <f t="shared" si="151"/>
        <v/>
      </c>
      <c r="I800" s="67" t="str">
        <f t="shared" si="152"/>
        <v/>
      </c>
      <c r="J800" s="68" t="str">
        <f t="shared" si="153"/>
        <v/>
      </c>
      <c r="K800" s="69" t="str">
        <f t="shared" si="154"/>
        <v/>
      </c>
      <c r="L800" s="70" t="str">
        <f t="shared" si="155"/>
        <v/>
      </c>
      <c r="M800" s="71"/>
      <c r="N800" s="71"/>
      <c r="O800" s="71"/>
      <c r="P800" s="71"/>
      <c r="Q800" s="61"/>
      <c r="R800" s="63"/>
      <c r="S800" s="72"/>
      <c r="T800" s="61"/>
      <c r="U800" s="73"/>
      <c r="V800" s="62"/>
      <c r="W800" s="62"/>
      <c r="X800" s="62"/>
      <c r="Y800" s="93"/>
      <c r="Z800" s="94"/>
      <c r="AA800" s="74"/>
      <c r="AB800" s="75"/>
      <c r="AC800" s="75"/>
      <c r="AD800" s="76"/>
      <c r="AE800" s="77"/>
      <c r="AF800" s="75"/>
      <c r="AG800" s="78"/>
      <c r="AH800" s="79"/>
      <c r="AI800" s="74"/>
      <c r="AJ800" s="75"/>
      <c r="AK800" s="75"/>
      <c r="AL800" s="80">
        <f t="shared" si="156"/>
        <v>0</v>
      </c>
      <c r="AM800" s="74"/>
      <c r="AN800" s="74"/>
      <c r="AO800" s="81" t="str">
        <f t="shared" si="157"/>
        <v/>
      </c>
      <c r="AP800" s="82"/>
      <c r="AQ800" s="75"/>
      <c r="AR800" s="75"/>
      <c r="AS800" s="80">
        <f t="shared" si="158"/>
        <v>0</v>
      </c>
      <c r="AT800" s="74"/>
      <c r="AU800" s="75"/>
      <c r="AV800" s="75"/>
      <c r="AW800" s="75"/>
      <c r="AX800" s="80">
        <f t="shared" si="159"/>
        <v>0</v>
      </c>
      <c r="AY800" s="81" t="str">
        <f t="shared" si="160"/>
        <v/>
      </c>
      <c r="AZ800" s="83" t="str">
        <f t="shared" si="161"/>
        <v/>
      </c>
      <c r="BA800" s="80" t="str">
        <f t="shared" si="162"/>
        <v/>
      </c>
      <c r="BB800" s="84">
        <f t="shared" si="163"/>
        <v>0</v>
      </c>
      <c r="BC800" s="85" t="str">
        <f t="shared" si="164"/>
        <v/>
      </c>
      <c r="BD800" s="86" t="str">
        <f t="shared" si="165"/>
        <v/>
      </c>
      <c r="BE800" s="84">
        <f t="shared" si="166"/>
        <v>0</v>
      </c>
      <c r="BF800" s="87" t="str">
        <f t="shared" si="167"/>
        <v/>
      </c>
      <c r="BG800" s="88" t="str">
        <f t="shared" si="168"/>
        <v/>
      </c>
      <c r="BH800" s="89" t="str">
        <f t="shared" si="169"/>
        <v/>
      </c>
      <c r="BI800" s="90" t="str">
        <f t="shared" si="170"/>
        <v/>
      </c>
      <c r="BJ800" s="90" t="str">
        <f t="shared" si="171"/>
        <v/>
      </c>
      <c r="BK800" s="91">
        <f t="shared" si="172"/>
        <v>0</v>
      </c>
      <c r="BL800" s="92">
        <f t="shared" si="173"/>
        <v>0</v>
      </c>
      <c r="BM800" s="95"/>
    </row>
    <row r="801" spans="1:65">
      <c r="A801" s="61">
        <f t="shared" si="150"/>
        <v>0</v>
      </c>
      <c r="B801" s="62"/>
      <c r="C801" s="62"/>
      <c r="D801" s="63"/>
      <c r="E801" s="64"/>
      <c r="F801" s="64"/>
      <c r="G801" s="65"/>
      <c r="H801" s="66" t="str">
        <f t="shared" si="151"/>
        <v/>
      </c>
      <c r="I801" s="67" t="str">
        <f t="shared" si="152"/>
        <v/>
      </c>
      <c r="J801" s="68" t="str">
        <f t="shared" si="153"/>
        <v/>
      </c>
      <c r="K801" s="69" t="str">
        <f t="shared" si="154"/>
        <v/>
      </c>
      <c r="L801" s="70" t="str">
        <f t="shared" si="155"/>
        <v/>
      </c>
      <c r="M801" s="71"/>
      <c r="N801" s="71"/>
      <c r="O801" s="71"/>
      <c r="P801" s="71"/>
      <c r="Q801" s="61"/>
      <c r="R801" s="63"/>
      <c r="S801" s="72"/>
      <c r="T801" s="61"/>
      <c r="U801" s="73"/>
      <c r="V801" s="62"/>
      <c r="W801" s="62"/>
      <c r="X801" s="62"/>
      <c r="Y801" s="93"/>
      <c r="Z801" s="94"/>
      <c r="AA801" s="74"/>
      <c r="AB801" s="75"/>
      <c r="AC801" s="75"/>
      <c r="AD801" s="76"/>
      <c r="AE801" s="77"/>
      <c r="AF801" s="75"/>
      <c r="AG801" s="78"/>
      <c r="AH801" s="79"/>
      <c r="AI801" s="74"/>
      <c r="AJ801" s="75"/>
      <c r="AK801" s="75"/>
      <c r="AL801" s="80">
        <f t="shared" si="156"/>
        <v>0</v>
      </c>
      <c r="AM801" s="74"/>
      <c r="AN801" s="74"/>
      <c r="AO801" s="81" t="str">
        <f t="shared" si="157"/>
        <v/>
      </c>
      <c r="AP801" s="82"/>
      <c r="AQ801" s="75"/>
      <c r="AR801" s="75"/>
      <c r="AS801" s="80">
        <f t="shared" si="158"/>
        <v>0</v>
      </c>
      <c r="AT801" s="74"/>
      <c r="AU801" s="75"/>
      <c r="AV801" s="75"/>
      <c r="AW801" s="75"/>
      <c r="AX801" s="80">
        <f t="shared" si="159"/>
        <v>0</v>
      </c>
      <c r="AY801" s="81" t="str">
        <f t="shared" si="160"/>
        <v/>
      </c>
      <c r="AZ801" s="83" t="str">
        <f t="shared" si="161"/>
        <v/>
      </c>
      <c r="BA801" s="80" t="str">
        <f t="shared" si="162"/>
        <v/>
      </c>
      <c r="BB801" s="84">
        <f t="shared" si="163"/>
        <v>0</v>
      </c>
      <c r="BC801" s="85" t="str">
        <f t="shared" si="164"/>
        <v/>
      </c>
      <c r="BD801" s="86" t="str">
        <f t="shared" si="165"/>
        <v/>
      </c>
      <c r="BE801" s="84">
        <f t="shared" si="166"/>
        <v>0</v>
      </c>
      <c r="BF801" s="87" t="str">
        <f t="shared" si="167"/>
        <v/>
      </c>
      <c r="BG801" s="88" t="str">
        <f t="shared" si="168"/>
        <v/>
      </c>
      <c r="BH801" s="89" t="str">
        <f t="shared" si="169"/>
        <v/>
      </c>
      <c r="BI801" s="90" t="str">
        <f t="shared" si="170"/>
        <v/>
      </c>
      <c r="BJ801" s="90" t="str">
        <f t="shared" si="171"/>
        <v/>
      </c>
      <c r="BK801" s="91">
        <f t="shared" si="172"/>
        <v>0</v>
      </c>
      <c r="BL801" s="92">
        <f t="shared" si="173"/>
        <v>0</v>
      </c>
      <c r="BM801" s="95"/>
    </row>
    <row r="802" spans="1:65">
      <c r="A802" s="61">
        <f t="shared" ref="A802:A865" si="174">B802</f>
        <v>0</v>
      </c>
      <c r="B802" s="62"/>
      <c r="C802" s="62"/>
      <c r="D802" s="63"/>
      <c r="E802" s="64"/>
      <c r="F802" s="64"/>
      <c r="G802" s="65"/>
      <c r="H802" s="66" t="str">
        <f t="shared" si="151"/>
        <v/>
      </c>
      <c r="I802" s="67" t="str">
        <f t="shared" si="152"/>
        <v/>
      </c>
      <c r="J802" s="68" t="str">
        <f t="shared" si="153"/>
        <v/>
      </c>
      <c r="K802" s="69" t="str">
        <f t="shared" si="154"/>
        <v/>
      </c>
      <c r="L802" s="70" t="str">
        <f t="shared" si="155"/>
        <v/>
      </c>
      <c r="M802" s="71"/>
      <c r="N802" s="71"/>
      <c r="O802" s="71"/>
      <c r="P802" s="71"/>
      <c r="Q802" s="61"/>
      <c r="R802" s="63"/>
      <c r="S802" s="72"/>
      <c r="T802" s="61"/>
      <c r="U802" s="73"/>
      <c r="V802" s="62"/>
      <c r="W802" s="62"/>
      <c r="X802" s="62"/>
      <c r="Y802" s="93"/>
      <c r="Z802" s="94"/>
      <c r="AA802" s="74"/>
      <c r="AB802" s="75"/>
      <c r="AC802" s="75"/>
      <c r="AD802" s="76"/>
      <c r="AE802" s="77"/>
      <c r="AF802" s="75"/>
      <c r="AG802" s="78"/>
      <c r="AH802" s="79"/>
      <c r="AI802" s="74"/>
      <c r="AJ802" s="75"/>
      <c r="AK802" s="75"/>
      <c r="AL802" s="80">
        <f t="shared" si="156"/>
        <v>0</v>
      </c>
      <c r="AM802" s="74"/>
      <c r="AN802" s="74"/>
      <c r="AO802" s="81" t="str">
        <f t="shared" si="157"/>
        <v/>
      </c>
      <c r="AP802" s="82"/>
      <c r="AQ802" s="75"/>
      <c r="AR802" s="75"/>
      <c r="AS802" s="80">
        <f t="shared" si="158"/>
        <v>0</v>
      </c>
      <c r="AT802" s="74"/>
      <c r="AU802" s="75"/>
      <c r="AV802" s="75"/>
      <c r="AW802" s="75"/>
      <c r="AX802" s="80">
        <f t="shared" si="159"/>
        <v>0</v>
      </c>
      <c r="AY802" s="81" t="str">
        <f t="shared" si="160"/>
        <v/>
      </c>
      <c r="AZ802" s="83" t="str">
        <f t="shared" si="161"/>
        <v/>
      </c>
      <c r="BA802" s="80" t="str">
        <f t="shared" si="162"/>
        <v/>
      </c>
      <c r="BB802" s="84">
        <f t="shared" si="163"/>
        <v>0</v>
      </c>
      <c r="BC802" s="85" t="str">
        <f t="shared" si="164"/>
        <v/>
      </c>
      <c r="BD802" s="86" t="str">
        <f t="shared" si="165"/>
        <v/>
      </c>
      <c r="BE802" s="84">
        <f t="shared" si="166"/>
        <v>0</v>
      </c>
      <c r="BF802" s="87" t="str">
        <f t="shared" si="167"/>
        <v/>
      </c>
      <c r="BG802" s="88" t="str">
        <f t="shared" si="168"/>
        <v/>
      </c>
      <c r="BH802" s="89" t="str">
        <f t="shared" si="169"/>
        <v/>
      </c>
      <c r="BI802" s="90" t="str">
        <f t="shared" si="170"/>
        <v/>
      </c>
      <c r="BJ802" s="90" t="str">
        <f t="shared" si="171"/>
        <v/>
      </c>
      <c r="BK802" s="91">
        <f t="shared" si="172"/>
        <v>0</v>
      </c>
      <c r="BL802" s="92">
        <f t="shared" si="173"/>
        <v>0</v>
      </c>
      <c r="BM802" s="95"/>
    </row>
    <row r="803" spans="1:65">
      <c r="A803" s="61">
        <f t="shared" si="174"/>
        <v>0</v>
      </c>
      <c r="B803" s="62"/>
      <c r="C803" s="62"/>
      <c r="D803" s="63"/>
      <c r="E803" s="64"/>
      <c r="F803" s="64"/>
      <c r="G803" s="65"/>
      <c r="H803" s="66" t="str">
        <f t="shared" si="151"/>
        <v/>
      </c>
      <c r="I803" s="67" t="str">
        <f t="shared" si="152"/>
        <v/>
      </c>
      <c r="J803" s="68" t="str">
        <f t="shared" si="153"/>
        <v/>
      </c>
      <c r="K803" s="69" t="str">
        <f t="shared" si="154"/>
        <v/>
      </c>
      <c r="L803" s="70" t="str">
        <f t="shared" si="155"/>
        <v/>
      </c>
      <c r="M803" s="71"/>
      <c r="N803" s="71"/>
      <c r="O803" s="71"/>
      <c r="P803" s="71"/>
      <c r="Q803" s="61"/>
      <c r="R803" s="63"/>
      <c r="S803" s="72"/>
      <c r="T803" s="61"/>
      <c r="U803" s="73"/>
      <c r="V803" s="62"/>
      <c r="W803" s="62"/>
      <c r="X803" s="62"/>
      <c r="Y803" s="93"/>
      <c r="Z803" s="94"/>
      <c r="AA803" s="74"/>
      <c r="AB803" s="75"/>
      <c r="AC803" s="75"/>
      <c r="AD803" s="76"/>
      <c r="AE803" s="77"/>
      <c r="AF803" s="75"/>
      <c r="AG803" s="78"/>
      <c r="AH803" s="79"/>
      <c r="AI803" s="74"/>
      <c r="AJ803" s="75"/>
      <c r="AK803" s="75"/>
      <c r="AL803" s="80">
        <f t="shared" si="156"/>
        <v>0</v>
      </c>
      <c r="AM803" s="74"/>
      <c r="AN803" s="74"/>
      <c r="AO803" s="81" t="str">
        <f t="shared" si="157"/>
        <v/>
      </c>
      <c r="AP803" s="82"/>
      <c r="AQ803" s="75"/>
      <c r="AR803" s="75"/>
      <c r="AS803" s="80">
        <f t="shared" si="158"/>
        <v>0</v>
      </c>
      <c r="AT803" s="74"/>
      <c r="AU803" s="75"/>
      <c r="AV803" s="75"/>
      <c r="AW803" s="75"/>
      <c r="AX803" s="80">
        <f t="shared" si="159"/>
        <v>0</v>
      </c>
      <c r="AY803" s="81" t="str">
        <f t="shared" si="160"/>
        <v/>
      </c>
      <c r="AZ803" s="83" t="str">
        <f t="shared" si="161"/>
        <v/>
      </c>
      <c r="BA803" s="80" t="str">
        <f t="shared" si="162"/>
        <v/>
      </c>
      <c r="BB803" s="84">
        <f t="shared" si="163"/>
        <v>0</v>
      </c>
      <c r="BC803" s="85" t="str">
        <f t="shared" si="164"/>
        <v/>
      </c>
      <c r="BD803" s="86" t="str">
        <f t="shared" si="165"/>
        <v/>
      </c>
      <c r="BE803" s="84">
        <f t="shared" si="166"/>
        <v>0</v>
      </c>
      <c r="BF803" s="87" t="str">
        <f t="shared" si="167"/>
        <v/>
      </c>
      <c r="BG803" s="88" t="str">
        <f t="shared" si="168"/>
        <v/>
      </c>
      <c r="BH803" s="89" t="str">
        <f t="shared" si="169"/>
        <v/>
      </c>
      <c r="BI803" s="90" t="str">
        <f t="shared" si="170"/>
        <v/>
      </c>
      <c r="BJ803" s="90" t="str">
        <f t="shared" si="171"/>
        <v/>
      </c>
      <c r="BK803" s="91">
        <f t="shared" si="172"/>
        <v>0</v>
      </c>
      <c r="BL803" s="92">
        <f t="shared" si="173"/>
        <v>0</v>
      </c>
      <c r="BM803" s="95"/>
    </row>
    <row r="804" spans="1:65">
      <c r="A804" s="61">
        <f t="shared" si="174"/>
        <v>0</v>
      </c>
      <c r="B804" s="62"/>
      <c r="C804" s="62"/>
      <c r="D804" s="63"/>
      <c r="E804" s="64"/>
      <c r="F804" s="64"/>
      <c r="G804" s="65"/>
      <c r="H804" s="66" t="str">
        <f t="shared" si="151"/>
        <v/>
      </c>
      <c r="I804" s="67" t="str">
        <f t="shared" si="152"/>
        <v/>
      </c>
      <c r="J804" s="68" t="str">
        <f t="shared" si="153"/>
        <v/>
      </c>
      <c r="K804" s="69" t="str">
        <f t="shared" si="154"/>
        <v/>
      </c>
      <c r="L804" s="70" t="str">
        <f t="shared" si="155"/>
        <v/>
      </c>
      <c r="M804" s="71"/>
      <c r="N804" s="71"/>
      <c r="O804" s="71"/>
      <c r="P804" s="71"/>
      <c r="Q804" s="61"/>
      <c r="R804" s="63"/>
      <c r="S804" s="72"/>
      <c r="T804" s="61"/>
      <c r="U804" s="73"/>
      <c r="V804" s="62"/>
      <c r="W804" s="62"/>
      <c r="X804" s="62"/>
      <c r="Y804" s="93"/>
      <c r="Z804" s="94"/>
      <c r="AA804" s="74"/>
      <c r="AB804" s="75"/>
      <c r="AC804" s="75"/>
      <c r="AD804" s="76"/>
      <c r="AE804" s="77"/>
      <c r="AF804" s="75"/>
      <c r="AG804" s="78"/>
      <c r="AH804" s="79"/>
      <c r="AI804" s="74"/>
      <c r="AJ804" s="75"/>
      <c r="AK804" s="75"/>
      <c r="AL804" s="80">
        <f t="shared" si="156"/>
        <v>0</v>
      </c>
      <c r="AM804" s="74"/>
      <c r="AN804" s="74"/>
      <c r="AO804" s="81" t="str">
        <f t="shared" si="157"/>
        <v/>
      </c>
      <c r="AP804" s="82"/>
      <c r="AQ804" s="75"/>
      <c r="AR804" s="75"/>
      <c r="AS804" s="80">
        <f t="shared" si="158"/>
        <v>0</v>
      </c>
      <c r="AT804" s="74"/>
      <c r="AU804" s="75"/>
      <c r="AV804" s="75"/>
      <c r="AW804" s="75"/>
      <c r="AX804" s="80">
        <f t="shared" si="159"/>
        <v>0</v>
      </c>
      <c r="AY804" s="81" t="str">
        <f t="shared" si="160"/>
        <v/>
      </c>
      <c r="AZ804" s="83" t="str">
        <f t="shared" si="161"/>
        <v/>
      </c>
      <c r="BA804" s="80" t="str">
        <f t="shared" si="162"/>
        <v/>
      </c>
      <c r="BB804" s="84">
        <f t="shared" si="163"/>
        <v>0</v>
      </c>
      <c r="BC804" s="85" t="str">
        <f t="shared" si="164"/>
        <v/>
      </c>
      <c r="BD804" s="86" t="str">
        <f t="shared" si="165"/>
        <v/>
      </c>
      <c r="BE804" s="84">
        <f t="shared" si="166"/>
        <v>0</v>
      </c>
      <c r="BF804" s="87" t="str">
        <f t="shared" si="167"/>
        <v/>
      </c>
      <c r="BG804" s="88" t="str">
        <f t="shared" si="168"/>
        <v/>
      </c>
      <c r="BH804" s="89" t="str">
        <f t="shared" si="169"/>
        <v/>
      </c>
      <c r="BI804" s="90" t="str">
        <f t="shared" si="170"/>
        <v/>
      </c>
      <c r="BJ804" s="90" t="str">
        <f t="shared" si="171"/>
        <v/>
      </c>
      <c r="BK804" s="91">
        <f t="shared" si="172"/>
        <v>0</v>
      </c>
      <c r="BL804" s="92">
        <f t="shared" si="173"/>
        <v>0</v>
      </c>
      <c r="BM804" s="95"/>
    </row>
    <row r="805" spans="1:65">
      <c r="A805" s="61">
        <f t="shared" si="174"/>
        <v>0</v>
      </c>
      <c r="B805" s="62"/>
      <c r="C805" s="62"/>
      <c r="D805" s="63"/>
      <c r="E805" s="64"/>
      <c r="F805" s="64"/>
      <c r="G805" s="65"/>
      <c r="H805" s="66" t="str">
        <f t="shared" si="151"/>
        <v/>
      </c>
      <c r="I805" s="67" t="str">
        <f t="shared" si="152"/>
        <v/>
      </c>
      <c r="J805" s="68" t="str">
        <f t="shared" si="153"/>
        <v/>
      </c>
      <c r="K805" s="69" t="str">
        <f t="shared" si="154"/>
        <v/>
      </c>
      <c r="L805" s="70" t="str">
        <f t="shared" si="155"/>
        <v/>
      </c>
      <c r="M805" s="71"/>
      <c r="N805" s="71"/>
      <c r="O805" s="71"/>
      <c r="P805" s="71"/>
      <c r="Q805" s="61"/>
      <c r="R805" s="63"/>
      <c r="S805" s="72"/>
      <c r="T805" s="61"/>
      <c r="U805" s="73"/>
      <c r="V805" s="62"/>
      <c r="W805" s="62"/>
      <c r="X805" s="62"/>
      <c r="Y805" s="93"/>
      <c r="Z805" s="94"/>
      <c r="AA805" s="74"/>
      <c r="AB805" s="75"/>
      <c r="AC805" s="75"/>
      <c r="AD805" s="76"/>
      <c r="AE805" s="77"/>
      <c r="AF805" s="75"/>
      <c r="AG805" s="78"/>
      <c r="AH805" s="79"/>
      <c r="AI805" s="74"/>
      <c r="AJ805" s="75"/>
      <c r="AK805" s="75"/>
      <c r="AL805" s="80">
        <f t="shared" si="156"/>
        <v>0</v>
      </c>
      <c r="AM805" s="74"/>
      <c r="AN805" s="74"/>
      <c r="AO805" s="81" t="str">
        <f t="shared" si="157"/>
        <v/>
      </c>
      <c r="AP805" s="82"/>
      <c r="AQ805" s="75"/>
      <c r="AR805" s="75"/>
      <c r="AS805" s="80">
        <f t="shared" si="158"/>
        <v>0</v>
      </c>
      <c r="AT805" s="74"/>
      <c r="AU805" s="75"/>
      <c r="AV805" s="75"/>
      <c r="AW805" s="75"/>
      <c r="AX805" s="80">
        <f t="shared" si="159"/>
        <v>0</v>
      </c>
      <c r="AY805" s="81" t="str">
        <f t="shared" si="160"/>
        <v/>
      </c>
      <c r="AZ805" s="83" t="str">
        <f t="shared" si="161"/>
        <v/>
      </c>
      <c r="BA805" s="80" t="str">
        <f t="shared" si="162"/>
        <v/>
      </c>
      <c r="BB805" s="84">
        <f t="shared" si="163"/>
        <v>0</v>
      </c>
      <c r="BC805" s="85" t="str">
        <f t="shared" si="164"/>
        <v/>
      </c>
      <c r="BD805" s="86" t="str">
        <f t="shared" si="165"/>
        <v/>
      </c>
      <c r="BE805" s="84">
        <f t="shared" si="166"/>
        <v>0</v>
      </c>
      <c r="BF805" s="87" t="str">
        <f t="shared" si="167"/>
        <v/>
      </c>
      <c r="BG805" s="88" t="str">
        <f t="shared" si="168"/>
        <v/>
      </c>
      <c r="BH805" s="89" t="str">
        <f t="shared" si="169"/>
        <v/>
      </c>
      <c r="BI805" s="90" t="str">
        <f t="shared" si="170"/>
        <v/>
      </c>
      <c r="BJ805" s="90" t="str">
        <f t="shared" si="171"/>
        <v/>
      </c>
      <c r="BK805" s="91">
        <f t="shared" si="172"/>
        <v>0</v>
      </c>
      <c r="BL805" s="92">
        <f t="shared" si="173"/>
        <v>0</v>
      </c>
      <c r="BM805" s="95"/>
    </row>
    <row r="806" spans="1:65">
      <c r="A806" s="61">
        <f t="shared" si="174"/>
        <v>0</v>
      </c>
      <c r="B806" s="62"/>
      <c r="C806" s="62"/>
      <c r="D806" s="63"/>
      <c r="E806" s="64"/>
      <c r="F806" s="64"/>
      <c r="G806" s="65"/>
      <c r="H806" s="66" t="str">
        <f t="shared" si="151"/>
        <v/>
      </c>
      <c r="I806" s="67" t="str">
        <f t="shared" si="152"/>
        <v/>
      </c>
      <c r="J806" s="68" t="str">
        <f t="shared" si="153"/>
        <v/>
      </c>
      <c r="K806" s="69" t="str">
        <f t="shared" si="154"/>
        <v/>
      </c>
      <c r="L806" s="70" t="str">
        <f t="shared" si="155"/>
        <v/>
      </c>
      <c r="M806" s="71"/>
      <c r="N806" s="71"/>
      <c r="O806" s="71"/>
      <c r="P806" s="71"/>
      <c r="Q806" s="61"/>
      <c r="R806" s="63"/>
      <c r="S806" s="72"/>
      <c r="T806" s="61"/>
      <c r="U806" s="73"/>
      <c r="V806" s="62"/>
      <c r="W806" s="62"/>
      <c r="X806" s="62"/>
      <c r="Y806" s="93"/>
      <c r="Z806" s="94"/>
      <c r="AA806" s="74"/>
      <c r="AB806" s="75"/>
      <c r="AC806" s="75"/>
      <c r="AD806" s="76"/>
      <c r="AE806" s="77"/>
      <c r="AF806" s="75"/>
      <c r="AG806" s="78"/>
      <c r="AH806" s="79"/>
      <c r="AI806" s="74"/>
      <c r="AJ806" s="75"/>
      <c r="AK806" s="75"/>
      <c r="AL806" s="80">
        <f t="shared" si="156"/>
        <v>0</v>
      </c>
      <c r="AM806" s="74"/>
      <c r="AN806" s="74"/>
      <c r="AO806" s="81" t="str">
        <f t="shared" si="157"/>
        <v/>
      </c>
      <c r="AP806" s="82"/>
      <c r="AQ806" s="75"/>
      <c r="AR806" s="75"/>
      <c r="AS806" s="80">
        <f t="shared" si="158"/>
        <v>0</v>
      </c>
      <c r="AT806" s="74"/>
      <c r="AU806" s="75"/>
      <c r="AV806" s="75"/>
      <c r="AW806" s="75"/>
      <c r="AX806" s="80">
        <f t="shared" si="159"/>
        <v>0</v>
      </c>
      <c r="AY806" s="81" t="str">
        <f t="shared" si="160"/>
        <v/>
      </c>
      <c r="AZ806" s="83" t="str">
        <f t="shared" si="161"/>
        <v/>
      </c>
      <c r="BA806" s="80" t="str">
        <f t="shared" si="162"/>
        <v/>
      </c>
      <c r="BB806" s="84">
        <f t="shared" si="163"/>
        <v>0</v>
      </c>
      <c r="BC806" s="85" t="str">
        <f t="shared" si="164"/>
        <v/>
      </c>
      <c r="BD806" s="86" t="str">
        <f t="shared" si="165"/>
        <v/>
      </c>
      <c r="BE806" s="84">
        <f t="shared" si="166"/>
        <v>0</v>
      </c>
      <c r="BF806" s="87" t="str">
        <f t="shared" si="167"/>
        <v/>
      </c>
      <c r="BG806" s="88" t="str">
        <f t="shared" si="168"/>
        <v/>
      </c>
      <c r="BH806" s="89" t="str">
        <f t="shared" si="169"/>
        <v/>
      </c>
      <c r="BI806" s="90" t="str">
        <f t="shared" si="170"/>
        <v/>
      </c>
      <c r="BJ806" s="90" t="str">
        <f t="shared" si="171"/>
        <v/>
      </c>
      <c r="BK806" s="91">
        <f t="shared" si="172"/>
        <v>0</v>
      </c>
      <c r="BL806" s="92">
        <f t="shared" si="173"/>
        <v>0</v>
      </c>
      <c r="BM806" s="95"/>
    </row>
    <row r="807" spans="1:65">
      <c r="A807" s="61">
        <f t="shared" si="174"/>
        <v>0</v>
      </c>
      <c r="B807" s="62"/>
      <c r="C807" s="62"/>
      <c r="D807" s="63"/>
      <c r="E807" s="64"/>
      <c r="F807" s="64"/>
      <c r="G807" s="65"/>
      <c r="H807" s="66" t="str">
        <f t="shared" si="151"/>
        <v/>
      </c>
      <c r="I807" s="67" t="str">
        <f t="shared" si="152"/>
        <v/>
      </c>
      <c r="J807" s="68" t="str">
        <f t="shared" si="153"/>
        <v/>
      </c>
      <c r="K807" s="69" t="str">
        <f t="shared" si="154"/>
        <v/>
      </c>
      <c r="L807" s="70" t="str">
        <f t="shared" si="155"/>
        <v/>
      </c>
      <c r="M807" s="71"/>
      <c r="N807" s="71"/>
      <c r="O807" s="71"/>
      <c r="P807" s="71"/>
      <c r="Q807" s="61"/>
      <c r="R807" s="63"/>
      <c r="S807" s="72"/>
      <c r="T807" s="61"/>
      <c r="U807" s="73"/>
      <c r="V807" s="62"/>
      <c r="W807" s="62"/>
      <c r="X807" s="62"/>
      <c r="Y807" s="93"/>
      <c r="Z807" s="94"/>
      <c r="AA807" s="74"/>
      <c r="AB807" s="75"/>
      <c r="AC807" s="75"/>
      <c r="AD807" s="76"/>
      <c r="AE807" s="77"/>
      <c r="AF807" s="75"/>
      <c r="AG807" s="78"/>
      <c r="AH807" s="79"/>
      <c r="AI807" s="74"/>
      <c r="AJ807" s="75"/>
      <c r="AK807" s="75"/>
      <c r="AL807" s="80">
        <f t="shared" si="156"/>
        <v>0</v>
      </c>
      <c r="AM807" s="74"/>
      <c r="AN807" s="74"/>
      <c r="AO807" s="81" t="str">
        <f t="shared" si="157"/>
        <v/>
      </c>
      <c r="AP807" s="82"/>
      <c r="AQ807" s="75"/>
      <c r="AR807" s="75"/>
      <c r="AS807" s="80">
        <f t="shared" si="158"/>
        <v>0</v>
      </c>
      <c r="AT807" s="74"/>
      <c r="AU807" s="75"/>
      <c r="AV807" s="75"/>
      <c r="AW807" s="75"/>
      <c r="AX807" s="80">
        <f t="shared" si="159"/>
        <v>0</v>
      </c>
      <c r="AY807" s="81" t="str">
        <f t="shared" si="160"/>
        <v/>
      </c>
      <c r="AZ807" s="83" t="str">
        <f t="shared" si="161"/>
        <v/>
      </c>
      <c r="BA807" s="80" t="str">
        <f t="shared" si="162"/>
        <v/>
      </c>
      <c r="BB807" s="84">
        <f t="shared" si="163"/>
        <v>0</v>
      </c>
      <c r="BC807" s="85" t="str">
        <f t="shared" si="164"/>
        <v/>
      </c>
      <c r="BD807" s="86" t="str">
        <f t="shared" si="165"/>
        <v/>
      </c>
      <c r="BE807" s="84">
        <f t="shared" si="166"/>
        <v>0</v>
      </c>
      <c r="BF807" s="87" t="str">
        <f t="shared" si="167"/>
        <v/>
      </c>
      <c r="BG807" s="88" t="str">
        <f t="shared" si="168"/>
        <v/>
      </c>
      <c r="BH807" s="89" t="str">
        <f t="shared" si="169"/>
        <v/>
      </c>
      <c r="BI807" s="90" t="str">
        <f t="shared" si="170"/>
        <v/>
      </c>
      <c r="BJ807" s="90" t="str">
        <f t="shared" si="171"/>
        <v/>
      </c>
      <c r="BK807" s="91">
        <f t="shared" si="172"/>
        <v>0</v>
      </c>
      <c r="BL807" s="92">
        <f t="shared" si="173"/>
        <v>0</v>
      </c>
      <c r="BM807" s="95"/>
    </row>
    <row r="808" spans="1:65">
      <c r="A808" s="61">
        <f t="shared" si="174"/>
        <v>0</v>
      </c>
      <c r="B808" s="62"/>
      <c r="C808" s="62"/>
      <c r="D808" s="63"/>
      <c r="E808" s="64"/>
      <c r="F808" s="64"/>
      <c r="G808" s="65"/>
      <c r="H808" s="66" t="str">
        <f t="shared" si="151"/>
        <v/>
      </c>
      <c r="I808" s="67" t="str">
        <f t="shared" si="152"/>
        <v/>
      </c>
      <c r="J808" s="68" t="str">
        <f t="shared" si="153"/>
        <v/>
      </c>
      <c r="K808" s="69" t="str">
        <f t="shared" si="154"/>
        <v/>
      </c>
      <c r="L808" s="70" t="str">
        <f t="shared" si="155"/>
        <v/>
      </c>
      <c r="M808" s="71"/>
      <c r="N808" s="71"/>
      <c r="O808" s="71"/>
      <c r="P808" s="71"/>
      <c r="Q808" s="61"/>
      <c r="R808" s="63"/>
      <c r="S808" s="72"/>
      <c r="T808" s="61"/>
      <c r="U808" s="73"/>
      <c r="V808" s="62"/>
      <c r="W808" s="62"/>
      <c r="X808" s="62"/>
      <c r="Y808" s="93"/>
      <c r="Z808" s="94"/>
      <c r="AA808" s="74"/>
      <c r="AB808" s="75"/>
      <c r="AC808" s="75"/>
      <c r="AD808" s="76"/>
      <c r="AE808" s="77"/>
      <c r="AF808" s="75"/>
      <c r="AG808" s="78"/>
      <c r="AH808" s="79"/>
      <c r="AI808" s="74"/>
      <c r="AJ808" s="75"/>
      <c r="AK808" s="75"/>
      <c r="AL808" s="80">
        <f t="shared" si="156"/>
        <v>0</v>
      </c>
      <c r="AM808" s="74"/>
      <c r="AN808" s="74"/>
      <c r="AO808" s="81" t="str">
        <f t="shared" si="157"/>
        <v/>
      </c>
      <c r="AP808" s="82"/>
      <c r="AQ808" s="75"/>
      <c r="AR808" s="75"/>
      <c r="AS808" s="80">
        <f t="shared" si="158"/>
        <v>0</v>
      </c>
      <c r="AT808" s="74"/>
      <c r="AU808" s="75"/>
      <c r="AV808" s="75"/>
      <c r="AW808" s="75"/>
      <c r="AX808" s="80">
        <f t="shared" si="159"/>
        <v>0</v>
      </c>
      <c r="AY808" s="81" t="str">
        <f t="shared" si="160"/>
        <v/>
      </c>
      <c r="AZ808" s="83" t="str">
        <f t="shared" si="161"/>
        <v/>
      </c>
      <c r="BA808" s="80" t="str">
        <f t="shared" si="162"/>
        <v/>
      </c>
      <c r="BB808" s="84">
        <f t="shared" si="163"/>
        <v>0</v>
      </c>
      <c r="BC808" s="85" t="str">
        <f t="shared" si="164"/>
        <v/>
      </c>
      <c r="BD808" s="86" t="str">
        <f t="shared" si="165"/>
        <v/>
      </c>
      <c r="BE808" s="84">
        <f t="shared" si="166"/>
        <v>0</v>
      </c>
      <c r="BF808" s="87" t="str">
        <f t="shared" si="167"/>
        <v/>
      </c>
      <c r="BG808" s="88" t="str">
        <f t="shared" si="168"/>
        <v/>
      </c>
      <c r="BH808" s="89" t="str">
        <f t="shared" si="169"/>
        <v/>
      </c>
      <c r="BI808" s="90" t="str">
        <f t="shared" si="170"/>
        <v/>
      </c>
      <c r="BJ808" s="90" t="str">
        <f t="shared" si="171"/>
        <v/>
      </c>
      <c r="BK808" s="91">
        <f t="shared" si="172"/>
        <v>0</v>
      </c>
      <c r="BL808" s="92">
        <f t="shared" si="173"/>
        <v>0</v>
      </c>
      <c r="BM808" s="95"/>
    </row>
    <row r="809" spans="1:65">
      <c r="A809" s="61">
        <f t="shared" si="174"/>
        <v>0</v>
      </c>
      <c r="B809" s="62"/>
      <c r="C809" s="62"/>
      <c r="D809" s="63"/>
      <c r="E809" s="64"/>
      <c r="F809" s="64"/>
      <c r="G809" s="65"/>
      <c r="H809" s="66" t="str">
        <f t="shared" si="151"/>
        <v/>
      </c>
      <c r="I809" s="67" t="str">
        <f t="shared" si="152"/>
        <v/>
      </c>
      <c r="J809" s="68" t="str">
        <f t="shared" si="153"/>
        <v/>
      </c>
      <c r="K809" s="69" t="str">
        <f t="shared" si="154"/>
        <v/>
      </c>
      <c r="L809" s="70" t="str">
        <f t="shared" si="155"/>
        <v/>
      </c>
      <c r="M809" s="71"/>
      <c r="N809" s="71"/>
      <c r="O809" s="71"/>
      <c r="P809" s="71"/>
      <c r="Q809" s="61"/>
      <c r="R809" s="63"/>
      <c r="S809" s="72"/>
      <c r="T809" s="61"/>
      <c r="U809" s="73"/>
      <c r="V809" s="62"/>
      <c r="W809" s="62"/>
      <c r="X809" s="62"/>
      <c r="Y809" s="93"/>
      <c r="Z809" s="94"/>
      <c r="AA809" s="74"/>
      <c r="AB809" s="75"/>
      <c r="AC809" s="75"/>
      <c r="AD809" s="76"/>
      <c r="AE809" s="77"/>
      <c r="AF809" s="75"/>
      <c r="AG809" s="78"/>
      <c r="AH809" s="79"/>
      <c r="AI809" s="74"/>
      <c r="AJ809" s="75"/>
      <c r="AK809" s="75"/>
      <c r="AL809" s="80">
        <f t="shared" si="156"/>
        <v>0</v>
      </c>
      <c r="AM809" s="74"/>
      <c r="AN809" s="74"/>
      <c r="AO809" s="81" t="str">
        <f t="shared" si="157"/>
        <v/>
      </c>
      <c r="AP809" s="82"/>
      <c r="AQ809" s="75"/>
      <c r="AR809" s="75"/>
      <c r="AS809" s="80">
        <f t="shared" si="158"/>
        <v>0</v>
      </c>
      <c r="AT809" s="74"/>
      <c r="AU809" s="75"/>
      <c r="AV809" s="75"/>
      <c r="AW809" s="75"/>
      <c r="AX809" s="80">
        <f t="shared" si="159"/>
        <v>0</v>
      </c>
      <c r="AY809" s="81" t="str">
        <f t="shared" si="160"/>
        <v/>
      </c>
      <c r="AZ809" s="83" t="str">
        <f t="shared" si="161"/>
        <v/>
      </c>
      <c r="BA809" s="80" t="str">
        <f t="shared" si="162"/>
        <v/>
      </c>
      <c r="BB809" s="84">
        <f t="shared" si="163"/>
        <v>0</v>
      </c>
      <c r="BC809" s="85" t="str">
        <f t="shared" si="164"/>
        <v/>
      </c>
      <c r="BD809" s="86" t="str">
        <f t="shared" si="165"/>
        <v/>
      </c>
      <c r="BE809" s="84">
        <f t="shared" si="166"/>
        <v>0</v>
      </c>
      <c r="BF809" s="87" t="str">
        <f t="shared" si="167"/>
        <v/>
      </c>
      <c r="BG809" s="88" t="str">
        <f t="shared" si="168"/>
        <v/>
      </c>
      <c r="BH809" s="89" t="str">
        <f t="shared" si="169"/>
        <v/>
      </c>
      <c r="BI809" s="90" t="str">
        <f t="shared" si="170"/>
        <v/>
      </c>
      <c r="BJ809" s="90" t="str">
        <f t="shared" si="171"/>
        <v/>
      </c>
      <c r="BK809" s="91">
        <f t="shared" si="172"/>
        <v>0</v>
      </c>
      <c r="BL809" s="92">
        <f t="shared" si="173"/>
        <v>0</v>
      </c>
      <c r="BM809" s="95"/>
    </row>
    <row r="810" spans="1:65">
      <c r="A810" s="61">
        <f t="shared" si="174"/>
        <v>0</v>
      </c>
      <c r="B810" s="62"/>
      <c r="C810" s="62"/>
      <c r="D810" s="63"/>
      <c r="E810" s="64"/>
      <c r="F810" s="64"/>
      <c r="G810" s="65"/>
      <c r="H810" s="66" t="str">
        <f t="shared" si="151"/>
        <v/>
      </c>
      <c r="I810" s="67" t="str">
        <f t="shared" si="152"/>
        <v/>
      </c>
      <c r="J810" s="68" t="str">
        <f t="shared" si="153"/>
        <v/>
      </c>
      <c r="K810" s="69" t="str">
        <f t="shared" si="154"/>
        <v/>
      </c>
      <c r="L810" s="70" t="str">
        <f t="shared" si="155"/>
        <v/>
      </c>
      <c r="M810" s="71"/>
      <c r="N810" s="71"/>
      <c r="O810" s="71"/>
      <c r="P810" s="71"/>
      <c r="Q810" s="61"/>
      <c r="R810" s="63"/>
      <c r="S810" s="72"/>
      <c r="T810" s="61"/>
      <c r="U810" s="73"/>
      <c r="V810" s="62"/>
      <c r="W810" s="62"/>
      <c r="X810" s="62"/>
      <c r="Y810" s="93"/>
      <c r="Z810" s="94"/>
      <c r="AA810" s="74"/>
      <c r="AB810" s="75"/>
      <c r="AC810" s="75"/>
      <c r="AD810" s="76"/>
      <c r="AE810" s="77"/>
      <c r="AF810" s="75"/>
      <c r="AG810" s="78"/>
      <c r="AH810" s="79"/>
      <c r="AI810" s="74"/>
      <c r="AJ810" s="75"/>
      <c r="AK810" s="75"/>
      <c r="AL810" s="80">
        <f t="shared" si="156"/>
        <v>0</v>
      </c>
      <c r="AM810" s="74"/>
      <c r="AN810" s="74"/>
      <c r="AO810" s="81" t="str">
        <f t="shared" si="157"/>
        <v/>
      </c>
      <c r="AP810" s="82"/>
      <c r="AQ810" s="75"/>
      <c r="AR810" s="75"/>
      <c r="AS810" s="80">
        <f t="shared" si="158"/>
        <v>0</v>
      </c>
      <c r="AT810" s="74"/>
      <c r="AU810" s="75"/>
      <c r="AV810" s="75"/>
      <c r="AW810" s="75"/>
      <c r="AX810" s="80">
        <f t="shared" si="159"/>
        <v>0</v>
      </c>
      <c r="AY810" s="81" t="str">
        <f t="shared" si="160"/>
        <v/>
      </c>
      <c r="AZ810" s="83" t="str">
        <f t="shared" si="161"/>
        <v/>
      </c>
      <c r="BA810" s="80" t="str">
        <f t="shared" si="162"/>
        <v/>
      </c>
      <c r="BB810" s="84">
        <f t="shared" si="163"/>
        <v>0</v>
      </c>
      <c r="BC810" s="85" t="str">
        <f t="shared" si="164"/>
        <v/>
      </c>
      <c r="BD810" s="86" t="str">
        <f t="shared" si="165"/>
        <v/>
      </c>
      <c r="BE810" s="84">
        <f t="shared" si="166"/>
        <v>0</v>
      </c>
      <c r="BF810" s="87" t="str">
        <f t="shared" si="167"/>
        <v/>
      </c>
      <c r="BG810" s="88" t="str">
        <f t="shared" si="168"/>
        <v/>
      </c>
      <c r="BH810" s="89" t="str">
        <f t="shared" si="169"/>
        <v/>
      </c>
      <c r="BI810" s="90" t="str">
        <f t="shared" si="170"/>
        <v/>
      </c>
      <c r="BJ810" s="90" t="str">
        <f t="shared" si="171"/>
        <v/>
      </c>
      <c r="BK810" s="91">
        <f t="shared" si="172"/>
        <v>0</v>
      </c>
      <c r="BL810" s="92">
        <f t="shared" si="173"/>
        <v>0</v>
      </c>
      <c r="BM810" s="95"/>
    </row>
    <row r="811" spans="1:65">
      <c r="A811" s="61">
        <f t="shared" si="174"/>
        <v>0</v>
      </c>
      <c r="B811" s="62"/>
      <c r="C811" s="62"/>
      <c r="D811" s="63"/>
      <c r="E811" s="64"/>
      <c r="F811" s="64"/>
      <c r="G811" s="65"/>
      <c r="H811" s="66" t="str">
        <f t="shared" si="151"/>
        <v/>
      </c>
      <c r="I811" s="67" t="str">
        <f t="shared" si="152"/>
        <v/>
      </c>
      <c r="J811" s="68" t="str">
        <f t="shared" si="153"/>
        <v/>
      </c>
      <c r="K811" s="69" t="str">
        <f t="shared" si="154"/>
        <v/>
      </c>
      <c r="L811" s="70" t="str">
        <f t="shared" si="155"/>
        <v/>
      </c>
      <c r="M811" s="71"/>
      <c r="N811" s="71"/>
      <c r="O811" s="71"/>
      <c r="P811" s="71"/>
      <c r="Q811" s="61"/>
      <c r="R811" s="63"/>
      <c r="S811" s="72"/>
      <c r="T811" s="61"/>
      <c r="U811" s="73"/>
      <c r="V811" s="62"/>
      <c r="W811" s="62"/>
      <c r="X811" s="62"/>
      <c r="Y811" s="93"/>
      <c r="Z811" s="94"/>
      <c r="AA811" s="74"/>
      <c r="AB811" s="75"/>
      <c r="AC811" s="75"/>
      <c r="AD811" s="76"/>
      <c r="AE811" s="77"/>
      <c r="AF811" s="75"/>
      <c r="AG811" s="78"/>
      <c r="AH811" s="79"/>
      <c r="AI811" s="74"/>
      <c r="AJ811" s="75"/>
      <c r="AK811" s="75"/>
      <c r="AL811" s="80">
        <f t="shared" si="156"/>
        <v>0</v>
      </c>
      <c r="AM811" s="74"/>
      <c r="AN811" s="74"/>
      <c r="AO811" s="81" t="str">
        <f t="shared" si="157"/>
        <v/>
      </c>
      <c r="AP811" s="82"/>
      <c r="AQ811" s="75"/>
      <c r="AR811" s="75"/>
      <c r="AS811" s="80">
        <f t="shared" si="158"/>
        <v>0</v>
      </c>
      <c r="AT811" s="74"/>
      <c r="AU811" s="75"/>
      <c r="AV811" s="75"/>
      <c r="AW811" s="75"/>
      <c r="AX811" s="80">
        <f t="shared" si="159"/>
        <v>0</v>
      </c>
      <c r="AY811" s="81" t="str">
        <f t="shared" si="160"/>
        <v/>
      </c>
      <c r="AZ811" s="83" t="str">
        <f t="shared" si="161"/>
        <v/>
      </c>
      <c r="BA811" s="80" t="str">
        <f t="shared" si="162"/>
        <v/>
      </c>
      <c r="BB811" s="84">
        <f t="shared" si="163"/>
        <v>0</v>
      </c>
      <c r="BC811" s="85" t="str">
        <f t="shared" si="164"/>
        <v/>
      </c>
      <c r="BD811" s="86" t="str">
        <f t="shared" si="165"/>
        <v/>
      </c>
      <c r="BE811" s="84">
        <f t="shared" si="166"/>
        <v>0</v>
      </c>
      <c r="BF811" s="87" t="str">
        <f t="shared" si="167"/>
        <v/>
      </c>
      <c r="BG811" s="88" t="str">
        <f t="shared" si="168"/>
        <v/>
      </c>
      <c r="BH811" s="89" t="str">
        <f t="shared" si="169"/>
        <v/>
      </c>
      <c r="BI811" s="90" t="str">
        <f t="shared" si="170"/>
        <v/>
      </c>
      <c r="BJ811" s="90" t="str">
        <f t="shared" si="171"/>
        <v/>
      </c>
      <c r="BK811" s="91">
        <f t="shared" si="172"/>
        <v>0</v>
      </c>
      <c r="BL811" s="92">
        <f t="shared" si="173"/>
        <v>0</v>
      </c>
      <c r="BM811" s="95"/>
    </row>
    <row r="812" spans="1:65">
      <c r="A812" s="61">
        <f t="shared" si="174"/>
        <v>0</v>
      </c>
      <c r="B812" s="62"/>
      <c r="C812" s="62"/>
      <c r="D812" s="63"/>
      <c r="E812" s="64"/>
      <c r="F812" s="64"/>
      <c r="G812" s="65"/>
      <c r="H812" s="66" t="str">
        <f t="shared" si="151"/>
        <v/>
      </c>
      <c r="I812" s="67" t="str">
        <f t="shared" si="152"/>
        <v/>
      </c>
      <c r="J812" s="68" t="str">
        <f t="shared" si="153"/>
        <v/>
      </c>
      <c r="K812" s="69" t="str">
        <f t="shared" si="154"/>
        <v/>
      </c>
      <c r="L812" s="70" t="str">
        <f t="shared" si="155"/>
        <v/>
      </c>
      <c r="M812" s="71"/>
      <c r="N812" s="71"/>
      <c r="O812" s="71"/>
      <c r="P812" s="71"/>
      <c r="Q812" s="61"/>
      <c r="R812" s="63"/>
      <c r="S812" s="72"/>
      <c r="T812" s="61"/>
      <c r="U812" s="73"/>
      <c r="V812" s="62"/>
      <c r="W812" s="62"/>
      <c r="X812" s="62"/>
      <c r="Y812" s="93"/>
      <c r="Z812" s="94"/>
      <c r="AA812" s="74"/>
      <c r="AB812" s="75"/>
      <c r="AC812" s="75"/>
      <c r="AD812" s="76"/>
      <c r="AE812" s="77"/>
      <c r="AF812" s="75"/>
      <c r="AG812" s="78"/>
      <c r="AH812" s="79"/>
      <c r="AI812" s="74"/>
      <c r="AJ812" s="75"/>
      <c r="AK812" s="75"/>
      <c r="AL812" s="80">
        <f t="shared" si="156"/>
        <v>0</v>
      </c>
      <c r="AM812" s="74"/>
      <c r="AN812" s="74"/>
      <c r="AO812" s="81" t="str">
        <f t="shared" si="157"/>
        <v/>
      </c>
      <c r="AP812" s="82"/>
      <c r="AQ812" s="75"/>
      <c r="AR812" s="75"/>
      <c r="AS812" s="80">
        <f t="shared" si="158"/>
        <v>0</v>
      </c>
      <c r="AT812" s="74"/>
      <c r="AU812" s="75"/>
      <c r="AV812" s="75"/>
      <c r="AW812" s="75"/>
      <c r="AX812" s="80">
        <f t="shared" si="159"/>
        <v>0</v>
      </c>
      <c r="AY812" s="81" t="str">
        <f t="shared" si="160"/>
        <v/>
      </c>
      <c r="AZ812" s="83" t="str">
        <f t="shared" si="161"/>
        <v/>
      </c>
      <c r="BA812" s="80" t="str">
        <f t="shared" si="162"/>
        <v/>
      </c>
      <c r="BB812" s="84">
        <f t="shared" si="163"/>
        <v>0</v>
      </c>
      <c r="BC812" s="85" t="str">
        <f t="shared" si="164"/>
        <v/>
      </c>
      <c r="BD812" s="86" t="str">
        <f t="shared" si="165"/>
        <v/>
      </c>
      <c r="BE812" s="84">
        <f t="shared" si="166"/>
        <v>0</v>
      </c>
      <c r="BF812" s="87" t="str">
        <f t="shared" si="167"/>
        <v/>
      </c>
      <c r="BG812" s="88" t="str">
        <f t="shared" si="168"/>
        <v/>
      </c>
      <c r="BH812" s="89" t="str">
        <f t="shared" si="169"/>
        <v/>
      </c>
      <c r="BI812" s="90" t="str">
        <f t="shared" si="170"/>
        <v/>
      </c>
      <c r="BJ812" s="90" t="str">
        <f t="shared" si="171"/>
        <v/>
      </c>
      <c r="BK812" s="91">
        <f t="shared" si="172"/>
        <v>0</v>
      </c>
      <c r="BL812" s="92">
        <f t="shared" si="173"/>
        <v>0</v>
      </c>
      <c r="BM812" s="95"/>
    </row>
    <row r="813" spans="1:65">
      <c r="A813" s="61">
        <f t="shared" si="174"/>
        <v>0</v>
      </c>
      <c r="B813" s="62"/>
      <c r="C813" s="62"/>
      <c r="D813" s="63"/>
      <c r="E813" s="64"/>
      <c r="F813" s="64"/>
      <c r="G813" s="65"/>
      <c r="H813" s="66" t="str">
        <f t="shared" si="151"/>
        <v/>
      </c>
      <c r="I813" s="67" t="str">
        <f t="shared" si="152"/>
        <v/>
      </c>
      <c r="J813" s="68" t="str">
        <f t="shared" si="153"/>
        <v/>
      </c>
      <c r="K813" s="69" t="str">
        <f t="shared" si="154"/>
        <v/>
      </c>
      <c r="L813" s="70" t="str">
        <f t="shared" si="155"/>
        <v/>
      </c>
      <c r="M813" s="71"/>
      <c r="N813" s="71"/>
      <c r="O813" s="71"/>
      <c r="P813" s="71"/>
      <c r="Q813" s="61"/>
      <c r="R813" s="63"/>
      <c r="S813" s="72"/>
      <c r="T813" s="61"/>
      <c r="U813" s="73"/>
      <c r="V813" s="62"/>
      <c r="W813" s="62"/>
      <c r="X813" s="62"/>
      <c r="Y813" s="93"/>
      <c r="Z813" s="94"/>
      <c r="AA813" s="74"/>
      <c r="AB813" s="75"/>
      <c r="AC813" s="75"/>
      <c r="AD813" s="76"/>
      <c r="AE813" s="77"/>
      <c r="AF813" s="75"/>
      <c r="AG813" s="78"/>
      <c r="AH813" s="79"/>
      <c r="AI813" s="74"/>
      <c r="AJ813" s="75"/>
      <c r="AK813" s="75"/>
      <c r="AL813" s="80">
        <f t="shared" si="156"/>
        <v>0</v>
      </c>
      <c r="AM813" s="74"/>
      <c r="AN813" s="74"/>
      <c r="AO813" s="81" t="str">
        <f t="shared" si="157"/>
        <v/>
      </c>
      <c r="AP813" s="82"/>
      <c r="AQ813" s="75"/>
      <c r="AR813" s="75"/>
      <c r="AS813" s="80">
        <f t="shared" si="158"/>
        <v>0</v>
      </c>
      <c r="AT813" s="74"/>
      <c r="AU813" s="75"/>
      <c r="AV813" s="75"/>
      <c r="AW813" s="75"/>
      <c r="AX813" s="80">
        <f t="shared" si="159"/>
        <v>0</v>
      </c>
      <c r="AY813" s="81" t="str">
        <f t="shared" si="160"/>
        <v/>
      </c>
      <c r="AZ813" s="83" t="str">
        <f t="shared" si="161"/>
        <v/>
      </c>
      <c r="BA813" s="80" t="str">
        <f t="shared" si="162"/>
        <v/>
      </c>
      <c r="BB813" s="84">
        <f t="shared" si="163"/>
        <v>0</v>
      </c>
      <c r="BC813" s="85" t="str">
        <f t="shared" si="164"/>
        <v/>
      </c>
      <c r="BD813" s="86" t="str">
        <f t="shared" si="165"/>
        <v/>
      </c>
      <c r="BE813" s="84">
        <f t="shared" si="166"/>
        <v>0</v>
      </c>
      <c r="BF813" s="87" t="str">
        <f t="shared" si="167"/>
        <v/>
      </c>
      <c r="BG813" s="88" t="str">
        <f t="shared" si="168"/>
        <v/>
      </c>
      <c r="BH813" s="89" t="str">
        <f t="shared" si="169"/>
        <v/>
      </c>
      <c r="BI813" s="90" t="str">
        <f t="shared" si="170"/>
        <v/>
      </c>
      <c r="BJ813" s="90" t="str">
        <f t="shared" si="171"/>
        <v/>
      </c>
      <c r="BK813" s="91">
        <f t="shared" si="172"/>
        <v>0</v>
      </c>
      <c r="BL813" s="92">
        <f t="shared" si="173"/>
        <v>0</v>
      </c>
      <c r="BM813" s="95"/>
    </row>
    <row r="814" spans="1:65">
      <c r="A814" s="61">
        <f t="shared" si="174"/>
        <v>0</v>
      </c>
      <c r="B814" s="62"/>
      <c r="C814" s="62"/>
      <c r="D814" s="63"/>
      <c r="E814" s="64"/>
      <c r="F814" s="64"/>
      <c r="G814" s="65"/>
      <c r="H814" s="66" t="str">
        <f t="shared" si="151"/>
        <v/>
      </c>
      <c r="I814" s="67" t="str">
        <f t="shared" si="152"/>
        <v/>
      </c>
      <c r="J814" s="68" t="str">
        <f t="shared" si="153"/>
        <v/>
      </c>
      <c r="K814" s="69" t="str">
        <f t="shared" si="154"/>
        <v/>
      </c>
      <c r="L814" s="70" t="str">
        <f t="shared" si="155"/>
        <v/>
      </c>
      <c r="M814" s="71"/>
      <c r="N814" s="71"/>
      <c r="O814" s="71"/>
      <c r="P814" s="71"/>
      <c r="Q814" s="61"/>
      <c r="R814" s="63"/>
      <c r="S814" s="72"/>
      <c r="T814" s="61"/>
      <c r="U814" s="73"/>
      <c r="V814" s="62"/>
      <c r="W814" s="62"/>
      <c r="X814" s="62"/>
      <c r="Y814" s="93"/>
      <c r="Z814" s="94"/>
      <c r="AA814" s="74"/>
      <c r="AB814" s="75"/>
      <c r="AC814" s="75"/>
      <c r="AD814" s="76"/>
      <c r="AE814" s="77"/>
      <c r="AF814" s="75"/>
      <c r="AG814" s="78"/>
      <c r="AH814" s="79"/>
      <c r="AI814" s="74"/>
      <c r="AJ814" s="75"/>
      <c r="AK814" s="75"/>
      <c r="AL814" s="80">
        <f t="shared" si="156"/>
        <v>0</v>
      </c>
      <c r="AM814" s="74"/>
      <c r="AN814" s="74"/>
      <c r="AO814" s="81" t="str">
        <f t="shared" si="157"/>
        <v/>
      </c>
      <c r="AP814" s="82"/>
      <c r="AQ814" s="75"/>
      <c r="AR814" s="75"/>
      <c r="AS814" s="80">
        <f t="shared" si="158"/>
        <v>0</v>
      </c>
      <c r="AT814" s="74"/>
      <c r="AU814" s="75"/>
      <c r="AV814" s="75"/>
      <c r="AW814" s="75"/>
      <c r="AX814" s="80">
        <f t="shared" si="159"/>
        <v>0</v>
      </c>
      <c r="AY814" s="81" t="str">
        <f t="shared" si="160"/>
        <v/>
      </c>
      <c r="AZ814" s="83" t="str">
        <f t="shared" si="161"/>
        <v/>
      </c>
      <c r="BA814" s="80" t="str">
        <f t="shared" si="162"/>
        <v/>
      </c>
      <c r="BB814" s="84">
        <f t="shared" si="163"/>
        <v>0</v>
      </c>
      <c r="BC814" s="85" t="str">
        <f t="shared" si="164"/>
        <v/>
      </c>
      <c r="BD814" s="86" t="str">
        <f t="shared" si="165"/>
        <v/>
      </c>
      <c r="BE814" s="84">
        <f t="shared" si="166"/>
        <v>0</v>
      </c>
      <c r="BF814" s="87" t="str">
        <f t="shared" si="167"/>
        <v/>
      </c>
      <c r="BG814" s="88" t="str">
        <f t="shared" si="168"/>
        <v/>
      </c>
      <c r="BH814" s="89" t="str">
        <f t="shared" si="169"/>
        <v/>
      </c>
      <c r="BI814" s="90" t="str">
        <f t="shared" si="170"/>
        <v/>
      </c>
      <c r="BJ814" s="90" t="str">
        <f t="shared" si="171"/>
        <v/>
      </c>
      <c r="BK814" s="91">
        <f t="shared" si="172"/>
        <v>0</v>
      </c>
      <c r="BL814" s="92">
        <f t="shared" si="173"/>
        <v>0</v>
      </c>
      <c r="BM814" s="95"/>
    </row>
    <row r="815" spans="1:65">
      <c r="A815" s="61">
        <f t="shared" si="174"/>
        <v>0</v>
      </c>
      <c r="B815" s="62"/>
      <c r="C815" s="62"/>
      <c r="D815" s="63"/>
      <c r="E815" s="64"/>
      <c r="F815" s="64"/>
      <c r="G815" s="65"/>
      <c r="H815" s="66" t="str">
        <f t="shared" si="151"/>
        <v/>
      </c>
      <c r="I815" s="67" t="str">
        <f t="shared" si="152"/>
        <v/>
      </c>
      <c r="J815" s="68" t="str">
        <f t="shared" si="153"/>
        <v/>
      </c>
      <c r="K815" s="69" t="str">
        <f t="shared" si="154"/>
        <v/>
      </c>
      <c r="L815" s="70" t="str">
        <f t="shared" si="155"/>
        <v/>
      </c>
      <c r="M815" s="71"/>
      <c r="N815" s="71"/>
      <c r="O815" s="71"/>
      <c r="P815" s="71"/>
      <c r="Q815" s="61"/>
      <c r="R815" s="63"/>
      <c r="S815" s="72"/>
      <c r="T815" s="61"/>
      <c r="U815" s="73"/>
      <c r="V815" s="62"/>
      <c r="W815" s="62"/>
      <c r="X815" s="62"/>
      <c r="Y815" s="93"/>
      <c r="Z815" s="94"/>
      <c r="AA815" s="74"/>
      <c r="AB815" s="75"/>
      <c r="AC815" s="75"/>
      <c r="AD815" s="76"/>
      <c r="AE815" s="77"/>
      <c r="AF815" s="75"/>
      <c r="AG815" s="78"/>
      <c r="AH815" s="79"/>
      <c r="AI815" s="74"/>
      <c r="AJ815" s="75"/>
      <c r="AK815" s="75"/>
      <c r="AL815" s="80">
        <f t="shared" si="156"/>
        <v>0</v>
      </c>
      <c r="AM815" s="74"/>
      <c r="AN815" s="74"/>
      <c r="AO815" s="81" t="str">
        <f t="shared" si="157"/>
        <v/>
      </c>
      <c r="AP815" s="82"/>
      <c r="AQ815" s="75"/>
      <c r="AR815" s="75"/>
      <c r="AS815" s="80">
        <f t="shared" si="158"/>
        <v>0</v>
      </c>
      <c r="AT815" s="74"/>
      <c r="AU815" s="75"/>
      <c r="AV815" s="75"/>
      <c r="AW815" s="75"/>
      <c r="AX815" s="80">
        <f t="shared" si="159"/>
        <v>0</v>
      </c>
      <c r="AY815" s="81" t="str">
        <f t="shared" si="160"/>
        <v/>
      </c>
      <c r="AZ815" s="83" t="str">
        <f t="shared" si="161"/>
        <v/>
      </c>
      <c r="BA815" s="80" t="str">
        <f t="shared" si="162"/>
        <v/>
      </c>
      <c r="BB815" s="84">
        <f t="shared" si="163"/>
        <v>0</v>
      </c>
      <c r="BC815" s="85" t="str">
        <f t="shared" si="164"/>
        <v/>
      </c>
      <c r="BD815" s="86" t="str">
        <f t="shared" si="165"/>
        <v/>
      </c>
      <c r="BE815" s="84">
        <f t="shared" si="166"/>
        <v>0</v>
      </c>
      <c r="BF815" s="87" t="str">
        <f t="shared" si="167"/>
        <v/>
      </c>
      <c r="BG815" s="88" t="str">
        <f t="shared" si="168"/>
        <v/>
      </c>
      <c r="BH815" s="89" t="str">
        <f t="shared" si="169"/>
        <v/>
      </c>
      <c r="BI815" s="90" t="str">
        <f t="shared" si="170"/>
        <v/>
      </c>
      <c r="BJ815" s="90" t="str">
        <f t="shared" si="171"/>
        <v/>
      </c>
      <c r="BK815" s="91">
        <f t="shared" si="172"/>
        <v>0</v>
      </c>
      <c r="BL815" s="92">
        <f t="shared" si="173"/>
        <v>0</v>
      </c>
      <c r="BM815" s="95"/>
    </row>
    <row r="816" spans="1:65">
      <c r="A816" s="61">
        <f t="shared" si="174"/>
        <v>0</v>
      </c>
      <c r="B816" s="62"/>
      <c r="C816" s="62"/>
      <c r="D816" s="63"/>
      <c r="E816" s="64"/>
      <c r="F816" s="64"/>
      <c r="G816" s="65"/>
      <c r="H816" s="66" t="str">
        <f t="shared" si="151"/>
        <v/>
      </c>
      <c r="I816" s="67" t="str">
        <f t="shared" si="152"/>
        <v/>
      </c>
      <c r="J816" s="68" t="str">
        <f t="shared" si="153"/>
        <v/>
      </c>
      <c r="K816" s="69" t="str">
        <f t="shared" si="154"/>
        <v/>
      </c>
      <c r="L816" s="70" t="str">
        <f t="shared" si="155"/>
        <v/>
      </c>
      <c r="M816" s="71"/>
      <c r="N816" s="71"/>
      <c r="O816" s="71"/>
      <c r="P816" s="71"/>
      <c r="Q816" s="61"/>
      <c r="R816" s="63"/>
      <c r="S816" s="72"/>
      <c r="T816" s="61"/>
      <c r="U816" s="73"/>
      <c r="V816" s="62"/>
      <c r="W816" s="62"/>
      <c r="X816" s="62"/>
      <c r="Y816" s="93"/>
      <c r="Z816" s="94"/>
      <c r="AA816" s="74"/>
      <c r="AB816" s="75"/>
      <c r="AC816" s="75"/>
      <c r="AD816" s="76"/>
      <c r="AE816" s="77"/>
      <c r="AF816" s="75"/>
      <c r="AG816" s="78"/>
      <c r="AH816" s="79"/>
      <c r="AI816" s="74"/>
      <c r="AJ816" s="75"/>
      <c r="AK816" s="75"/>
      <c r="AL816" s="80">
        <f t="shared" si="156"/>
        <v>0</v>
      </c>
      <c r="AM816" s="74"/>
      <c r="AN816" s="74"/>
      <c r="AO816" s="81" t="str">
        <f t="shared" si="157"/>
        <v/>
      </c>
      <c r="AP816" s="82"/>
      <c r="AQ816" s="75"/>
      <c r="AR816" s="75"/>
      <c r="AS816" s="80">
        <f t="shared" si="158"/>
        <v>0</v>
      </c>
      <c r="AT816" s="74"/>
      <c r="AU816" s="75"/>
      <c r="AV816" s="75"/>
      <c r="AW816" s="75"/>
      <c r="AX816" s="80">
        <f t="shared" si="159"/>
        <v>0</v>
      </c>
      <c r="AY816" s="81" t="str">
        <f t="shared" si="160"/>
        <v/>
      </c>
      <c r="AZ816" s="83" t="str">
        <f t="shared" si="161"/>
        <v/>
      </c>
      <c r="BA816" s="80" t="str">
        <f t="shared" si="162"/>
        <v/>
      </c>
      <c r="BB816" s="84">
        <f t="shared" si="163"/>
        <v>0</v>
      </c>
      <c r="BC816" s="85" t="str">
        <f t="shared" si="164"/>
        <v/>
      </c>
      <c r="BD816" s="86" t="str">
        <f t="shared" si="165"/>
        <v/>
      </c>
      <c r="BE816" s="84">
        <f t="shared" si="166"/>
        <v>0</v>
      </c>
      <c r="BF816" s="87" t="str">
        <f t="shared" si="167"/>
        <v/>
      </c>
      <c r="BG816" s="88" t="str">
        <f t="shared" si="168"/>
        <v/>
      </c>
      <c r="BH816" s="89" t="str">
        <f t="shared" si="169"/>
        <v/>
      </c>
      <c r="BI816" s="90" t="str">
        <f t="shared" si="170"/>
        <v/>
      </c>
      <c r="BJ816" s="90" t="str">
        <f t="shared" si="171"/>
        <v/>
      </c>
      <c r="BK816" s="91">
        <f t="shared" si="172"/>
        <v>0</v>
      </c>
      <c r="BL816" s="92">
        <f t="shared" si="173"/>
        <v>0</v>
      </c>
      <c r="BM816" s="95"/>
    </row>
    <row r="817" spans="1:65">
      <c r="A817" s="61">
        <f t="shared" si="174"/>
        <v>0</v>
      </c>
      <c r="B817" s="62"/>
      <c r="C817" s="62"/>
      <c r="D817" s="63"/>
      <c r="E817" s="64"/>
      <c r="F817" s="64"/>
      <c r="G817" s="65"/>
      <c r="H817" s="66" t="str">
        <f t="shared" si="151"/>
        <v/>
      </c>
      <c r="I817" s="67" t="str">
        <f t="shared" si="152"/>
        <v/>
      </c>
      <c r="J817" s="68" t="str">
        <f t="shared" si="153"/>
        <v/>
      </c>
      <c r="K817" s="69" t="str">
        <f t="shared" si="154"/>
        <v/>
      </c>
      <c r="L817" s="70" t="str">
        <f t="shared" si="155"/>
        <v/>
      </c>
      <c r="M817" s="71"/>
      <c r="N817" s="71"/>
      <c r="O817" s="71"/>
      <c r="P817" s="71"/>
      <c r="Q817" s="61"/>
      <c r="R817" s="63"/>
      <c r="S817" s="72"/>
      <c r="T817" s="61"/>
      <c r="U817" s="73"/>
      <c r="V817" s="62"/>
      <c r="W817" s="62"/>
      <c r="X817" s="62"/>
      <c r="Y817" s="93"/>
      <c r="Z817" s="94"/>
      <c r="AA817" s="74"/>
      <c r="AB817" s="75"/>
      <c r="AC817" s="75"/>
      <c r="AD817" s="76"/>
      <c r="AE817" s="77"/>
      <c r="AF817" s="75"/>
      <c r="AG817" s="78"/>
      <c r="AH817" s="79"/>
      <c r="AI817" s="74"/>
      <c r="AJ817" s="75"/>
      <c r="AK817" s="75"/>
      <c r="AL817" s="80">
        <f t="shared" si="156"/>
        <v>0</v>
      </c>
      <c r="AM817" s="74"/>
      <c r="AN817" s="74"/>
      <c r="AO817" s="81" t="str">
        <f t="shared" si="157"/>
        <v/>
      </c>
      <c r="AP817" s="82"/>
      <c r="AQ817" s="75"/>
      <c r="AR817" s="75"/>
      <c r="AS817" s="80">
        <f t="shared" si="158"/>
        <v>0</v>
      </c>
      <c r="AT817" s="74"/>
      <c r="AU817" s="75"/>
      <c r="AV817" s="75"/>
      <c r="AW817" s="75"/>
      <c r="AX817" s="80">
        <f t="shared" si="159"/>
        <v>0</v>
      </c>
      <c r="AY817" s="81" t="str">
        <f t="shared" si="160"/>
        <v/>
      </c>
      <c r="AZ817" s="83" t="str">
        <f t="shared" si="161"/>
        <v/>
      </c>
      <c r="BA817" s="80" t="str">
        <f t="shared" si="162"/>
        <v/>
      </c>
      <c r="BB817" s="84">
        <f t="shared" si="163"/>
        <v>0</v>
      </c>
      <c r="BC817" s="85" t="str">
        <f t="shared" si="164"/>
        <v/>
      </c>
      <c r="BD817" s="86" t="str">
        <f t="shared" si="165"/>
        <v/>
      </c>
      <c r="BE817" s="84">
        <f t="shared" si="166"/>
        <v>0</v>
      </c>
      <c r="BF817" s="87" t="str">
        <f t="shared" si="167"/>
        <v/>
      </c>
      <c r="BG817" s="88" t="str">
        <f t="shared" si="168"/>
        <v/>
      </c>
      <c r="BH817" s="89" t="str">
        <f t="shared" si="169"/>
        <v/>
      </c>
      <c r="BI817" s="90" t="str">
        <f t="shared" si="170"/>
        <v/>
      </c>
      <c r="BJ817" s="90" t="str">
        <f t="shared" si="171"/>
        <v/>
      </c>
      <c r="BK817" s="91">
        <f t="shared" si="172"/>
        <v>0</v>
      </c>
      <c r="BL817" s="92">
        <f t="shared" si="173"/>
        <v>0</v>
      </c>
      <c r="BM817" s="95"/>
    </row>
    <row r="818" spans="1:65">
      <c r="A818" s="61">
        <f t="shared" si="174"/>
        <v>0</v>
      </c>
      <c r="B818" s="62"/>
      <c r="C818" s="62"/>
      <c r="D818" s="63"/>
      <c r="E818" s="64"/>
      <c r="F818" s="64"/>
      <c r="G818" s="65"/>
      <c r="H818" s="66" t="str">
        <f t="shared" si="151"/>
        <v/>
      </c>
      <c r="I818" s="67" t="str">
        <f t="shared" si="152"/>
        <v/>
      </c>
      <c r="J818" s="68" t="str">
        <f t="shared" si="153"/>
        <v/>
      </c>
      <c r="K818" s="69" t="str">
        <f t="shared" si="154"/>
        <v/>
      </c>
      <c r="L818" s="70" t="str">
        <f t="shared" si="155"/>
        <v/>
      </c>
      <c r="M818" s="71"/>
      <c r="N818" s="71"/>
      <c r="O818" s="71"/>
      <c r="P818" s="71"/>
      <c r="Q818" s="61"/>
      <c r="R818" s="63"/>
      <c r="S818" s="72"/>
      <c r="T818" s="61"/>
      <c r="U818" s="73"/>
      <c r="V818" s="62"/>
      <c r="W818" s="62"/>
      <c r="X818" s="62"/>
      <c r="Y818" s="93"/>
      <c r="Z818" s="94"/>
      <c r="AA818" s="74"/>
      <c r="AB818" s="75"/>
      <c r="AC818" s="75"/>
      <c r="AD818" s="76"/>
      <c r="AE818" s="77"/>
      <c r="AF818" s="75"/>
      <c r="AG818" s="78"/>
      <c r="AH818" s="79"/>
      <c r="AI818" s="74"/>
      <c r="AJ818" s="75"/>
      <c r="AK818" s="75"/>
      <c r="AL818" s="80">
        <f t="shared" si="156"/>
        <v>0</v>
      </c>
      <c r="AM818" s="74"/>
      <c r="AN818" s="74"/>
      <c r="AO818" s="81" t="str">
        <f t="shared" si="157"/>
        <v/>
      </c>
      <c r="AP818" s="82"/>
      <c r="AQ818" s="75"/>
      <c r="AR818" s="75"/>
      <c r="AS818" s="80">
        <f t="shared" si="158"/>
        <v>0</v>
      </c>
      <c r="AT818" s="74"/>
      <c r="AU818" s="75"/>
      <c r="AV818" s="75"/>
      <c r="AW818" s="75"/>
      <c r="AX818" s="80">
        <f t="shared" si="159"/>
        <v>0</v>
      </c>
      <c r="AY818" s="81" t="str">
        <f t="shared" si="160"/>
        <v/>
      </c>
      <c r="AZ818" s="83" t="str">
        <f t="shared" si="161"/>
        <v/>
      </c>
      <c r="BA818" s="80" t="str">
        <f t="shared" si="162"/>
        <v/>
      </c>
      <c r="BB818" s="84">
        <f t="shared" si="163"/>
        <v>0</v>
      </c>
      <c r="BC818" s="85" t="str">
        <f t="shared" si="164"/>
        <v/>
      </c>
      <c r="BD818" s="86" t="str">
        <f t="shared" si="165"/>
        <v/>
      </c>
      <c r="BE818" s="84">
        <f t="shared" si="166"/>
        <v>0</v>
      </c>
      <c r="BF818" s="87" t="str">
        <f t="shared" si="167"/>
        <v/>
      </c>
      <c r="BG818" s="88" t="str">
        <f t="shared" si="168"/>
        <v/>
      </c>
      <c r="BH818" s="89" t="str">
        <f t="shared" si="169"/>
        <v/>
      </c>
      <c r="BI818" s="90" t="str">
        <f t="shared" si="170"/>
        <v/>
      </c>
      <c r="BJ818" s="90" t="str">
        <f t="shared" si="171"/>
        <v/>
      </c>
      <c r="BK818" s="91">
        <f t="shared" si="172"/>
        <v>0</v>
      </c>
      <c r="BL818" s="92">
        <f t="shared" si="173"/>
        <v>0</v>
      </c>
      <c r="BM818" s="95"/>
    </row>
    <row r="819" spans="1:65">
      <c r="A819" s="61">
        <f t="shared" si="174"/>
        <v>0</v>
      </c>
      <c r="B819" s="62"/>
      <c r="C819" s="62"/>
      <c r="D819" s="63"/>
      <c r="E819" s="64"/>
      <c r="F819" s="64"/>
      <c r="G819" s="65"/>
      <c r="H819" s="66" t="str">
        <f t="shared" si="151"/>
        <v/>
      </c>
      <c r="I819" s="67" t="str">
        <f t="shared" si="152"/>
        <v/>
      </c>
      <c r="J819" s="68" t="str">
        <f t="shared" si="153"/>
        <v/>
      </c>
      <c r="K819" s="69" t="str">
        <f t="shared" si="154"/>
        <v/>
      </c>
      <c r="L819" s="70" t="str">
        <f t="shared" si="155"/>
        <v/>
      </c>
      <c r="M819" s="71"/>
      <c r="N819" s="71"/>
      <c r="O819" s="71"/>
      <c r="P819" s="71"/>
      <c r="Q819" s="61"/>
      <c r="R819" s="63"/>
      <c r="S819" s="72"/>
      <c r="T819" s="61"/>
      <c r="U819" s="73"/>
      <c r="V819" s="62"/>
      <c r="W819" s="62"/>
      <c r="X819" s="62"/>
      <c r="Y819" s="93"/>
      <c r="Z819" s="94"/>
      <c r="AA819" s="74"/>
      <c r="AB819" s="75"/>
      <c r="AC819" s="75"/>
      <c r="AD819" s="76"/>
      <c r="AE819" s="77"/>
      <c r="AF819" s="75"/>
      <c r="AG819" s="78"/>
      <c r="AH819" s="79"/>
      <c r="AI819" s="74"/>
      <c r="AJ819" s="75"/>
      <c r="AK819" s="75"/>
      <c r="AL819" s="80">
        <f t="shared" si="156"/>
        <v>0</v>
      </c>
      <c r="AM819" s="74"/>
      <c r="AN819" s="74"/>
      <c r="AO819" s="81" t="str">
        <f t="shared" si="157"/>
        <v/>
      </c>
      <c r="AP819" s="82"/>
      <c r="AQ819" s="75"/>
      <c r="AR819" s="75"/>
      <c r="AS819" s="80">
        <f t="shared" si="158"/>
        <v>0</v>
      </c>
      <c r="AT819" s="74"/>
      <c r="AU819" s="75"/>
      <c r="AV819" s="75"/>
      <c r="AW819" s="75"/>
      <c r="AX819" s="80">
        <f t="shared" si="159"/>
        <v>0</v>
      </c>
      <c r="AY819" s="81" t="str">
        <f t="shared" si="160"/>
        <v/>
      </c>
      <c r="AZ819" s="83" t="str">
        <f t="shared" si="161"/>
        <v/>
      </c>
      <c r="BA819" s="80" t="str">
        <f t="shared" si="162"/>
        <v/>
      </c>
      <c r="BB819" s="84">
        <f t="shared" si="163"/>
        <v>0</v>
      </c>
      <c r="BC819" s="85" t="str">
        <f t="shared" si="164"/>
        <v/>
      </c>
      <c r="BD819" s="86" t="str">
        <f t="shared" si="165"/>
        <v/>
      </c>
      <c r="BE819" s="84">
        <f t="shared" si="166"/>
        <v>0</v>
      </c>
      <c r="BF819" s="87" t="str">
        <f t="shared" si="167"/>
        <v/>
      </c>
      <c r="BG819" s="88" t="str">
        <f t="shared" si="168"/>
        <v/>
      </c>
      <c r="BH819" s="89" t="str">
        <f t="shared" si="169"/>
        <v/>
      </c>
      <c r="BI819" s="90" t="str">
        <f t="shared" si="170"/>
        <v/>
      </c>
      <c r="BJ819" s="90" t="str">
        <f t="shared" si="171"/>
        <v/>
      </c>
      <c r="BK819" s="91">
        <f t="shared" si="172"/>
        <v>0</v>
      </c>
      <c r="BL819" s="92">
        <f t="shared" si="173"/>
        <v>0</v>
      </c>
      <c r="BM819" s="95"/>
    </row>
    <row r="820" spans="1:65">
      <c r="A820" s="61">
        <f t="shared" si="174"/>
        <v>0</v>
      </c>
      <c r="B820" s="62"/>
      <c r="C820" s="62"/>
      <c r="D820" s="63"/>
      <c r="E820" s="64"/>
      <c r="F820" s="64"/>
      <c r="G820" s="65"/>
      <c r="H820" s="66" t="str">
        <f t="shared" si="151"/>
        <v/>
      </c>
      <c r="I820" s="67" t="str">
        <f t="shared" si="152"/>
        <v/>
      </c>
      <c r="J820" s="68" t="str">
        <f t="shared" si="153"/>
        <v/>
      </c>
      <c r="K820" s="69" t="str">
        <f t="shared" si="154"/>
        <v/>
      </c>
      <c r="L820" s="70" t="str">
        <f t="shared" si="155"/>
        <v/>
      </c>
      <c r="M820" s="71"/>
      <c r="N820" s="71"/>
      <c r="O820" s="71"/>
      <c r="P820" s="71"/>
      <c r="Q820" s="61"/>
      <c r="R820" s="63"/>
      <c r="S820" s="72"/>
      <c r="T820" s="61"/>
      <c r="U820" s="73"/>
      <c r="V820" s="62"/>
      <c r="W820" s="62"/>
      <c r="X820" s="62"/>
      <c r="Y820" s="93"/>
      <c r="Z820" s="94"/>
      <c r="AA820" s="74"/>
      <c r="AB820" s="75"/>
      <c r="AC820" s="75"/>
      <c r="AD820" s="76"/>
      <c r="AE820" s="77"/>
      <c r="AF820" s="75"/>
      <c r="AG820" s="78"/>
      <c r="AH820" s="79"/>
      <c r="AI820" s="74"/>
      <c r="AJ820" s="75"/>
      <c r="AK820" s="75"/>
      <c r="AL820" s="80">
        <f t="shared" si="156"/>
        <v>0</v>
      </c>
      <c r="AM820" s="74"/>
      <c r="AN820" s="74"/>
      <c r="AO820" s="81" t="str">
        <f t="shared" si="157"/>
        <v/>
      </c>
      <c r="AP820" s="82"/>
      <c r="AQ820" s="75"/>
      <c r="AR820" s="75"/>
      <c r="AS820" s="80">
        <f t="shared" si="158"/>
        <v>0</v>
      </c>
      <c r="AT820" s="74"/>
      <c r="AU820" s="75"/>
      <c r="AV820" s="75"/>
      <c r="AW820" s="75"/>
      <c r="AX820" s="80">
        <f t="shared" si="159"/>
        <v>0</v>
      </c>
      <c r="AY820" s="81" t="str">
        <f t="shared" si="160"/>
        <v/>
      </c>
      <c r="AZ820" s="83" t="str">
        <f t="shared" si="161"/>
        <v/>
      </c>
      <c r="BA820" s="80" t="str">
        <f t="shared" si="162"/>
        <v/>
      </c>
      <c r="BB820" s="84">
        <f t="shared" si="163"/>
        <v>0</v>
      </c>
      <c r="BC820" s="85" t="str">
        <f t="shared" si="164"/>
        <v/>
      </c>
      <c r="BD820" s="86" t="str">
        <f t="shared" si="165"/>
        <v/>
      </c>
      <c r="BE820" s="84">
        <f t="shared" si="166"/>
        <v>0</v>
      </c>
      <c r="BF820" s="87" t="str">
        <f t="shared" si="167"/>
        <v/>
      </c>
      <c r="BG820" s="88" t="str">
        <f t="shared" si="168"/>
        <v/>
      </c>
      <c r="BH820" s="89" t="str">
        <f t="shared" si="169"/>
        <v/>
      </c>
      <c r="BI820" s="90" t="str">
        <f t="shared" si="170"/>
        <v/>
      </c>
      <c r="BJ820" s="90" t="str">
        <f t="shared" si="171"/>
        <v/>
      </c>
      <c r="BK820" s="91">
        <f t="shared" si="172"/>
        <v>0</v>
      </c>
      <c r="BL820" s="92">
        <f t="shared" si="173"/>
        <v>0</v>
      </c>
      <c r="BM820" s="95"/>
    </row>
    <row r="821" spans="1:65">
      <c r="A821" s="61">
        <f t="shared" si="174"/>
        <v>0</v>
      </c>
      <c r="B821" s="62"/>
      <c r="C821" s="62"/>
      <c r="D821" s="63"/>
      <c r="E821" s="64"/>
      <c r="F821" s="64"/>
      <c r="G821" s="65"/>
      <c r="H821" s="66" t="str">
        <f t="shared" si="151"/>
        <v/>
      </c>
      <c r="I821" s="67" t="str">
        <f t="shared" si="152"/>
        <v/>
      </c>
      <c r="J821" s="68" t="str">
        <f t="shared" si="153"/>
        <v/>
      </c>
      <c r="K821" s="69" t="str">
        <f t="shared" si="154"/>
        <v/>
      </c>
      <c r="L821" s="70" t="str">
        <f t="shared" si="155"/>
        <v/>
      </c>
      <c r="M821" s="71"/>
      <c r="N821" s="71"/>
      <c r="O821" s="71"/>
      <c r="P821" s="71"/>
      <c r="Q821" s="61"/>
      <c r="R821" s="63"/>
      <c r="S821" s="72"/>
      <c r="T821" s="61"/>
      <c r="U821" s="73"/>
      <c r="V821" s="62"/>
      <c r="W821" s="62"/>
      <c r="X821" s="62"/>
      <c r="Y821" s="93"/>
      <c r="Z821" s="94"/>
      <c r="AA821" s="74"/>
      <c r="AB821" s="75"/>
      <c r="AC821" s="75"/>
      <c r="AD821" s="76"/>
      <c r="AE821" s="77"/>
      <c r="AF821" s="75"/>
      <c r="AG821" s="78"/>
      <c r="AH821" s="79"/>
      <c r="AI821" s="74"/>
      <c r="AJ821" s="75"/>
      <c r="AK821" s="75"/>
      <c r="AL821" s="80">
        <f t="shared" si="156"/>
        <v>0</v>
      </c>
      <c r="AM821" s="74"/>
      <c r="AN821" s="74"/>
      <c r="AO821" s="81" t="str">
        <f t="shared" si="157"/>
        <v/>
      </c>
      <c r="AP821" s="82"/>
      <c r="AQ821" s="75"/>
      <c r="AR821" s="75"/>
      <c r="AS821" s="80">
        <f t="shared" si="158"/>
        <v>0</v>
      </c>
      <c r="AT821" s="74"/>
      <c r="AU821" s="75"/>
      <c r="AV821" s="75"/>
      <c r="AW821" s="75"/>
      <c r="AX821" s="80">
        <f t="shared" si="159"/>
        <v>0</v>
      </c>
      <c r="AY821" s="81" t="str">
        <f t="shared" si="160"/>
        <v/>
      </c>
      <c r="AZ821" s="83" t="str">
        <f t="shared" si="161"/>
        <v/>
      </c>
      <c r="BA821" s="80" t="str">
        <f t="shared" si="162"/>
        <v/>
      </c>
      <c r="BB821" s="84">
        <f t="shared" si="163"/>
        <v>0</v>
      </c>
      <c r="BC821" s="85" t="str">
        <f t="shared" si="164"/>
        <v/>
      </c>
      <c r="BD821" s="86" t="str">
        <f t="shared" si="165"/>
        <v/>
      </c>
      <c r="BE821" s="84">
        <f t="shared" si="166"/>
        <v>0</v>
      </c>
      <c r="BF821" s="87" t="str">
        <f t="shared" si="167"/>
        <v/>
      </c>
      <c r="BG821" s="88" t="str">
        <f t="shared" si="168"/>
        <v/>
      </c>
      <c r="BH821" s="89" t="str">
        <f t="shared" si="169"/>
        <v/>
      </c>
      <c r="BI821" s="90" t="str">
        <f t="shared" si="170"/>
        <v/>
      </c>
      <c r="BJ821" s="90" t="str">
        <f t="shared" si="171"/>
        <v/>
      </c>
      <c r="BK821" s="91">
        <f t="shared" si="172"/>
        <v>0</v>
      </c>
      <c r="BL821" s="92">
        <f t="shared" si="173"/>
        <v>0</v>
      </c>
      <c r="BM821" s="95"/>
    </row>
    <row r="822" spans="1:65">
      <c r="A822" s="61">
        <f t="shared" si="174"/>
        <v>0</v>
      </c>
      <c r="B822" s="62"/>
      <c r="C822" s="62"/>
      <c r="D822" s="63"/>
      <c r="E822" s="64"/>
      <c r="F822" s="64"/>
      <c r="G822" s="65"/>
      <c r="H822" s="66" t="str">
        <f t="shared" si="151"/>
        <v/>
      </c>
      <c r="I822" s="67" t="str">
        <f t="shared" si="152"/>
        <v/>
      </c>
      <c r="J822" s="68" t="str">
        <f t="shared" si="153"/>
        <v/>
      </c>
      <c r="K822" s="69" t="str">
        <f t="shared" si="154"/>
        <v/>
      </c>
      <c r="L822" s="70" t="str">
        <f t="shared" si="155"/>
        <v/>
      </c>
      <c r="M822" s="71"/>
      <c r="N822" s="71"/>
      <c r="O822" s="71"/>
      <c r="P822" s="71"/>
      <c r="Q822" s="61"/>
      <c r="R822" s="63"/>
      <c r="S822" s="72"/>
      <c r="T822" s="61"/>
      <c r="U822" s="73"/>
      <c r="V822" s="62"/>
      <c r="W822" s="62"/>
      <c r="X822" s="62"/>
      <c r="Y822" s="93"/>
      <c r="Z822" s="94"/>
      <c r="AA822" s="74"/>
      <c r="AB822" s="75"/>
      <c r="AC822" s="75"/>
      <c r="AD822" s="76"/>
      <c r="AE822" s="77"/>
      <c r="AF822" s="75"/>
      <c r="AG822" s="78"/>
      <c r="AH822" s="79"/>
      <c r="AI822" s="74"/>
      <c r="AJ822" s="75"/>
      <c r="AK822" s="75"/>
      <c r="AL822" s="80">
        <f t="shared" si="156"/>
        <v>0</v>
      </c>
      <c r="AM822" s="74"/>
      <c r="AN822" s="74"/>
      <c r="AO822" s="81" t="str">
        <f t="shared" si="157"/>
        <v/>
      </c>
      <c r="AP822" s="82"/>
      <c r="AQ822" s="75"/>
      <c r="AR822" s="75"/>
      <c r="AS822" s="80">
        <f t="shared" si="158"/>
        <v>0</v>
      </c>
      <c r="AT822" s="74"/>
      <c r="AU822" s="75"/>
      <c r="AV822" s="75"/>
      <c r="AW822" s="75"/>
      <c r="AX822" s="80">
        <f t="shared" si="159"/>
        <v>0</v>
      </c>
      <c r="AY822" s="81" t="str">
        <f t="shared" si="160"/>
        <v/>
      </c>
      <c r="AZ822" s="83" t="str">
        <f t="shared" si="161"/>
        <v/>
      </c>
      <c r="BA822" s="80" t="str">
        <f t="shared" si="162"/>
        <v/>
      </c>
      <c r="BB822" s="84">
        <f t="shared" si="163"/>
        <v>0</v>
      </c>
      <c r="BC822" s="85" t="str">
        <f t="shared" si="164"/>
        <v/>
      </c>
      <c r="BD822" s="86" t="str">
        <f t="shared" si="165"/>
        <v/>
      </c>
      <c r="BE822" s="84">
        <f t="shared" si="166"/>
        <v>0</v>
      </c>
      <c r="BF822" s="87" t="str">
        <f t="shared" si="167"/>
        <v/>
      </c>
      <c r="BG822" s="88" t="str">
        <f t="shared" si="168"/>
        <v/>
      </c>
      <c r="BH822" s="89" t="str">
        <f t="shared" si="169"/>
        <v/>
      </c>
      <c r="BI822" s="90" t="str">
        <f t="shared" si="170"/>
        <v/>
      </c>
      <c r="BJ822" s="90" t="str">
        <f t="shared" si="171"/>
        <v/>
      </c>
      <c r="BK822" s="91">
        <f t="shared" si="172"/>
        <v>0</v>
      </c>
      <c r="BL822" s="92">
        <f t="shared" si="173"/>
        <v>0</v>
      </c>
      <c r="BM822" s="95"/>
    </row>
    <row r="823" spans="1:65">
      <c r="A823" s="61">
        <f t="shared" si="174"/>
        <v>0</v>
      </c>
      <c r="B823" s="62"/>
      <c r="C823" s="62"/>
      <c r="D823" s="63"/>
      <c r="E823" s="64"/>
      <c r="F823" s="64"/>
      <c r="G823" s="65"/>
      <c r="H823" s="66" t="str">
        <f t="shared" si="151"/>
        <v/>
      </c>
      <c r="I823" s="67" t="str">
        <f t="shared" si="152"/>
        <v/>
      </c>
      <c r="J823" s="68" t="str">
        <f t="shared" si="153"/>
        <v/>
      </c>
      <c r="K823" s="69" t="str">
        <f t="shared" si="154"/>
        <v/>
      </c>
      <c r="L823" s="70" t="str">
        <f t="shared" si="155"/>
        <v/>
      </c>
      <c r="M823" s="71"/>
      <c r="N823" s="71"/>
      <c r="O823" s="71"/>
      <c r="P823" s="71"/>
      <c r="Q823" s="61"/>
      <c r="R823" s="63"/>
      <c r="S823" s="72"/>
      <c r="T823" s="61"/>
      <c r="U823" s="73"/>
      <c r="V823" s="62"/>
      <c r="W823" s="62"/>
      <c r="X823" s="62"/>
      <c r="Y823" s="93"/>
      <c r="Z823" s="94"/>
      <c r="AA823" s="74"/>
      <c r="AB823" s="75"/>
      <c r="AC823" s="75"/>
      <c r="AD823" s="76"/>
      <c r="AE823" s="77"/>
      <c r="AF823" s="75"/>
      <c r="AG823" s="78"/>
      <c r="AH823" s="79"/>
      <c r="AI823" s="74"/>
      <c r="AJ823" s="75"/>
      <c r="AK823" s="75"/>
      <c r="AL823" s="80">
        <f t="shared" si="156"/>
        <v>0</v>
      </c>
      <c r="AM823" s="74"/>
      <c r="AN823" s="74"/>
      <c r="AO823" s="81" t="str">
        <f t="shared" si="157"/>
        <v/>
      </c>
      <c r="AP823" s="82"/>
      <c r="AQ823" s="75"/>
      <c r="AR823" s="75"/>
      <c r="AS823" s="80">
        <f t="shared" si="158"/>
        <v>0</v>
      </c>
      <c r="AT823" s="74"/>
      <c r="AU823" s="75"/>
      <c r="AV823" s="75"/>
      <c r="AW823" s="75"/>
      <c r="AX823" s="80">
        <f t="shared" si="159"/>
        <v>0</v>
      </c>
      <c r="AY823" s="81" t="str">
        <f t="shared" si="160"/>
        <v/>
      </c>
      <c r="AZ823" s="83" t="str">
        <f t="shared" si="161"/>
        <v/>
      </c>
      <c r="BA823" s="80" t="str">
        <f t="shared" si="162"/>
        <v/>
      </c>
      <c r="BB823" s="84">
        <f t="shared" si="163"/>
        <v>0</v>
      </c>
      <c r="BC823" s="85" t="str">
        <f t="shared" si="164"/>
        <v/>
      </c>
      <c r="BD823" s="86" t="str">
        <f t="shared" si="165"/>
        <v/>
      </c>
      <c r="BE823" s="84">
        <f t="shared" si="166"/>
        <v>0</v>
      </c>
      <c r="BF823" s="87" t="str">
        <f t="shared" si="167"/>
        <v/>
      </c>
      <c r="BG823" s="88" t="str">
        <f t="shared" si="168"/>
        <v/>
      </c>
      <c r="BH823" s="89" t="str">
        <f t="shared" si="169"/>
        <v/>
      </c>
      <c r="BI823" s="90" t="str">
        <f t="shared" si="170"/>
        <v/>
      </c>
      <c r="BJ823" s="90" t="str">
        <f t="shared" si="171"/>
        <v/>
      </c>
      <c r="BK823" s="91">
        <f t="shared" si="172"/>
        <v>0</v>
      </c>
      <c r="BL823" s="92">
        <f t="shared" si="173"/>
        <v>0</v>
      </c>
      <c r="BM823" s="95"/>
    </row>
    <row r="824" spans="1:65">
      <c r="A824" s="61">
        <f t="shared" si="174"/>
        <v>0</v>
      </c>
      <c r="B824" s="62"/>
      <c r="C824" s="62"/>
      <c r="D824" s="63"/>
      <c r="E824" s="64"/>
      <c r="F824" s="64"/>
      <c r="G824" s="65"/>
      <c r="H824" s="66" t="str">
        <f t="shared" si="151"/>
        <v/>
      </c>
      <c r="I824" s="67" t="str">
        <f t="shared" si="152"/>
        <v/>
      </c>
      <c r="J824" s="68" t="str">
        <f t="shared" si="153"/>
        <v/>
      </c>
      <c r="K824" s="69" t="str">
        <f t="shared" si="154"/>
        <v/>
      </c>
      <c r="L824" s="70" t="str">
        <f t="shared" si="155"/>
        <v/>
      </c>
      <c r="M824" s="71"/>
      <c r="N824" s="71"/>
      <c r="O824" s="71"/>
      <c r="P824" s="71"/>
      <c r="Q824" s="61"/>
      <c r="R824" s="63"/>
      <c r="S824" s="72"/>
      <c r="T824" s="61"/>
      <c r="U824" s="73"/>
      <c r="V824" s="62"/>
      <c r="W824" s="62"/>
      <c r="X824" s="62"/>
      <c r="Y824" s="93"/>
      <c r="Z824" s="94"/>
      <c r="AA824" s="74"/>
      <c r="AB824" s="75"/>
      <c r="AC824" s="75"/>
      <c r="AD824" s="76"/>
      <c r="AE824" s="77"/>
      <c r="AF824" s="75"/>
      <c r="AG824" s="78"/>
      <c r="AH824" s="79"/>
      <c r="AI824" s="74"/>
      <c r="AJ824" s="75"/>
      <c r="AK824" s="75"/>
      <c r="AL824" s="80">
        <f t="shared" si="156"/>
        <v>0</v>
      </c>
      <c r="AM824" s="74"/>
      <c r="AN824" s="74"/>
      <c r="AO824" s="81" t="str">
        <f t="shared" si="157"/>
        <v/>
      </c>
      <c r="AP824" s="82"/>
      <c r="AQ824" s="75"/>
      <c r="AR824" s="75"/>
      <c r="AS824" s="80">
        <f t="shared" si="158"/>
        <v>0</v>
      </c>
      <c r="AT824" s="74"/>
      <c r="AU824" s="75"/>
      <c r="AV824" s="75"/>
      <c r="AW824" s="75"/>
      <c r="AX824" s="80">
        <f t="shared" si="159"/>
        <v>0</v>
      </c>
      <c r="AY824" s="81" t="str">
        <f t="shared" si="160"/>
        <v/>
      </c>
      <c r="AZ824" s="83" t="str">
        <f t="shared" si="161"/>
        <v/>
      </c>
      <c r="BA824" s="80" t="str">
        <f t="shared" si="162"/>
        <v/>
      </c>
      <c r="BB824" s="84">
        <f t="shared" si="163"/>
        <v>0</v>
      </c>
      <c r="BC824" s="85" t="str">
        <f t="shared" si="164"/>
        <v/>
      </c>
      <c r="BD824" s="86" t="str">
        <f t="shared" si="165"/>
        <v/>
      </c>
      <c r="BE824" s="84">
        <f t="shared" si="166"/>
        <v>0</v>
      </c>
      <c r="BF824" s="87" t="str">
        <f t="shared" si="167"/>
        <v/>
      </c>
      <c r="BG824" s="88" t="str">
        <f t="shared" si="168"/>
        <v/>
      </c>
      <c r="BH824" s="89" t="str">
        <f t="shared" si="169"/>
        <v/>
      </c>
      <c r="BI824" s="90" t="str">
        <f t="shared" si="170"/>
        <v/>
      </c>
      <c r="BJ824" s="90" t="str">
        <f t="shared" si="171"/>
        <v/>
      </c>
      <c r="BK824" s="91">
        <f t="shared" si="172"/>
        <v>0</v>
      </c>
      <c r="BL824" s="92">
        <f t="shared" si="173"/>
        <v>0</v>
      </c>
      <c r="BM824" s="95"/>
    </row>
    <row r="825" spans="1:65">
      <c r="A825" s="61">
        <f t="shared" si="174"/>
        <v>0</v>
      </c>
      <c r="B825" s="62"/>
      <c r="C825" s="62"/>
      <c r="D825" s="63"/>
      <c r="E825" s="64"/>
      <c r="F825" s="64"/>
      <c r="G825" s="65"/>
      <c r="H825" s="66" t="str">
        <f t="shared" si="151"/>
        <v/>
      </c>
      <c r="I825" s="67" t="str">
        <f t="shared" si="152"/>
        <v/>
      </c>
      <c r="J825" s="68" t="str">
        <f t="shared" si="153"/>
        <v/>
      </c>
      <c r="K825" s="69" t="str">
        <f t="shared" si="154"/>
        <v/>
      </c>
      <c r="L825" s="70" t="str">
        <f t="shared" si="155"/>
        <v/>
      </c>
      <c r="M825" s="71"/>
      <c r="N825" s="71"/>
      <c r="O825" s="71"/>
      <c r="P825" s="71"/>
      <c r="Q825" s="61"/>
      <c r="R825" s="63"/>
      <c r="S825" s="72"/>
      <c r="T825" s="61"/>
      <c r="U825" s="73"/>
      <c r="V825" s="62"/>
      <c r="W825" s="62"/>
      <c r="X825" s="62"/>
      <c r="Y825" s="93"/>
      <c r="Z825" s="94"/>
      <c r="AA825" s="74"/>
      <c r="AB825" s="75"/>
      <c r="AC825" s="75"/>
      <c r="AD825" s="76"/>
      <c r="AE825" s="77"/>
      <c r="AF825" s="75"/>
      <c r="AG825" s="78"/>
      <c r="AH825" s="79"/>
      <c r="AI825" s="74"/>
      <c r="AJ825" s="75"/>
      <c r="AK825" s="75"/>
      <c r="AL825" s="80">
        <f t="shared" si="156"/>
        <v>0</v>
      </c>
      <c r="AM825" s="74"/>
      <c r="AN825" s="74"/>
      <c r="AO825" s="81" t="str">
        <f t="shared" si="157"/>
        <v/>
      </c>
      <c r="AP825" s="82"/>
      <c r="AQ825" s="75"/>
      <c r="AR825" s="75"/>
      <c r="AS825" s="80">
        <f t="shared" si="158"/>
        <v>0</v>
      </c>
      <c r="AT825" s="74"/>
      <c r="AU825" s="75"/>
      <c r="AV825" s="75"/>
      <c r="AW825" s="75"/>
      <c r="AX825" s="80">
        <f t="shared" si="159"/>
        <v>0</v>
      </c>
      <c r="AY825" s="81" t="str">
        <f t="shared" si="160"/>
        <v/>
      </c>
      <c r="AZ825" s="83" t="str">
        <f t="shared" si="161"/>
        <v/>
      </c>
      <c r="BA825" s="80" t="str">
        <f t="shared" si="162"/>
        <v/>
      </c>
      <c r="BB825" s="84">
        <f t="shared" si="163"/>
        <v>0</v>
      </c>
      <c r="BC825" s="85" t="str">
        <f t="shared" si="164"/>
        <v/>
      </c>
      <c r="BD825" s="86" t="str">
        <f t="shared" si="165"/>
        <v/>
      </c>
      <c r="BE825" s="84">
        <f t="shared" si="166"/>
        <v>0</v>
      </c>
      <c r="BF825" s="87" t="str">
        <f t="shared" si="167"/>
        <v/>
      </c>
      <c r="BG825" s="88" t="str">
        <f t="shared" si="168"/>
        <v/>
      </c>
      <c r="BH825" s="89" t="str">
        <f t="shared" si="169"/>
        <v/>
      </c>
      <c r="BI825" s="90" t="str">
        <f t="shared" si="170"/>
        <v/>
      </c>
      <c r="BJ825" s="90" t="str">
        <f t="shared" si="171"/>
        <v/>
      </c>
      <c r="BK825" s="91">
        <f t="shared" si="172"/>
        <v>0</v>
      </c>
      <c r="BL825" s="92">
        <f t="shared" si="173"/>
        <v>0</v>
      </c>
      <c r="BM825" s="95"/>
    </row>
    <row r="826" spans="1:65">
      <c r="A826" s="61">
        <f t="shared" si="174"/>
        <v>0</v>
      </c>
      <c r="B826" s="62"/>
      <c r="C826" s="62"/>
      <c r="D826" s="63"/>
      <c r="E826" s="64"/>
      <c r="F826" s="64"/>
      <c r="G826" s="65"/>
      <c r="H826" s="66" t="str">
        <f t="shared" si="151"/>
        <v/>
      </c>
      <c r="I826" s="67" t="str">
        <f t="shared" si="152"/>
        <v/>
      </c>
      <c r="J826" s="68" t="str">
        <f t="shared" si="153"/>
        <v/>
      </c>
      <c r="K826" s="69" t="str">
        <f t="shared" si="154"/>
        <v/>
      </c>
      <c r="L826" s="70" t="str">
        <f t="shared" si="155"/>
        <v/>
      </c>
      <c r="M826" s="71"/>
      <c r="N826" s="71"/>
      <c r="O826" s="71"/>
      <c r="P826" s="71"/>
      <c r="Q826" s="61"/>
      <c r="R826" s="63"/>
      <c r="S826" s="72"/>
      <c r="T826" s="61"/>
      <c r="U826" s="73"/>
      <c r="V826" s="62"/>
      <c r="W826" s="62"/>
      <c r="X826" s="62"/>
      <c r="Y826" s="93"/>
      <c r="Z826" s="94"/>
      <c r="AA826" s="74"/>
      <c r="AB826" s="75"/>
      <c r="AC826" s="75"/>
      <c r="AD826" s="76"/>
      <c r="AE826" s="77"/>
      <c r="AF826" s="75"/>
      <c r="AG826" s="78"/>
      <c r="AH826" s="79"/>
      <c r="AI826" s="74"/>
      <c r="AJ826" s="75"/>
      <c r="AK826" s="75"/>
      <c r="AL826" s="80">
        <f t="shared" si="156"/>
        <v>0</v>
      </c>
      <c r="AM826" s="74"/>
      <c r="AN826" s="74"/>
      <c r="AO826" s="81" t="str">
        <f t="shared" si="157"/>
        <v/>
      </c>
      <c r="AP826" s="82"/>
      <c r="AQ826" s="75"/>
      <c r="AR826" s="75"/>
      <c r="AS826" s="80">
        <f t="shared" si="158"/>
        <v>0</v>
      </c>
      <c r="AT826" s="74"/>
      <c r="AU826" s="75"/>
      <c r="AV826" s="75"/>
      <c r="AW826" s="75"/>
      <c r="AX826" s="80">
        <f t="shared" si="159"/>
        <v>0</v>
      </c>
      <c r="AY826" s="81" t="str">
        <f t="shared" si="160"/>
        <v/>
      </c>
      <c r="AZ826" s="83" t="str">
        <f t="shared" si="161"/>
        <v/>
      </c>
      <c r="BA826" s="80" t="str">
        <f t="shared" si="162"/>
        <v/>
      </c>
      <c r="BB826" s="84">
        <f t="shared" si="163"/>
        <v>0</v>
      </c>
      <c r="BC826" s="85" t="str">
        <f t="shared" si="164"/>
        <v/>
      </c>
      <c r="BD826" s="86" t="str">
        <f t="shared" si="165"/>
        <v/>
      </c>
      <c r="BE826" s="84">
        <f t="shared" si="166"/>
        <v>0</v>
      </c>
      <c r="BF826" s="87" t="str">
        <f t="shared" si="167"/>
        <v/>
      </c>
      <c r="BG826" s="88" t="str">
        <f t="shared" si="168"/>
        <v/>
      </c>
      <c r="BH826" s="89" t="str">
        <f t="shared" si="169"/>
        <v/>
      </c>
      <c r="BI826" s="90" t="str">
        <f t="shared" si="170"/>
        <v/>
      </c>
      <c r="BJ826" s="90" t="str">
        <f t="shared" si="171"/>
        <v/>
      </c>
      <c r="BK826" s="91">
        <f t="shared" si="172"/>
        <v>0</v>
      </c>
      <c r="BL826" s="92">
        <f t="shared" si="173"/>
        <v>0</v>
      </c>
      <c r="BM826" s="95"/>
    </row>
    <row r="827" spans="1:65">
      <c r="A827" s="61">
        <f t="shared" si="174"/>
        <v>0</v>
      </c>
      <c r="B827" s="62"/>
      <c r="C827" s="62"/>
      <c r="D827" s="63"/>
      <c r="E827" s="64"/>
      <c r="F827" s="64"/>
      <c r="G827" s="65"/>
      <c r="H827" s="66" t="str">
        <f t="shared" si="151"/>
        <v/>
      </c>
      <c r="I827" s="67" t="str">
        <f t="shared" si="152"/>
        <v/>
      </c>
      <c r="J827" s="68" t="str">
        <f t="shared" si="153"/>
        <v/>
      </c>
      <c r="K827" s="69" t="str">
        <f t="shared" si="154"/>
        <v/>
      </c>
      <c r="L827" s="70" t="str">
        <f t="shared" si="155"/>
        <v/>
      </c>
      <c r="M827" s="71"/>
      <c r="N827" s="71"/>
      <c r="O827" s="71"/>
      <c r="P827" s="71"/>
      <c r="Q827" s="61"/>
      <c r="R827" s="63"/>
      <c r="S827" s="72"/>
      <c r="T827" s="61"/>
      <c r="U827" s="73"/>
      <c r="V827" s="62"/>
      <c r="W827" s="62"/>
      <c r="X827" s="62"/>
      <c r="Y827" s="93"/>
      <c r="Z827" s="94"/>
      <c r="AA827" s="74"/>
      <c r="AB827" s="75"/>
      <c r="AC827" s="75"/>
      <c r="AD827" s="76"/>
      <c r="AE827" s="77"/>
      <c r="AF827" s="75"/>
      <c r="AG827" s="78"/>
      <c r="AH827" s="79"/>
      <c r="AI827" s="74"/>
      <c r="AJ827" s="75"/>
      <c r="AK827" s="75"/>
      <c r="AL827" s="80">
        <f t="shared" si="156"/>
        <v>0</v>
      </c>
      <c r="AM827" s="74"/>
      <c r="AN827" s="74"/>
      <c r="AO827" s="81" t="str">
        <f t="shared" si="157"/>
        <v/>
      </c>
      <c r="AP827" s="82"/>
      <c r="AQ827" s="75"/>
      <c r="AR827" s="75"/>
      <c r="AS827" s="80">
        <f t="shared" si="158"/>
        <v>0</v>
      </c>
      <c r="AT827" s="74"/>
      <c r="AU827" s="75"/>
      <c r="AV827" s="75"/>
      <c r="AW827" s="75"/>
      <c r="AX827" s="80">
        <f t="shared" si="159"/>
        <v>0</v>
      </c>
      <c r="AY827" s="81" t="str">
        <f t="shared" si="160"/>
        <v/>
      </c>
      <c r="AZ827" s="83" t="str">
        <f t="shared" si="161"/>
        <v/>
      </c>
      <c r="BA827" s="80" t="str">
        <f t="shared" si="162"/>
        <v/>
      </c>
      <c r="BB827" s="84">
        <f t="shared" si="163"/>
        <v>0</v>
      </c>
      <c r="BC827" s="85" t="str">
        <f t="shared" si="164"/>
        <v/>
      </c>
      <c r="BD827" s="86" t="str">
        <f t="shared" si="165"/>
        <v/>
      </c>
      <c r="BE827" s="84">
        <f t="shared" si="166"/>
        <v>0</v>
      </c>
      <c r="BF827" s="87" t="str">
        <f t="shared" si="167"/>
        <v/>
      </c>
      <c r="BG827" s="88" t="str">
        <f t="shared" si="168"/>
        <v/>
      </c>
      <c r="BH827" s="89" t="str">
        <f t="shared" si="169"/>
        <v/>
      </c>
      <c r="BI827" s="90" t="str">
        <f t="shared" si="170"/>
        <v/>
      </c>
      <c r="BJ827" s="90" t="str">
        <f t="shared" si="171"/>
        <v/>
      </c>
      <c r="BK827" s="91">
        <f t="shared" si="172"/>
        <v>0</v>
      </c>
      <c r="BL827" s="92">
        <f t="shared" si="173"/>
        <v>0</v>
      </c>
      <c r="BM827" s="95"/>
    </row>
    <row r="828" spans="1:65">
      <c r="A828" s="61">
        <f t="shared" si="174"/>
        <v>0</v>
      </c>
      <c r="B828" s="62"/>
      <c r="C828" s="62"/>
      <c r="D828" s="63"/>
      <c r="E828" s="64"/>
      <c r="F828" s="64"/>
      <c r="G828" s="65"/>
      <c r="H828" s="66" t="str">
        <f t="shared" si="151"/>
        <v/>
      </c>
      <c r="I828" s="67" t="str">
        <f t="shared" si="152"/>
        <v/>
      </c>
      <c r="J828" s="68" t="str">
        <f t="shared" si="153"/>
        <v/>
      </c>
      <c r="K828" s="69" t="str">
        <f t="shared" si="154"/>
        <v/>
      </c>
      <c r="L828" s="70" t="str">
        <f t="shared" si="155"/>
        <v/>
      </c>
      <c r="M828" s="71"/>
      <c r="N828" s="71"/>
      <c r="O828" s="71"/>
      <c r="P828" s="71"/>
      <c r="Q828" s="61"/>
      <c r="R828" s="63"/>
      <c r="S828" s="72"/>
      <c r="T828" s="61"/>
      <c r="U828" s="73"/>
      <c r="V828" s="62"/>
      <c r="W828" s="62"/>
      <c r="X828" s="62"/>
      <c r="Y828" s="93"/>
      <c r="Z828" s="94"/>
      <c r="AA828" s="74"/>
      <c r="AB828" s="75"/>
      <c r="AC828" s="75"/>
      <c r="AD828" s="76"/>
      <c r="AE828" s="77"/>
      <c r="AF828" s="75"/>
      <c r="AG828" s="78"/>
      <c r="AH828" s="79"/>
      <c r="AI828" s="74"/>
      <c r="AJ828" s="75"/>
      <c r="AK828" s="75"/>
      <c r="AL828" s="80">
        <f t="shared" si="156"/>
        <v>0</v>
      </c>
      <c r="AM828" s="74"/>
      <c r="AN828" s="74"/>
      <c r="AO828" s="81" t="str">
        <f t="shared" si="157"/>
        <v/>
      </c>
      <c r="AP828" s="82"/>
      <c r="AQ828" s="75"/>
      <c r="AR828" s="75"/>
      <c r="AS828" s="80">
        <f t="shared" si="158"/>
        <v>0</v>
      </c>
      <c r="AT828" s="74"/>
      <c r="AU828" s="75"/>
      <c r="AV828" s="75"/>
      <c r="AW828" s="75"/>
      <c r="AX828" s="80">
        <f t="shared" si="159"/>
        <v>0</v>
      </c>
      <c r="AY828" s="81" t="str">
        <f t="shared" si="160"/>
        <v/>
      </c>
      <c r="AZ828" s="83" t="str">
        <f t="shared" si="161"/>
        <v/>
      </c>
      <c r="BA828" s="80" t="str">
        <f t="shared" si="162"/>
        <v/>
      </c>
      <c r="BB828" s="84">
        <f t="shared" si="163"/>
        <v>0</v>
      </c>
      <c r="BC828" s="85" t="str">
        <f t="shared" si="164"/>
        <v/>
      </c>
      <c r="BD828" s="86" t="str">
        <f t="shared" si="165"/>
        <v/>
      </c>
      <c r="BE828" s="84">
        <f t="shared" si="166"/>
        <v>0</v>
      </c>
      <c r="BF828" s="87" t="str">
        <f t="shared" si="167"/>
        <v/>
      </c>
      <c r="BG828" s="88" t="str">
        <f t="shared" si="168"/>
        <v/>
      </c>
      <c r="BH828" s="89" t="str">
        <f t="shared" si="169"/>
        <v/>
      </c>
      <c r="BI828" s="90" t="str">
        <f t="shared" si="170"/>
        <v/>
      </c>
      <c r="BJ828" s="90" t="str">
        <f t="shared" si="171"/>
        <v/>
      </c>
      <c r="BK828" s="91">
        <f t="shared" si="172"/>
        <v>0</v>
      </c>
      <c r="BL828" s="92">
        <f t="shared" si="173"/>
        <v>0</v>
      </c>
      <c r="BM828" s="95"/>
    </row>
    <row r="829" spans="1:65">
      <c r="A829" s="61">
        <f t="shared" si="174"/>
        <v>0</v>
      </c>
      <c r="B829" s="62"/>
      <c r="C829" s="62"/>
      <c r="D829" s="63"/>
      <c r="E829" s="64"/>
      <c r="F829" s="64"/>
      <c r="G829" s="65"/>
      <c r="H829" s="66" t="str">
        <f t="shared" si="151"/>
        <v/>
      </c>
      <c r="I829" s="67" t="str">
        <f t="shared" si="152"/>
        <v/>
      </c>
      <c r="J829" s="68" t="str">
        <f t="shared" si="153"/>
        <v/>
      </c>
      <c r="K829" s="69" t="str">
        <f t="shared" si="154"/>
        <v/>
      </c>
      <c r="L829" s="70" t="str">
        <f t="shared" si="155"/>
        <v/>
      </c>
      <c r="M829" s="71"/>
      <c r="N829" s="71"/>
      <c r="O829" s="71"/>
      <c r="P829" s="71"/>
      <c r="Q829" s="61"/>
      <c r="R829" s="63"/>
      <c r="S829" s="72"/>
      <c r="T829" s="61"/>
      <c r="U829" s="73"/>
      <c r="V829" s="62"/>
      <c r="W829" s="62"/>
      <c r="X829" s="62"/>
      <c r="Y829" s="93"/>
      <c r="Z829" s="94"/>
      <c r="AA829" s="74"/>
      <c r="AB829" s="75"/>
      <c r="AC829" s="75"/>
      <c r="AD829" s="76"/>
      <c r="AE829" s="77"/>
      <c r="AF829" s="75"/>
      <c r="AG829" s="78"/>
      <c r="AH829" s="79"/>
      <c r="AI829" s="74"/>
      <c r="AJ829" s="75"/>
      <c r="AK829" s="75"/>
      <c r="AL829" s="80">
        <f t="shared" si="156"/>
        <v>0</v>
      </c>
      <c r="AM829" s="74"/>
      <c r="AN829" s="74"/>
      <c r="AO829" s="81" t="str">
        <f t="shared" si="157"/>
        <v/>
      </c>
      <c r="AP829" s="82"/>
      <c r="AQ829" s="75"/>
      <c r="AR829" s="75"/>
      <c r="AS829" s="80">
        <f t="shared" si="158"/>
        <v>0</v>
      </c>
      <c r="AT829" s="74"/>
      <c r="AU829" s="75"/>
      <c r="AV829" s="75"/>
      <c r="AW829" s="75"/>
      <c r="AX829" s="80">
        <f t="shared" si="159"/>
        <v>0</v>
      </c>
      <c r="AY829" s="81" t="str">
        <f t="shared" si="160"/>
        <v/>
      </c>
      <c r="AZ829" s="83" t="str">
        <f t="shared" si="161"/>
        <v/>
      </c>
      <c r="BA829" s="80" t="str">
        <f t="shared" si="162"/>
        <v/>
      </c>
      <c r="BB829" s="84">
        <f t="shared" si="163"/>
        <v>0</v>
      </c>
      <c r="BC829" s="85" t="str">
        <f t="shared" si="164"/>
        <v/>
      </c>
      <c r="BD829" s="86" t="str">
        <f t="shared" si="165"/>
        <v/>
      </c>
      <c r="BE829" s="84">
        <f t="shared" si="166"/>
        <v>0</v>
      </c>
      <c r="BF829" s="87" t="str">
        <f t="shared" si="167"/>
        <v/>
      </c>
      <c r="BG829" s="88" t="str">
        <f t="shared" si="168"/>
        <v/>
      </c>
      <c r="BH829" s="89" t="str">
        <f t="shared" si="169"/>
        <v/>
      </c>
      <c r="BI829" s="90" t="str">
        <f t="shared" si="170"/>
        <v/>
      </c>
      <c r="BJ829" s="90" t="str">
        <f t="shared" si="171"/>
        <v/>
      </c>
      <c r="BK829" s="91">
        <f t="shared" si="172"/>
        <v>0</v>
      </c>
      <c r="BL829" s="92">
        <f t="shared" si="173"/>
        <v>0</v>
      </c>
      <c r="BM829" s="95"/>
    </row>
    <row r="830" spans="1:65">
      <c r="A830" s="61">
        <f t="shared" si="174"/>
        <v>0</v>
      </c>
      <c r="B830" s="62"/>
      <c r="C830" s="62"/>
      <c r="D830" s="63"/>
      <c r="E830" s="64"/>
      <c r="F830" s="64"/>
      <c r="G830" s="65"/>
      <c r="H830" s="66" t="str">
        <f t="shared" si="151"/>
        <v/>
      </c>
      <c r="I830" s="67" t="str">
        <f t="shared" si="152"/>
        <v/>
      </c>
      <c r="J830" s="68" t="str">
        <f t="shared" si="153"/>
        <v/>
      </c>
      <c r="K830" s="69" t="str">
        <f t="shared" si="154"/>
        <v/>
      </c>
      <c r="L830" s="70" t="str">
        <f t="shared" si="155"/>
        <v/>
      </c>
      <c r="M830" s="71"/>
      <c r="N830" s="71"/>
      <c r="O830" s="71"/>
      <c r="P830" s="71"/>
      <c r="Q830" s="61"/>
      <c r="R830" s="63"/>
      <c r="S830" s="72"/>
      <c r="T830" s="61"/>
      <c r="U830" s="73"/>
      <c r="V830" s="62"/>
      <c r="W830" s="62"/>
      <c r="X830" s="62"/>
      <c r="Y830" s="93"/>
      <c r="Z830" s="94"/>
      <c r="AA830" s="74"/>
      <c r="AB830" s="75"/>
      <c r="AC830" s="75"/>
      <c r="AD830" s="76"/>
      <c r="AE830" s="77"/>
      <c r="AF830" s="75"/>
      <c r="AG830" s="78"/>
      <c r="AH830" s="79"/>
      <c r="AI830" s="74"/>
      <c r="AJ830" s="75"/>
      <c r="AK830" s="75"/>
      <c r="AL830" s="80">
        <f t="shared" si="156"/>
        <v>0</v>
      </c>
      <c r="AM830" s="74"/>
      <c r="AN830" s="74"/>
      <c r="AO830" s="81" t="str">
        <f t="shared" si="157"/>
        <v/>
      </c>
      <c r="AP830" s="82"/>
      <c r="AQ830" s="75"/>
      <c r="AR830" s="75"/>
      <c r="AS830" s="80">
        <f t="shared" si="158"/>
        <v>0</v>
      </c>
      <c r="AT830" s="74"/>
      <c r="AU830" s="75"/>
      <c r="AV830" s="75"/>
      <c r="AW830" s="75"/>
      <c r="AX830" s="80">
        <f t="shared" si="159"/>
        <v>0</v>
      </c>
      <c r="AY830" s="81" t="str">
        <f t="shared" si="160"/>
        <v/>
      </c>
      <c r="AZ830" s="83" t="str">
        <f t="shared" si="161"/>
        <v/>
      </c>
      <c r="BA830" s="80" t="str">
        <f t="shared" si="162"/>
        <v/>
      </c>
      <c r="BB830" s="84">
        <f t="shared" si="163"/>
        <v>0</v>
      </c>
      <c r="BC830" s="85" t="str">
        <f t="shared" si="164"/>
        <v/>
      </c>
      <c r="BD830" s="86" t="str">
        <f t="shared" si="165"/>
        <v/>
      </c>
      <c r="BE830" s="84">
        <f t="shared" si="166"/>
        <v>0</v>
      </c>
      <c r="BF830" s="87" t="str">
        <f t="shared" si="167"/>
        <v/>
      </c>
      <c r="BG830" s="88" t="str">
        <f t="shared" si="168"/>
        <v/>
      </c>
      <c r="BH830" s="89" t="str">
        <f t="shared" si="169"/>
        <v/>
      </c>
      <c r="BI830" s="90" t="str">
        <f t="shared" si="170"/>
        <v/>
      </c>
      <c r="BJ830" s="90" t="str">
        <f t="shared" si="171"/>
        <v/>
      </c>
      <c r="BK830" s="91">
        <f t="shared" si="172"/>
        <v>0</v>
      </c>
      <c r="BL830" s="92">
        <f t="shared" si="173"/>
        <v>0</v>
      </c>
      <c r="BM830" s="95"/>
    </row>
    <row r="831" spans="1:65">
      <c r="A831" s="61">
        <f t="shared" si="174"/>
        <v>0</v>
      </c>
      <c r="B831" s="62"/>
      <c r="C831" s="62"/>
      <c r="D831" s="63"/>
      <c r="E831" s="64"/>
      <c r="F831" s="64"/>
      <c r="G831" s="65"/>
      <c r="H831" s="66" t="str">
        <f t="shared" si="151"/>
        <v/>
      </c>
      <c r="I831" s="67" t="str">
        <f t="shared" si="152"/>
        <v/>
      </c>
      <c r="J831" s="68" t="str">
        <f t="shared" si="153"/>
        <v/>
      </c>
      <c r="K831" s="69" t="str">
        <f t="shared" si="154"/>
        <v/>
      </c>
      <c r="L831" s="70" t="str">
        <f t="shared" si="155"/>
        <v/>
      </c>
      <c r="M831" s="71"/>
      <c r="N831" s="71"/>
      <c r="O831" s="71"/>
      <c r="P831" s="71"/>
      <c r="Q831" s="61"/>
      <c r="R831" s="63"/>
      <c r="S831" s="72"/>
      <c r="T831" s="61"/>
      <c r="U831" s="73"/>
      <c r="V831" s="62"/>
      <c r="W831" s="62"/>
      <c r="X831" s="62"/>
      <c r="Y831" s="93"/>
      <c r="Z831" s="94"/>
      <c r="AA831" s="74"/>
      <c r="AB831" s="75"/>
      <c r="AC831" s="75"/>
      <c r="AD831" s="76"/>
      <c r="AE831" s="77"/>
      <c r="AF831" s="75"/>
      <c r="AG831" s="78"/>
      <c r="AH831" s="79"/>
      <c r="AI831" s="74"/>
      <c r="AJ831" s="75"/>
      <c r="AK831" s="75"/>
      <c r="AL831" s="80">
        <f t="shared" si="156"/>
        <v>0</v>
      </c>
      <c r="AM831" s="74"/>
      <c r="AN831" s="74"/>
      <c r="AO831" s="81" t="str">
        <f t="shared" si="157"/>
        <v/>
      </c>
      <c r="AP831" s="82"/>
      <c r="AQ831" s="75"/>
      <c r="AR831" s="75"/>
      <c r="AS831" s="80">
        <f t="shared" si="158"/>
        <v>0</v>
      </c>
      <c r="AT831" s="74"/>
      <c r="AU831" s="75"/>
      <c r="AV831" s="75"/>
      <c r="AW831" s="75"/>
      <c r="AX831" s="80">
        <f t="shared" si="159"/>
        <v>0</v>
      </c>
      <c r="AY831" s="81" t="str">
        <f t="shared" si="160"/>
        <v/>
      </c>
      <c r="AZ831" s="83" t="str">
        <f t="shared" si="161"/>
        <v/>
      </c>
      <c r="BA831" s="80" t="str">
        <f t="shared" si="162"/>
        <v/>
      </c>
      <c r="BB831" s="84">
        <f t="shared" si="163"/>
        <v>0</v>
      </c>
      <c r="BC831" s="85" t="str">
        <f t="shared" si="164"/>
        <v/>
      </c>
      <c r="BD831" s="86" t="str">
        <f t="shared" si="165"/>
        <v/>
      </c>
      <c r="BE831" s="84">
        <f t="shared" si="166"/>
        <v>0</v>
      </c>
      <c r="BF831" s="87" t="str">
        <f t="shared" si="167"/>
        <v/>
      </c>
      <c r="BG831" s="88" t="str">
        <f t="shared" si="168"/>
        <v/>
      </c>
      <c r="BH831" s="89" t="str">
        <f t="shared" si="169"/>
        <v/>
      </c>
      <c r="BI831" s="90" t="str">
        <f t="shared" si="170"/>
        <v/>
      </c>
      <c r="BJ831" s="90" t="str">
        <f t="shared" si="171"/>
        <v/>
      </c>
      <c r="BK831" s="91">
        <f t="shared" si="172"/>
        <v>0</v>
      </c>
      <c r="BL831" s="92">
        <f t="shared" si="173"/>
        <v>0</v>
      </c>
      <c r="BM831" s="95"/>
    </row>
    <row r="832" spans="1:65">
      <c r="A832" s="61">
        <f t="shared" si="174"/>
        <v>0</v>
      </c>
      <c r="B832" s="62"/>
      <c r="C832" s="62"/>
      <c r="D832" s="63"/>
      <c r="E832" s="64"/>
      <c r="F832" s="64"/>
      <c r="G832" s="65"/>
      <c r="H832" s="66" t="str">
        <f t="shared" si="151"/>
        <v/>
      </c>
      <c r="I832" s="67" t="str">
        <f t="shared" si="152"/>
        <v/>
      </c>
      <c r="J832" s="68" t="str">
        <f t="shared" si="153"/>
        <v/>
      </c>
      <c r="K832" s="69" t="str">
        <f t="shared" si="154"/>
        <v/>
      </c>
      <c r="L832" s="70" t="str">
        <f t="shared" si="155"/>
        <v/>
      </c>
      <c r="M832" s="71"/>
      <c r="N832" s="71"/>
      <c r="O832" s="71"/>
      <c r="P832" s="71"/>
      <c r="Q832" s="61"/>
      <c r="R832" s="63"/>
      <c r="S832" s="72"/>
      <c r="T832" s="61"/>
      <c r="U832" s="73"/>
      <c r="V832" s="62"/>
      <c r="W832" s="62"/>
      <c r="X832" s="62"/>
      <c r="Y832" s="93"/>
      <c r="Z832" s="94"/>
      <c r="AA832" s="74"/>
      <c r="AB832" s="75"/>
      <c r="AC832" s="75"/>
      <c r="AD832" s="76"/>
      <c r="AE832" s="77"/>
      <c r="AF832" s="75"/>
      <c r="AG832" s="78"/>
      <c r="AH832" s="79"/>
      <c r="AI832" s="74"/>
      <c r="AJ832" s="75"/>
      <c r="AK832" s="75"/>
      <c r="AL832" s="80">
        <f t="shared" si="156"/>
        <v>0</v>
      </c>
      <c r="AM832" s="74"/>
      <c r="AN832" s="74"/>
      <c r="AO832" s="81" t="str">
        <f t="shared" si="157"/>
        <v/>
      </c>
      <c r="AP832" s="82"/>
      <c r="AQ832" s="75"/>
      <c r="AR832" s="75"/>
      <c r="AS832" s="80">
        <f t="shared" si="158"/>
        <v>0</v>
      </c>
      <c r="AT832" s="74"/>
      <c r="AU832" s="75"/>
      <c r="AV832" s="75"/>
      <c r="AW832" s="75"/>
      <c r="AX832" s="80">
        <f t="shared" si="159"/>
        <v>0</v>
      </c>
      <c r="AY832" s="81" t="str">
        <f t="shared" si="160"/>
        <v/>
      </c>
      <c r="AZ832" s="83" t="str">
        <f t="shared" si="161"/>
        <v/>
      </c>
      <c r="BA832" s="80" t="str">
        <f t="shared" si="162"/>
        <v/>
      </c>
      <c r="BB832" s="84">
        <f t="shared" si="163"/>
        <v>0</v>
      </c>
      <c r="BC832" s="85" t="str">
        <f t="shared" si="164"/>
        <v/>
      </c>
      <c r="BD832" s="86" t="str">
        <f t="shared" si="165"/>
        <v/>
      </c>
      <c r="BE832" s="84">
        <f t="shared" si="166"/>
        <v>0</v>
      </c>
      <c r="BF832" s="87" t="str">
        <f t="shared" si="167"/>
        <v/>
      </c>
      <c r="BG832" s="88" t="str">
        <f t="shared" si="168"/>
        <v/>
      </c>
      <c r="BH832" s="89" t="str">
        <f t="shared" si="169"/>
        <v/>
      </c>
      <c r="BI832" s="90" t="str">
        <f t="shared" si="170"/>
        <v/>
      </c>
      <c r="BJ832" s="90" t="str">
        <f t="shared" si="171"/>
        <v/>
      </c>
      <c r="BK832" s="91">
        <f t="shared" si="172"/>
        <v>0</v>
      </c>
      <c r="BL832" s="92">
        <f t="shared" si="173"/>
        <v>0</v>
      </c>
      <c r="BM832" s="95"/>
    </row>
    <row r="833" spans="1:65">
      <c r="A833" s="61">
        <f t="shared" si="174"/>
        <v>0</v>
      </c>
      <c r="B833" s="62"/>
      <c r="C833" s="62"/>
      <c r="D833" s="63"/>
      <c r="E833" s="64"/>
      <c r="F833" s="64"/>
      <c r="G833" s="65"/>
      <c r="H833" s="66" t="str">
        <f t="shared" si="151"/>
        <v/>
      </c>
      <c r="I833" s="67" t="str">
        <f t="shared" si="152"/>
        <v/>
      </c>
      <c r="J833" s="68" t="str">
        <f t="shared" si="153"/>
        <v/>
      </c>
      <c r="K833" s="69" t="str">
        <f t="shared" si="154"/>
        <v/>
      </c>
      <c r="L833" s="70" t="str">
        <f t="shared" si="155"/>
        <v/>
      </c>
      <c r="M833" s="71"/>
      <c r="N833" s="71"/>
      <c r="O833" s="71"/>
      <c r="P833" s="71"/>
      <c r="Q833" s="61"/>
      <c r="R833" s="63"/>
      <c r="S833" s="72"/>
      <c r="T833" s="61"/>
      <c r="U833" s="73"/>
      <c r="V833" s="62"/>
      <c r="W833" s="62"/>
      <c r="X833" s="62"/>
      <c r="Y833" s="93"/>
      <c r="Z833" s="94"/>
      <c r="AA833" s="74"/>
      <c r="AB833" s="75"/>
      <c r="AC833" s="75"/>
      <c r="AD833" s="76"/>
      <c r="AE833" s="77"/>
      <c r="AF833" s="75"/>
      <c r="AG833" s="78"/>
      <c r="AH833" s="79"/>
      <c r="AI833" s="74"/>
      <c r="AJ833" s="75"/>
      <c r="AK833" s="75"/>
      <c r="AL833" s="80">
        <f t="shared" si="156"/>
        <v>0</v>
      </c>
      <c r="AM833" s="74"/>
      <c r="AN833" s="74"/>
      <c r="AO833" s="81" t="str">
        <f t="shared" si="157"/>
        <v/>
      </c>
      <c r="AP833" s="82"/>
      <c r="AQ833" s="75"/>
      <c r="AR833" s="75"/>
      <c r="AS833" s="80">
        <f t="shared" si="158"/>
        <v>0</v>
      </c>
      <c r="AT833" s="74"/>
      <c r="AU833" s="75"/>
      <c r="AV833" s="75"/>
      <c r="AW833" s="75"/>
      <c r="AX833" s="80">
        <f t="shared" si="159"/>
        <v>0</v>
      </c>
      <c r="AY833" s="81" t="str">
        <f t="shared" si="160"/>
        <v/>
      </c>
      <c r="AZ833" s="83" t="str">
        <f t="shared" si="161"/>
        <v/>
      </c>
      <c r="BA833" s="80" t="str">
        <f t="shared" si="162"/>
        <v/>
      </c>
      <c r="BB833" s="84">
        <f t="shared" si="163"/>
        <v>0</v>
      </c>
      <c r="BC833" s="85" t="str">
        <f t="shared" si="164"/>
        <v/>
      </c>
      <c r="BD833" s="86" t="str">
        <f t="shared" si="165"/>
        <v/>
      </c>
      <c r="BE833" s="84">
        <f t="shared" si="166"/>
        <v>0</v>
      </c>
      <c r="BF833" s="87" t="str">
        <f t="shared" si="167"/>
        <v/>
      </c>
      <c r="BG833" s="88" t="str">
        <f t="shared" si="168"/>
        <v/>
      </c>
      <c r="BH833" s="89" t="str">
        <f t="shared" si="169"/>
        <v/>
      </c>
      <c r="BI833" s="90" t="str">
        <f t="shared" si="170"/>
        <v/>
      </c>
      <c r="BJ833" s="90" t="str">
        <f t="shared" si="171"/>
        <v/>
      </c>
      <c r="BK833" s="91">
        <f t="shared" si="172"/>
        <v>0</v>
      </c>
      <c r="BL833" s="92">
        <f t="shared" si="173"/>
        <v>0</v>
      </c>
      <c r="BM833" s="95"/>
    </row>
    <row r="834" spans="1:65">
      <c r="A834" s="61">
        <f t="shared" si="174"/>
        <v>0</v>
      </c>
      <c r="B834" s="62"/>
      <c r="C834" s="62"/>
      <c r="D834" s="63"/>
      <c r="E834" s="64"/>
      <c r="F834" s="64"/>
      <c r="G834" s="65"/>
      <c r="H834" s="66" t="str">
        <f t="shared" si="151"/>
        <v/>
      </c>
      <c r="I834" s="67" t="str">
        <f t="shared" si="152"/>
        <v/>
      </c>
      <c r="J834" s="68" t="str">
        <f t="shared" si="153"/>
        <v/>
      </c>
      <c r="K834" s="69" t="str">
        <f t="shared" si="154"/>
        <v/>
      </c>
      <c r="L834" s="70" t="str">
        <f t="shared" si="155"/>
        <v/>
      </c>
      <c r="M834" s="71"/>
      <c r="N834" s="71"/>
      <c r="O834" s="71"/>
      <c r="P834" s="71"/>
      <c r="Q834" s="61"/>
      <c r="R834" s="63"/>
      <c r="S834" s="72"/>
      <c r="T834" s="61"/>
      <c r="U834" s="73"/>
      <c r="V834" s="62"/>
      <c r="W834" s="62"/>
      <c r="X834" s="62"/>
      <c r="Y834" s="93"/>
      <c r="Z834" s="94"/>
      <c r="AA834" s="74"/>
      <c r="AB834" s="75"/>
      <c r="AC834" s="75"/>
      <c r="AD834" s="76"/>
      <c r="AE834" s="77"/>
      <c r="AF834" s="75"/>
      <c r="AG834" s="78"/>
      <c r="AH834" s="79"/>
      <c r="AI834" s="74"/>
      <c r="AJ834" s="75"/>
      <c r="AK834" s="75"/>
      <c r="AL834" s="80">
        <f t="shared" si="156"/>
        <v>0</v>
      </c>
      <c r="AM834" s="74"/>
      <c r="AN834" s="74"/>
      <c r="AO834" s="81" t="str">
        <f t="shared" si="157"/>
        <v/>
      </c>
      <c r="AP834" s="82"/>
      <c r="AQ834" s="75"/>
      <c r="AR834" s="75"/>
      <c r="AS834" s="80">
        <f t="shared" si="158"/>
        <v>0</v>
      </c>
      <c r="AT834" s="74"/>
      <c r="AU834" s="75"/>
      <c r="AV834" s="75"/>
      <c r="AW834" s="75"/>
      <c r="AX834" s="80">
        <f t="shared" si="159"/>
        <v>0</v>
      </c>
      <c r="AY834" s="81" t="str">
        <f t="shared" si="160"/>
        <v/>
      </c>
      <c r="AZ834" s="83" t="str">
        <f t="shared" si="161"/>
        <v/>
      </c>
      <c r="BA834" s="80" t="str">
        <f t="shared" si="162"/>
        <v/>
      </c>
      <c r="BB834" s="84">
        <f t="shared" si="163"/>
        <v>0</v>
      </c>
      <c r="BC834" s="85" t="str">
        <f t="shared" si="164"/>
        <v/>
      </c>
      <c r="BD834" s="86" t="str">
        <f t="shared" si="165"/>
        <v/>
      </c>
      <c r="BE834" s="84">
        <f t="shared" si="166"/>
        <v>0</v>
      </c>
      <c r="BF834" s="87" t="str">
        <f t="shared" si="167"/>
        <v/>
      </c>
      <c r="BG834" s="88" t="str">
        <f t="shared" si="168"/>
        <v/>
      </c>
      <c r="BH834" s="89" t="str">
        <f t="shared" si="169"/>
        <v/>
      </c>
      <c r="BI834" s="90" t="str">
        <f t="shared" si="170"/>
        <v/>
      </c>
      <c r="BJ834" s="90" t="str">
        <f t="shared" si="171"/>
        <v/>
      </c>
      <c r="BK834" s="91">
        <f t="shared" si="172"/>
        <v>0</v>
      </c>
      <c r="BL834" s="92">
        <f t="shared" si="173"/>
        <v>0</v>
      </c>
      <c r="BM834" s="95"/>
    </row>
    <row r="835" spans="1:65">
      <c r="A835" s="61">
        <f t="shared" si="174"/>
        <v>0</v>
      </c>
      <c r="B835" s="62"/>
      <c r="C835" s="62"/>
      <c r="D835" s="63"/>
      <c r="E835" s="64"/>
      <c r="F835" s="64"/>
      <c r="G835" s="65"/>
      <c r="H835" s="66" t="str">
        <f t="shared" si="151"/>
        <v/>
      </c>
      <c r="I835" s="67" t="str">
        <f t="shared" si="152"/>
        <v/>
      </c>
      <c r="J835" s="68" t="str">
        <f t="shared" si="153"/>
        <v/>
      </c>
      <c r="K835" s="69" t="str">
        <f t="shared" si="154"/>
        <v/>
      </c>
      <c r="L835" s="70" t="str">
        <f t="shared" si="155"/>
        <v/>
      </c>
      <c r="M835" s="71"/>
      <c r="N835" s="71"/>
      <c r="O835" s="71"/>
      <c r="P835" s="71"/>
      <c r="Q835" s="61"/>
      <c r="R835" s="63"/>
      <c r="S835" s="72"/>
      <c r="T835" s="61"/>
      <c r="U835" s="73"/>
      <c r="V835" s="62"/>
      <c r="W835" s="62"/>
      <c r="X835" s="62"/>
      <c r="Y835" s="93"/>
      <c r="Z835" s="94"/>
      <c r="AA835" s="74"/>
      <c r="AB835" s="75"/>
      <c r="AC835" s="75"/>
      <c r="AD835" s="76"/>
      <c r="AE835" s="77"/>
      <c r="AF835" s="75"/>
      <c r="AG835" s="78"/>
      <c r="AH835" s="79"/>
      <c r="AI835" s="74"/>
      <c r="AJ835" s="75"/>
      <c r="AK835" s="75"/>
      <c r="AL835" s="80">
        <f t="shared" si="156"/>
        <v>0</v>
      </c>
      <c r="AM835" s="74"/>
      <c r="AN835" s="74"/>
      <c r="AO835" s="81" t="str">
        <f t="shared" si="157"/>
        <v/>
      </c>
      <c r="AP835" s="82"/>
      <c r="AQ835" s="75"/>
      <c r="AR835" s="75"/>
      <c r="AS835" s="80">
        <f t="shared" si="158"/>
        <v>0</v>
      </c>
      <c r="AT835" s="74"/>
      <c r="AU835" s="75"/>
      <c r="AV835" s="75"/>
      <c r="AW835" s="75"/>
      <c r="AX835" s="80">
        <f t="shared" si="159"/>
        <v>0</v>
      </c>
      <c r="AY835" s="81" t="str">
        <f t="shared" si="160"/>
        <v/>
      </c>
      <c r="AZ835" s="83" t="str">
        <f t="shared" si="161"/>
        <v/>
      </c>
      <c r="BA835" s="80" t="str">
        <f t="shared" si="162"/>
        <v/>
      </c>
      <c r="BB835" s="84">
        <f t="shared" si="163"/>
        <v>0</v>
      </c>
      <c r="BC835" s="85" t="str">
        <f t="shared" si="164"/>
        <v/>
      </c>
      <c r="BD835" s="86" t="str">
        <f t="shared" si="165"/>
        <v/>
      </c>
      <c r="BE835" s="84">
        <f t="shared" si="166"/>
        <v>0</v>
      </c>
      <c r="BF835" s="87" t="str">
        <f t="shared" si="167"/>
        <v/>
      </c>
      <c r="BG835" s="88" t="str">
        <f t="shared" si="168"/>
        <v/>
      </c>
      <c r="BH835" s="89" t="str">
        <f t="shared" si="169"/>
        <v/>
      </c>
      <c r="BI835" s="90" t="str">
        <f t="shared" si="170"/>
        <v/>
      </c>
      <c r="BJ835" s="90" t="str">
        <f t="shared" si="171"/>
        <v/>
      </c>
      <c r="BK835" s="91">
        <f t="shared" si="172"/>
        <v>0</v>
      </c>
      <c r="BL835" s="92">
        <f t="shared" si="173"/>
        <v>0</v>
      </c>
      <c r="BM835" s="95"/>
    </row>
    <row r="836" spans="1:65">
      <c r="A836" s="61">
        <f t="shared" si="174"/>
        <v>0</v>
      </c>
      <c r="B836" s="62"/>
      <c r="C836" s="62"/>
      <c r="D836" s="63"/>
      <c r="E836" s="64"/>
      <c r="F836" s="64"/>
      <c r="G836" s="65"/>
      <c r="H836" s="66" t="str">
        <f t="shared" si="151"/>
        <v/>
      </c>
      <c r="I836" s="67" t="str">
        <f t="shared" si="152"/>
        <v/>
      </c>
      <c r="J836" s="68" t="str">
        <f t="shared" si="153"/>
        <v/>
      </c>
      <c r="K836" s="69" t="str">
        <f t="shared" si="154"/>
        <v/>
      </c>
      <c r="L836" s="70" t="str">
        <f t="shared" si="155"/>
        <v/>
      </c>
      <c r="M836" s="71"/>
      <c r="N836" s="71"/>
      <c r="O836" s="71"/>
      <c r="P836" s="71"/>
      <c r="Q836" s="61"/>
      <c r="R836" s="63"/>
      <c r="S836" s="72"/>
      <c r="T836" s="61"/>
      <c r="U836" s="73"/>
      <c r="V836" s="62"/>
      <c r="W836" s="62"/>
      <c r="X836" s="62"/>
      <c r="Y836" s="93"/>
      <c r="Z836" s="94"/>
      <c r="AA836" s="74"/>
      <c r="AB836" s="75"/>
      <c r="AC836" s="75"/>
      <c r="AD836" s="76"/>
      <c r="AE836" s="77"/>
      <c r="AF836" s="75"/>
      <c r="AG836" s="78"/>
      <c r="AH836" s="79"/>
      <c r="AI836" s="74"/>
      <c r="AJ836" s="75"/>
      <c r="AK836" s="75"/>
      <c r="AL836" s="80">
        <f t="shared" si="156"/>
        <v>0</v>
      </c>
      <c r="AM836" s="74"/>
      <c r="AN836" s="74"/>
      <c r="AO836" s="81" t="str">
        <f t="shared" si="157"/>
        <v/>
      </c>
      <c r="AP836" s="82"/>
      <c r="AQ836" s="75"/>
      <c r="AR836" s="75"/>
      <c r="AS836" s="80">
        <f t="shared" si="158"/>
        <v>0</v>
      </c>
      <c r="AT836" s="74"/>
      <c r="AU836" s="75"/>
      <c r="AV836" s="75"/>
      <c r="AW836" s="75"/>
      <c r="AX836" s="80">
        <f t="shared" si="159"/>
        <v>0</v>
      </c>
      <c r="AY836" s="81" t="str">
        <f t="shared" si="160"/>
        <v/>
      </c>
      <c r="AZ836" s="83" t="str">
        <f t="shared" si="161"/>
        <v/>
      </c>
      <c r="BA836" s="80" t="str">
        <f t="shared" si="162"/>
        <v/>
      </c>
      <c r="BB836" s="84">
        <f t="shared" si="163"/>
        <v>0</v>
      </c>
      <c r="BC836" s="85" t="str">
        <f t="shared" si="164"/>
        <v/>
      </c>
      <c r="BD836" s="86" t="str">
        <f t="shared" si="165"/>
        <v/>
      </c>
      <c r="BE836" s="84">
        <f t="shared" si="166"/>
        <v>0</v>
      </c>
      <c r="BF836" s="87" t="str">
        <f t="shared" si="167"/>
        <v/>
      </c>
      <c r="BG836" s="88" t="str">
        <f t="shared" si="168"/>
        <v/>
      </c>
      <c r="BH836" s="89" t="str">
        <f t="shared" si="169"/>
        <v/>
      </c>
      <c r="BI836" s="90" t="str">
        <f t="shared" si="170"/>
        <v/>
      </c>
      <c r="BJ836" s="90" t="str">
        <f t="shared" si="171"/>
        <v/>
      </c>
      <c r="BK836" s="91">
        <f t="shared" si="172"/>
        <v>0</v>
      </c>
      <c r="BL836" s="92">
        <f t="shared" si="173"/>
        <v>0</v>
      </c>
      <c r="BM836" s="95"/>
    </row>
    <row r="837" spans="1:65">
      <c r="A837" s="61">
        <f t="shared" si="174"/>
        <v>0</v>
      </c>
      <c r="B837" s="62"/>
      <c r="C837" s="62"/>
      <c r="D837" s="63"/>
      <c r="E837" s="64"/>
      <c r="F837" s="64"/>
      <c r="G837" s="65"/>
      <c r="H837" s="66" t="str">
        <f t="shared" si="151"/>
        <v/>
      </c>
      <c r="I837" s="67" t="str">
        <f t="shared" si="152"/>
        <v/>
      </c>
      <c r="J837" s="68" t="str">
        <f t="shared" si="153"/>
        <v/>
      </c>
      <c r="K837" s="69" t="str">
        <f t="shared" si="154"/>
        <v/>
      </c>
      <c r="L837" s="70" t="str">
        <f t="shared" si="155"/>
        <v/>
      </c>
      <c r="M837" s="71"/>
      <c r="N837" s="71"/>
      <c r="O837" s="71"/>
      <c r="P837" s="71"/>
      <c r="Q837" s="61"/>
      <c r="R837" s="63"/>
      <c r="S837" s="72"/>
      <c r="T837" s="61"/>
      <c r="U837" s="73"/>
      <c r="V837" s="62"/>
      <c r="W837" s="62"/>
      <c r="X837" s="62"/>
      <c r="Y837" s="93"/>
      <c r="Z837" s="94"/>
      <c r="AA837" s="74"/>
      <c r="AB837" s="75"/>
      <c r="AC837" s="75"/>
      <c r="AD837" s="76"/>
      <c r="AE837" s="77"/>
      <c r="AF837" s="75"/>
      <c r="AG837" s="78"/>
      <c r="AH837" s="79"/>
      <c r="AI837" s="74"/>
      <c r="AJ837" s="75"/>
      <c r="AK837" s="75"/>
      <c r="AL837" s="80">
        <f t="shared" si="156"/>
        <v>0</v>
      </c>
      <c r="AM837" s="74"/>
      <c r="AN837" s="74"/>
      <c r="AO837" s="81" t="str">
        <f t="shared" si="157"/>
        <v/>
      </c>
      <c r="AP837" s="82"/>
      <c r="AQ837" s="75"/>
      <c r="AR837" s="75"/>
      <c r="AS837" s="80">
        <f t="shared" si="158"/>
        <v>0</v>
      </c>
      <c r="AT837" s="74"/>
      <c r="AU837" s="75"/>
      <c r="AV837" s="75"/>
      <c r="AW837" s="75"/>
      <c r="AX837" s="80">
        <f t="shared" si="159"/>
        <v>0</v>
      </c>
      <c r="AY837" s="81" t="str">
        <f t="shared" si="160"/>
        <v/>
      </c>
      <c r="AZ837" s="83" t="str">
        <f t="shared" si="161"/>
        <v/>
      </c>
      <c r="BA837" s="80" t="str">
        <f t="shared" si="162"/>
        <v/>
      </c>
      <c r="BB837" s="84">
        <f t="shared" si="163"/>
        <v>0</v>
      </c>
      <c r="BC837" s="85" t="str">
        <f t="shared" si="164"/>
        <v/>
      </c>
      <c r="BD837" s="86" t="str">
        <f t="shared" si="165"/>
        <v/>
      </c>
      <c r="BE837" s="84">
        <f t="shared" si="166"/>
        <v>0</v>
      </c>
      <c r="BF837" s="87" t="str">
        <f t="shared" si="167"/>
        <v/>
      </c>
      <c r="BG837" s="88" t="str">
        <f t="shared" si="168"/>
        <v/>
      </c>
      <c r="BH837" s="89" t="str">
        <f t="shared" si="169"/>
        <v/>
      </c>
      <c r="BI837" s="90" t="str">
        <f t="shared" si="170"/>
        <v/>
      </c>
      <c r="BJ837" s="90" t="str">
        <f t="shared" si="171"/>
        <v/>
      </c>
      <c r="BK837" s="91">
        <f t="shared" si="172"/>
        <v>0</v>
      </c>
      <c r="BL837" s="92">
        <f t="shared" si="173"/>
        <v>0</v>
      </c>
      <c r="BM837" s="95"/>
    </row>
    <row r="838" spans="1:65">
      <c r="A838" s="61">
        <f t="shared" si="174"/>
        <v>0</v>
      </c>
      <c r="B838" s="62"/>
      <c r="C838" s="62"/>
      <c r="D838" s="63"/>
      <c r="E838" s="64"/>
      <c r="F838" s="64"/>
      <c r="G838" s="65"/>
      <c r="H838" s="66" t="str">
        <f t="shared" si="151"/>
        <v/>
      </c>
      <c r="I838" s="67" t="str">
        <f t="shared" si="152"/>
        <v/>
      </c>
      <c r="J838" s="68" t="str">
        <f t="shared" si="153"/>
        <v/>
      </c>
      <c r="K838" s="69" t="str">
        <f t="shared" si="154"/>
        <v/>
      </c>
      <c r="L838" s="70" t="str">
        <f t="shared" si="155"/>
        <v/>
      </c>
      <c r="M838" s="71"/>
      <c r="N838" s="71"/>
      <c r="O838" s="71"/>
      <c r="P838" s="71"/>
      <c r="Q838" s="61"/>
      <c r="R838" s="63"/>
      <c r="S838" s="72"/>
      <c r="T838" s="61"/>
      <c r="U838" s="73"/>
      <c r="V838" s="62"/>
      <c r="W838" s="62"/>
      <c r="X838" s="62"/>
      <c r="Y838" s="93"/>
      <c r="Z838" s="94"/>
      <c r="AA838" s="74"/>
      <c r="AB838" s="75"/>
      <c r="AC838" s="75"/>
      <c r="AD838" s="76"/>
      <c r="AE838" s="77"/>
      <c r="AF838" s="75"/>
      <c r="AG838" s="78"/>
      <c r="AH838" s="79"/>
      <c r="AI838" s="74"/>
      <c r="AJ838" s="75"/>
      <c r="AK838" s="75"/>
      <c r="AL838" s="80">
        <f t="shared" si="156"/>
        <v>0</v>
      </c>
      <c r="AM838" s="74"/>
      <c r="AN838" s="74"/>
      <c r="AO838" s="81" t="str">
        <f t="shared" si="157"/>
        <v/>
      </c>
      <c r="AP838" s="82"/>
      <c r="AQ838" s="75"/>
      <c r="AR838" s="75"/>
      <c r="AS838" s="80">
        <f t="shared" si="158"/>
        <v>0</v>
      </c>
      <c r="AT838" s="74"/>
      <c r="AU838" s="75"/>
      <c r="AV838" s="75"/>
      <c r="AW838" s="75"/>
      <c r="AX838" s="80">
        <f t="shared" si="159"/>
        <v>0</v>
      </c>
      <c r="AY838" s="81" t="str">
        <f t="shared" si="160"/>
        <v/>
      </c>
      <c r="AZ838" s="83" t="str">
        <f t="shared" si="161"/>
        <v/>
      </c>
      <c r="BA838" s="80" t="str">
        <f t="shared" si="162"/>
        <v/>
      </c>
      <c r="BB838" s="84">
        <f t="shared" si="163"/>
        <v>0</v>
      </c>
      <c r="BC838" s="85" t="str">
        <f t="shared" si="164"/>
        <v/>
      </c>
      <c r="BD838" s="86" t="str">
        <f t="shared" si="165"/>
        <v/>
      </c>
      <c r="BE838" s="84">
        <f t="shared" si="166"/>
        <v>0</v>
      </c>
      <c r="BF838" s="87" t="str">
        <f t="shared" si="167"/>
        <v/>
      </c>
      <c r="BG838" s="88" t="str">
        <f t="shared" si="168"/>
        <v/>
      </c>
      <c r="BH838" s="89" t="str">
        <f t="shared" si="169"/>
        <v/>
      </c>
      <c r="BI838" s="90" t="str">
        <f t="shared" si="170"/>
        <v/>
      </c>
      <c r="BJ838" s="90" t="str">
        <f t="shared" si="171"/>
        <v/>
      </c>
      <c r="BK838" s="91">
        <f t="shared" si="172"/>
        <v>0</v>
      </c>
      <c r="BL838" s="92">
        <f t="shared" si="173"/>
        <v>0</v>
      </c>
      <c r="BM838" s="95"/>
    </row>
    <row r="839" spans="1:65">
      <c r="A839" s="61">
        <f t="shared" si="174"/>
        <v>0</v>
      </c>
      <c r="B839" s="62"/>
      <c r="C839" s="62"/>
      <c r="D839" s="63"/>
      <c r="E839" s="64"/>
      <c r="F839" s="64"/>
      <c r="G839" s="65"/>
      <c r="H839" s="66" t="str">
        <f t="shared" si="151"/>
        <v/>
      </c>
      <c r="I839" s="67" t="str">
        <f t="shared" si="152"/>
        <v/>
      </c>
      <c r="J839" s="68" t="str">
        <f t="shared" si="153"/>
        <v/>
      </c>
      <c r="K839" s="69" t="str">
        <f t="shared" si="154"/>
        <v/>
      </c>
      <c r="L839" s="70" t="str">
        <f t="shared" si="155"/>
        <v/>
      </c>
      <c r="M839" s="71"/>
      <c r="N839" s="71"/>
      <c r="O839" s="71"/>
      <c r="P839" s="71"/>
      <c r="Q839" s="61"/>
      <c r="R839" s="63"/>
      <c r="S839" s="72"/>
      <c r="T839" s="61"/>
      <c r="U839" s="73"/>
      <c r="V839" s="62"/>
      <c r="W839" s="62"/>
      <c r="X839" s="62"/>
      <c r="Y839" s="93"/>
      <c r="Z839" s="94"/>
      <c r="AA839" s="74"/>
      <c r="AB839" s="75"/>
      <c r="AC839" s="75"/>
      <c r="AD839" s="76"/>
      <c r="AE839" s="77"/>
      <c r="AF839" s="75"/>
      <c r="AG839" s="78"/>
      <c r="AH839" s="79"/>
      <c r="AI839" s="74"/>
      <c r="AJ839" s="75"/>
      <c r="AK839" s="75"/>
      <c r="AL839" s="80">
        <f t="shared" si="156"/>
        <v>0</v>
      </c>
      <c r="AM839" s="74"/>
      <c r="AN839" s="74"/>
      <c r="AO839" s="81" t="str">
        <f t="shared" si="157"/>
        <v/>
      </c>
      <c r="AP839" s="82"/>
      <c r="AQ839" s="75"/>
      <c r="AR839" s="75"/>
      <c r="AS839" s="80">
        <f t="shared" si="158"/>
        <v>0</v>
      </c>
      <c r="AT839" s="74"/>
      <c r="AU839" s="75"/>
      <c r="AV839" s="75"/>
      <c r="AW839" s="75"/>
      <c r="AX839" s="80">
        <f t="shared" si="159"/>
        <v>0</v>
      </c>
      <c r="AY839" s="81" t="str">
        <f t="shared" si="160"/>
        <v/>
      </c>
      <c r="AZ839" s="83" t="str">
        <f t="shared" si="161"/>
        <v/>
      </c>
      <c r="BA839" s="80" t="str">
        <f t="shared" si="162"/>
        <v/>
      </c>
      <c r="BB839" s="84">
        <f t="shared" si="163"/>
        <v>0</v>
      </c>
      <c r="BC839" s="85" t="str">
        <f t="shared" si="164"/>
        <v/>
      </c>
      <c r="BD839" s="86" t="str">
        <f t="shared" si="165"/>
        <v/>
      </c>
      <c r="BE839" s="84">
        <f t="shared" si="166"/>
        <v>0</v>
      </c>
      <c r="BF839" s="87" t="str">
        <f t="shared" si="167"/>
        <v/>
      </c>
      <c r="BG839" s="88" t="str">
        <f t="shared" si="168"/>
        <v/>
      </c>
      <c r="BH839" s="89" t="str">
        <f t="shared" si="169"/>
        <v/>
      </c>
      <c r="BI839" s="90" t="str">
        <f t="shared" si="170"/>
        <v/>
      </c>
      <c r="BJ839" s="90" t="str">
        <f t="shared" si="171"/>
        <v/>
      </c>
      <c r="BK839" s="91">
        <f t="shared" si="172"/>
        <v>0</v>
      </c>
      <c r="BL839" s="92">
        <f t="shared" si="173"/>
        <v>0</v>
      </c>
      <c r="BM839" s="95"/>
    </row>
    <row r="840" spans="1:65">
      <c r="A840" s="61">
        <f t="shared" si="174"/>
        <v>0</v>
      </c>
      <c r="B840" s="62"/>
      <c r="C840" s="62"/>
      <c r="D840" s="63"/>
      <c r="E840" s="64"/>
      <c r="F840" s="64"/>
      <c r="G840" s="65"/>
      <c r="H840" s="66" t="str">
        <f t="shared" ref="H840:H903" si="175">IF(F840="","",IF(F840="","",IF((F840-E840+1)&gt;360,"Most Recently 12 Months","Year To Date")))</f>
        <v/>
      </c>
      <c r="I840" s="67" t="str">
        <f t="shared" ref="I840:I903" si="176">IF(F840="","",ROUND((F840-E840+1)/(((365*3+366)/4)/12),0))</f>
        <v/>
      </c>
      <c r="J840" s="68" t="str">
        <f t="shared" ref="J840:J903" si="177">IF(F840="","",YEAR(F840))</f>
        <v/>
      </c>
      <c r="K840" s="69" t="str">
        <f t="shared" ref="K840:K903" si="178">IF(F840="","",CEILING(L840/3,1))</f>
        <v/>
      </c>
      <c r="L840" s="70" t="str">
        <f t="shared" ref="L840:L903" si="179">IF(F840="","",MONTH(F840))</f>
        <v/>
      </c>
      <c r="M840" s="71"/>
      <c r="N840" s="71"/>
      <c r="O840" s="71"/>
      <c r="P840" s="71"/>
      <c r="Q840" s="61"/>
      <c r="R840" s="63"/>
      <c r="S840" s="72"/>
      <c r="T840" s="61"/>
      <c r="U840" s="73"/>
      <c r="V840" s="62"/>
      <c r="W840" s="62"/>
      <c r="X840" s="62"/>
      <c r="Y840" s="93"/>
      <c r="Z840" s="94"/>
      <c r="AA840" s="74"/>
      <c r="AB840" s="75"/>
      <c r="AC840" s="75"/>
      <c r="AD840" s="76"/>
      <c r="AE840" s="77"/>
      <c r="AF840" s="75"/>
      <c r="AG840" s="78"/>
      <c r="AH840" s="79"/>
      <c r="AI840" s="74"/>
      <c r="AJ840" s="75"/>
      <c r="AK840" s="75"/>
      <c r="AL840" s="80">
        <f t="shared" ref="AL840:AL903" si="180">SUM(AI840:AK840)</f>
        <v>0</v>
      </c>
      <c r="AM840" s="74"/>
      <c r="AN840" s="74"/>
      <c r="AO840" s="81" t="str">
        <f t="shared" ref="AO840:AO903" si="181">IFERROR(AN840/AM840,"")</f>
        <v/>
      </c>
      <c r="AP840" s="82"/>
      <c r="AQ840" s="75"/>
      <c r="AR840" s="75"/>
      <c r="AS840" s="80">
        <f t="shared" ref="AS840:AS903" si="182">SUM(AQ840:AR840)</f>
        <v>0</v>
      </c>
      <c r="AT840" s="74"/>
      <c r="AU840" s="75"/>
      <c r="AV840" s="75"/>
      <c r="AW840" s="75"/>
      <c r="AX840" s="80">
        <f t="shared" ref="AX840:AX903" si="183">SUM(AT840:AW840)</f>
        <v>0</v>
      </c>
      <c r="AY840" s="81" t="str">
        <f t="shared" ref="AY840:AY903" si="184">IFERROR(AP840/AF840,"")</f>
        <v/>
      </c>
      <c r="AZ840" s="83" t="str">
        <f t="shared" ref="AZ840:AZ903" si="185">IFERROR(AS840/AP840,"")</f>
        <v/>
      </c>
      <c r="BA840" s="80" t="str">
        <f t="shared" ref="BA840:BA903" si="186">IFERROR(AY840*AZ840,"")</f>
        <v/>
      </c>
      <c r="BB840" s="84">
        <f t="shared" ref="BB840:BB903" si="187">AG840-SUM(AL840,AS840:AU840,AW840)</f>
        <v>0</v>
      </c>
      <c r="BC840" s="85" t="str">
        <f t="shared" ref="BC840:BC903" si="188">IFERROR(BB840/AV840,"")</f>
        <v/>
      </c>
      <c r="BD840" s="86" t="str">
        <f t="shared" ref="BD840:BD903" si="189">IFERROR(BB840/AG840,"")</f>
        <v/>
      </c>
      <c r="BE840" s="84">
        <f t="shared" ref="BE840:BE903" si="190">AG840-SUM(AL840,AS840:AU840)</f>
        <v>0</v>
      </c>
      <c r="BF840" s="87" t="str">
        <f t="shared" ref="BF840:BF903" si="191">IFERROR(BE840/SUM(AV840:AW840),"")</f>
        <v/>
      </c>
      <c r="BG840" s="88" t="str">
        <f t="shared" ref="BG840:BG903" si="192">IFERROR(BE840/AG840,"")</f>
        <v/>
      </c>
      <c r="BH840" s="89" t="str">
        <f t="shared" ref="BH840:BH903" si="193">IFERROR(AS840/AG840,"")</f>
        <v/>
      </c>
      <c r="BI840" s="90" t="str">
        <f t="shared" ref="BI840:BI903" si="194">IFERROR(AL840/AG840,"")</f>
        <v/>
      </c>
      <c r="BJ840" s="90" t="str">
        <f t="shared" ref="BJ840:BJ903" si="195">IFERROR(AX840/AG840,"")</f>
        <v/>
      </c>
      <c r="BK840" s="91">
        <f t="shared" ref="BK840:BK903" si="196">SUM(BH840:BJ840)</f>
        <v>0</v>
      </c>
      <c r="BL840" s="92">
        <f t="shared" ref="BL840:BL903" si="197">AG840-SUM(AL840,AS840,AX840)</f>
        <v>0</v>
      </c>
      <c r="BM840" s="95"/>
    </row>
    <row r="841" spans="1:65">
      <c r="A841" s="61">
        <f t="shared" si="174"/>
        <v>0</v>
      </c>
      <c r="B841" s="62"/>
      <c r="C841" s="62"/>
      <c r="D841" s="63"/>
      <c r="E841" s="64"/>
      <c r="F841" s="64"/>
      <c r="G841" s="65"/>
      <c r="H841" s="66" t="str">
        <f t="shared" si="175"/>
        <v/>
      </c>
      <c r="I841" s="67" t="str">
        <f t="shared" si="176"/>
        <v/>
      </c>
      <c r="J841" s="68" t="str">
        <f t="shared" si="177"/>
        <v/>
      </c>
      <c r="K841" s="69" t="str">
        <f t="shared" si="178"/>
        <v/>
      </c>
      <c r="L841" s="70" t="str">
        <f t="shared" si="179"/>
        <v/>
      </c>
      <c r="M841" s="71"/>
      <c r="N841" s="71"/>
      <c r="O841" s="71"/>
      <c r="P841" s="71"/>
      <c r="Q841" s="61"/>
      <c r="R841" s="63"/>
      <c r="S841" s="72"/>
      <c r="T841" s="61"/>
      <c r="U841" s="73"/>
      <c r="V841" s="62"/>
      <c r="W841" s="62"/>
      <c r="X841" s="62"/>
      <c r="Y841" s="93"/>
      <c r="Z841" s="94"/>
      <c r="AA841" s="74"/>
      <c r="AB841" s="75"/>
      <c r="AC841" s="75"/>
      <c r="AD841" s="76"/>
      <c r="AE841" s="77"/>
      <c r="AF841" s="75"/>
      <c r="AG841" s="78"/>
      <c r="AH841" s="79"/>
      <c r="AI841" s="74"/>
      <c r="AJ841" s="75"/>
      <c r="AK841" s="75"/>
      <c r="AL841" s="80">
        <f t="shared" si="180"/>
        <v>0</v>
      </c>
      <c r="AM841" s="74"/>
      <c r="AN841" s="74"/>
      <c r="AO841" s="81" t="str">
        <f t="shared" si="181"/>
        <v/>
      </c>
      <c r="AP841" s="82"/>
      <c r="AQ841" s="75"/>
      <c r="AR841" s="75"/>
      <c r="AS841" s="80">
        <f t="shared" si="182"/>
        <v>0</v>
      </c>
      <c r="AT841" s="74"/>
      <c r="AU841" s="75"/>
      <c r="AV841" s="75"/>
      <c r="AW841" s="75"/>
      <c r="AX841" s="80">
        <f t="shared" si="183"/>
        <v>0</v>
      </c>
      <c r="AY841" s="81" t="str">
        <f t="shared" si="184"/>
        <v/>
      </c>
      <c r="AZ841" s="83" t="str">
        <f t="shared" si="185"/>
        <v/>
      </c>
      <c r="BA841" s="80" t="str">
        <f t="shared" si="186"/>
        <v/>
      </c>
      <c r="BB841" s="84">
        <f t="shared" si="187"/>
        <v>0</v>
      </c>
      <c r="BC841" s="85" t="str">
        <f t="shared" si="188"/>
        <v/>
      </c>
      <c r="BD841" s="86" t="str">
        <f t="shared" si="189"/>
        <v/>
      </c>
      <c r="BE841" s="84">
        <f t="shared" si="190"/>
        <v>0</v>
      </c>
      <c r="BF841" s="87" t="str">
        <f t="shared" si="191"/>
        <v/>
      </c>
      <c r="BG841" s="88" t="str">
        <f t="shared" si="192"/>
        <v/>
      </c>
      <c r="BH841" s="89" t="str">
        <f t="shared" si="193"/>
        <v/>
      </c>
      <c r="BI841" s="90" t="str">
        <f t="shared" si="194"/>
        <v/>
      </c>
      <c r="BJ841" s="90" t="str">
        <f t="shared" si="195"/>
        <v/>
      </c>
      <c r="BK841" s="91">
        <f t="shared" si="196"/>
        <v>0</v>
      </c>
      <c r="BL841" s="92">
        <f t="shared" si="197"/>
        <v>0</v>
      </c>
      <c r="BM841" s="95"/>
    </row>
    <row r="842" spans="1:65">
      <c r="A842" s="61">
        <f t="shared" si="174"/>
        <v>0</v>
      </c>
      <c r="B842" s="62"/>
      <c r="C842" s="62"/>
      <c r="D842" s="63"/>
      <c r="E842" s="64"/>
      <c r="F842" s="64"/>
      <c r="G842" s="65"/>
      <c r="H842" s="66" t="str">
        <f t="shared" si="175"/>
        <v/>
      </c>
      <c r="I842" s="67" t="str">
        <f t="shared" si="176"/>
        <v/>
      </c>
      <c r="J842" s="68" t="str">
        <f t="shared" si="177"/>
        <v/>
      </c>
      <c r="K842" s="69" t="str">
        <f t="shared" si="178"/>
        <v/>
      </c>
      <c r="L842" s="70" t="str">
        <f t="shared" si="179"/>
        <v/>
      </c>
      <c r="M842" s="71"/>
      <c r="N842" s="71"/>
      <c r="O842" s="71"/>
      <c r="P842" s="71"/>
      <c r="Q842" s="61"/>
      <c r="R842" s="63"/>
      <c r="S842" s="72"/>
      <c r="T842" s="61"/>
      <c r="U842" s="73"/>
      <c r="V842" s="62"/>
      <c r="W842" s="62"/>
      <c r="X842" s="62"/>
      <c r="Y842" s="93"/>
      <c r="Z842" s="94"/>
      <c r="AA842" s="74"/>
      <c r="AB842" s="75"/>
      <c r="AC842" s="75"/>
      <c r="AD842" s="76"/>
      <c r="AE842" s="77"/>
      <c r="AF842" s="75"/>
      <c r="AG842" s="78"/>
      <c r="AH842" s="79"/>
      <c r="AI842" s="74"/>
      <c r="AJ842" s="75"/>
      <c r="AK842" s="75"/>
      <c r="AL842" s="80">
        <f t="shared" si="180"/>
        <v>0</v>
      </c>
      <c r="AM842" s="74"/>
      <c r="AN842" s="74"/>
      <c r="AO842" s="81" t="str">
        <f t="shared" si="181"/>
        <v/>
      </c>
      <c r="AP842" s="82"/>
      <c r="AQ842" s="75"/>
      <c r="AR842" s="75"/>
      <c r="AS842" s="80">
        <f t="shared" si="182"/>
        <v>0</v>
      </c>
      <c r="AT842" s="74"/>
      <c r="AU842" s="75"/>
      <c r="AV842" s="75"/>
      <c r="AW842" s="75"/>
      <c r="AX842" s="80">
        <f t="shared" si="183"/>
        <v>0</v>
      </c>
      <c r="AY842" s="81" t="str">
        <f t="shared" si="184"/>
        <v/>
      </c>
      <c r="AZ842" s="83" t="str">
        <f t="shared" si="185"/>
        <v/>
      </c>
      <c r="BA842" s="80" t="str">
        <f t="shared" si="186"/>
        <v/>
      </c>
      <c r="BB842" s="84">
        <f t="shared" si="187"/>
        <v>0</v>
      </c>
      <c r="BC842" s="85" t="str">
        <f t="shared" si="188"/>
        <v/>
      </c>
      <c r="BD842" s="86" t="str">
        <f t="shared" si="189"/>
        <v/>
      </c>
      <c r="BE842" s="84">
        <f t="shared" si="190"/>
        <v>0</v>
      </c>
      <c r="BF842" s="87" t="str">
        <f t="shared" si="191"/>
        <v/>
      </c>
      <c r="BG842" s="88" t="str">
        <f t="shared" si="192"/>
        <v/>
      </c>
      <c r="BH842" s="89" t="str">
        <f t="shared" si="193"/>
        <v/>
      </c>
      <c r="BI842" s="90" t="str">
        <f t="shared" si="194"/>
        <v/>
      </c>
      <c r="BJ842" s="90" t="str">
        <f t="shared" si="195"/>
        <v/>
      </c>
      <c r="BK842" s="91">
        <f t="shared" si="196"/>
        <v>0</v>
      </c>
      <c r="BL842" s="92">
        <f t="shared" si="197"/>
        <v>0</v>
      </c>
      <c r="BM842" s="95"/>
    </row>
    <row r="843" spans="1:65">
      <c r="A843" s="61">
        <f t="shared" si="174"/>
        <v>0</v>
      </c>
      <c r="B843" s="62"/>
      <c r="C843" s="62"/>
      <c r="D843" s="63"/>
      <c r="E843" s="64"/>
      <c r="F843" s="64"/>
      <c r="G843" s="65"/>
      <c r="H843" s="66" t="str">
        <f t="shared" si="175"/>
        <v/>
      </c>
      <c r="I843" s="67" t="str">
        <f t="shared" si="176"/>
        <v/>
      </c>
      <c r="J843" s="68" t="str">
        <f t="shared" si="177"/>
        <v/>
      </c>
      <c r="K843" s="69" t="str">
        <f t="shared" si="178"/>
        <v/>
      </c>
      <c r="L843" s="70" t="str">
        <f t="shared" si="179"/>
        <v/>
      </c>
      <c r="M843" s="71"/>
      <c r="N843" s="71"/>
      <c r="O843" s="71"/>
      <c r="P843" s="71"/>
      <c r="Q843" s="61"/>
      <c r="R843" s="63"/>
      <c r="S843" s="72"/>
      <c r="T843" s="61"/>
      <c r="U843" s="73"/>
      <c r="V843" s="62"/>
      <c r="W843" s="62"/>
      <c r="X843" s="62"/>
      <c r="Y843" s="93"/>
      <c r="Z843" s="94"/>
      <c r="AA843" s="74"/>
      <c r="AB843" s="75"/>
      <c r="AC843" s="75"/>
      <c r="AD843" s="76"/>
      <c r="AE843" s="77"/>
      <c r="AF843" s="75"/>
      <c r="AG843" s="78"/>
      <c r="AH843" s="79"/>
      <c r="AI843" s="74"/>
      <c r="AJ843" s="75"/>
      <c r="AK843" s="75"/>
      <c r="AL843" s="80">
        <f t="shared" si="180"/>
        <v>0</v>
      </c>
      <c r="AM843" s="74"/>
      <c r="AN843" s="74"/>
      <c r="AO843" s="81" t="str">
        <f t="shared" si="181"/>
        <v/>
      </c>
      <c r="AP843" s="82"/>
      <c r="AQ843" s="75"/>
      <c r="AR843" s="75"/>
      <c r="AS843" s="80">
        <f t="shared" si="182"/>
        <v>0</v>
      </c>
      <c r="AT843" s="74"/>
      <c r="AU843" s="75"/>
      <c r="AV843" s="75"/>
      <c r="AW843" s="75"/>
      <c r="AX843" s="80">
        <f t="shared" si="183"/>
        <v>0</v>
      </c>
      <c r="AY843" s="81" t="str">
        <f t="shared" si="184"/>
        <v/>
      </c>
      <c r="AZ843" s="83" t="str">
        <f t="shared" si="185"/>
        <v/>
      </c>
      <c r="BA843" s="80" t="str">
        <f t="shared" si="186"/>
        <v/>
      </c>
      <c r="BB843" s="84">
        <f t="shared" si="187"/>
        <v>0</v>
      </c>
      <c r="BC843" s="85" t="str">
        <f t="shared" si="188"/>
        <v/>
      </c>
      <c r="BD843" s="86" t="str">
        <f t="shared" si="189"/>
        <v/>
      </c>
      <c r="BE843" s="84">
        <f t="shared" si="190"/>
        <v>0</v>
      </c>
      <c r="BF843" s="87" t="str">
        <f t="shared" si="191"/>
        <v/>
      </c>
      <c r="BG843" s="88" t="str">
        <f t="shared" si="192"/>
        <v/>
      </c>
      <c r="BH843" s="89" t="str">
        <f t="shared" si="193"/>
        <v/>
      </c>
      <c r="BI843" s="90" t="str">
        <f t="shared" si="194"/>
        <v/>
      </c>
      <c r="BJ843" s="90" t="str">
        <f t="shared" si="195"/>
        <v/>
      </c>
      <c r="BK843" s="91">
        <f t="shared" si="196"/>
        <v>0</v>
      </c>
      <c r="BL843" s="92">
        <f t="shared" si="197"/>
        <v>0</v>
      </c>
      <c r="BM843" s="95"/>
    </row>
    <row r="844" spans="1:65">
      <c r="A844" s="61">
        <f t="shared" si="174"/>
        <v>0</v>
      </c>
      <c r="B844" s="62"/>
      <c r="C844" s="62"/>
      <c r="D844" s="63"/>
      <c r="E844" s="64"/>
      <c r="F844" s="64"/>
      <c r="G844" s="65"/>
      <c r="H844" s="66" t="str">
        <f t="shared" si="175"/>
        <v/>
      </c>
      <c r="I844" s="67" t="str">
        <f t="shared" si="176"/>
        <v/>
      </c>
      <c r="J844" s="68" t="str">
        <f t="shared" si="177"/>
        <v/>
      </c>
      <c r="K844" s="69" t="str">
        <f t="shared" si="178"/>
        <v/>
      </c>
      <c r="L844" s="70" t="str">
        <f t="shared" si="179"/>
        <v/>
      </c>
      <c r="M844" s="71"/>
      <c r="N844" s="71"/>
      <c r="O844" s="71"/>
      <c r="P844" s="71"/>
      <c r="Q844" s="61"/>
      <c r="R844" s="63"/>
      <c r="S844" s="72"/>
      <c r="T844" s="61"/>
      <c r="U844" s="73"/>
      <c r="V844" s="62"/>
      <c r="W844" s="62"/>
      <c r="X844" s="62"/>
      <c r="Y844" s="93"/>
      <c r="Z844" s="94"/>
      <c r="AA844" s="74"/>
      <c r="AB844" s="75"/>
      <c r="AC844" s="75"/>
      <c r="AD844" s="76"/>
      <c r="AE844" s="77"/>
      <c r="AF844" s="75"/>
      <c r="AG844" s="78"/>
      <c r="AH844" s="79"/>
      <c r="AI844" s="74"/>
      <c r="AJ844" s="75"/>
      <c r="AK844" s="75"/>
      <c r="AL844" s="80">
        <f t="shared" si="180"/>
        <v>0</v>
      </c>
      <c r="AM844" s="74"/>
      <c r="AN844" s="74"/>
      <c r="AO844" s="81" t="str">
        <f t="shared" si="181"/>
        <v/>
      </c>
      <c r="AP844" s="82"/>
      <c r="AQ844" s="75"/>
      <c r="AR844" s="75"/>
      <c r="AS844" s="80">
        <f t="shared" si="182"/>
        <v>0</v>
      </c>
      <c r="AT844" s="74"/>
      <c r="AU844" s="75"/>
      <c r="AV844" s="75"/>
      <c r="AW844" s="75"/>
      <c r="AX844" s="80">
        <f t="shared" si="183"/>
        <v>0</v>
      </c>
      <c r="AY844" s="81" t="str">
        <f t="shared" si="184"/>
        <v/>
      </c>
      <c r="AZ844" s="83" t="str">
        <f t="shared" si="185"/>
        <v/>
      </c>
      <c r="BA844" s="80" t="str">
        <f t="shared" si="186"/>
        <v/>
      </c>
      <c r="BB844" s="84">
        <f t="shared" si="187"/>
        <v>0</v>
      </c>
      <c r="BC844" s="85" t="str">
        <f t="shared" si="188"/>
        <v/>
      </c>
      <c r="BD844" s="86" t="str">
        <f t="shared" si="189"/>
        <v/>
      </c>
      <c r="BE844" s="84">
        <f t="shared" si="190"/>
        <v>0</v>
      </c>
      <c r="BF844" s="87" t="str">
        <f t="shared" si="191"/>
        <v/>
      </c>
      <c r="BG844" s="88" t="str">
        <f t="shared" si="192"/>
        <v/>
      </c>
      <c r="BH844" s="89" t="str">
        <f t="shared" si="193"/>
        <v/>
      </c>
      <c r="BI844" s="90" t="str">
        <f t="shared" si="194"/>
        <v/>
      </c>
      <c r="BJ844" s="90" t="str">
        <f t="shared" si="195"/>
        <v/>
      </c>
      <c r="BK844" s="91">
        <f t="shared" si="196"/>
        <v>0</v>
      </c>
      <c r="BL844" s="92">
        <f t="shared" si="197"/>
        <v>0</v>
      </c>
      <c r="BM844" s="95"/>
    </row>
    <row r="845" spans="1:65">
      <c r="A845" s="61">
        <f t="shared" si="174"/>
        <v>0</v>
      </c>
      <c r="B845" s="62"/>
      <c r="C845" s="62"/>
      <c r="D845" s="63"/>
      <c r="E845" s="64"/>
      <c r="F845" s="64"/>
      <c r="G845" s="65"/>
      <c r="H845" s="66" t="str">
        <f t="shared" si="175"/>
        <v/>
      </c>
      <c r="I845" s="67" t="str">
        <f t="shared" si="176"/>
        <v/>
      </c>
      <c r="J845" s="68" t="str">
        <f t="shared" si="177"/>
        <v/>
      </c>
      <c r="K845" s="69" t="str">
        <f t="shared" si="178"/>
        <v/>
      </c>
      <c r="L845" s="70" t="str">
        <f t="shared" si="179"/>
        <v/>
      </c>
      <c r="M845" s="71"/>
      <c r="N845" s="71"/>
      <c r="O845" s="71"/>
      <c r="P845" s="71"/>
      <c r="Q845" s="61"/>
      <c r="R845" s="63"/>
      <c r="S845" s="72"/>
      <c r="T845" s="61"/>
      <c r="U845" s="73"/>
      <c r="V845" s="62"/>
      <c r="W845" s="62"/>
      <c r="X845" s="62"/>
      <c r="Y845" s="93"/>
      <c r="Z845" s="94"/>
      <c r="AA845" s="74"/>
      <c r="AB845" s="75"/>
      <c r="AC845" s="75"/>
      <c r="AD845" s="76"/>
      <c r="AE845" s="77"/>
      <c r="AF845" s="75"/>
      <c r="AG845" s="78"/>
      <c r="AH845" s="79"/>
      <c r="AI845" s="74"/>
      <c r="AJ845" s="75"/>
      <c r="AK845" s="75"/>
      <c r="AL845" s="80">
        <f t="shared" si="180"/>
        <v>0</v>
      </c>
      <c r="AM845" s="74"/>
      <c r="AN845" s="74"/>
      <c r="AO845" s="81" t="str">
        <f t="shared" si="181"/>
        <v/>
      </c>
      <c r="AP845" s="82"/>
      <c r="AQ845" s="75"/>
      <c r="AR845" s="75"/>
      <c r="AS845" s="80">
        <f t="shared" si="182"/>
        <v>0</v>
      </c>
      <c r="AT845" s="74"/>
      <c r="AU845" s="75"/>
      <c r="AV845" s="75"/>
      <c r="AW845" s="75"/>
      <c r="AX845" s="80">
        <f t="shared" si="183"/>
        <v>0</v>
      </c>
      <c r="AY845" s="81" t="str">
        <f t="shared" si="184"/>
        <v/>
      </c>
      <c r="AZ845" s="83" t="str">
        <f t="shared" si="185"/>
        <v/>
      </c>
      <c r="BA845" s="80" t="str">
        <f t="shared" si="186"/>
        <v/>
      </c>
      <c r="BB845" s="84">
        <f t="shared" si="187"/>
        <v>0</v>
      </c>
      <c r="BC845" s="85" t="str">
        <f t="shared" si="188"/>
        <v/>
      </c>
      <c r="BD845" s="86" t="str">
        <f t="shared" si="189"/>
        <v/>
      </c>
      <c r="BE845" s="84">
        <f t="shared" si="190"/>
        <v>0</v>
      </c>
      <c r="BF845" s="87" t="str">
        <f t="shared" si="191"/>
        <v/>
      </c>
      <c r="BG845" s="88" t="str">
        <f t="shared" si="192"/>
        <v/>
      </c>
      <c r="BH845" s="89" t="str">
        <f t="shared" si="193"/>
        <v/>
      </c>
      <c r="BI845" s="90" t="str">
        <f t="shared" si="194"/>
        <v/>
      </c>
      <c r="BJ845" s="90" t="str">
        <f t="shared" si="195"/>
        <v/>
      </c>
      <c r="BK845" s="91">
        <f t="shared" si="196"/>
        <v>0</v>
      </c>
      <c r="BL845" s="92">
        <f t="shared" si="197"/>
        <v>0</v>
      </c>
      <c r="BM845" s="95"/>
    </row>
    <row r="846" spans="1:65">
      <c r="A846" s="61">
        <f t="shared" si="174"/>
        <v>0</v>
      </c>
      <c r="B846" s="62"/>
      <c r="C846" s="62"/>
      <c r="D846" s="63"/>
      <c r="E846" s="64"/>
      <c r="F846" s="64"/>
      <c r="G846" s="65"/>
      <c r="H846" s="66" t="str">
        <f t="shared" si="175"/>
        <v/>
      </c>
      <c r="I846" s="67" t="str">
        <f t="shared" si="176"/>
        <v/>
      </c>
      <c r="J846" s="68" t="str">
        <f t="shared" si="177"/>
        <v/>
      </c>
      <c r="K846" s="69" t="str">
        <f t="shared" si="178"/>
        <v/>
      </c>
      <c r="L846" s="70" t="str">
        <f t="shared" si="179"/>
        <v/>
      </c>
      <c r="M846" s="71"/>
      <c r="N846" s="71"/>
      <c r="O846" s="71"/>
      <c r="P846" s="71"/>
      <c r="Q846" s="61"/>
      <c r="R846" s="63"/>
      <c r="S846" s="72"/>
      <c r="T846" s="61"/>
      <c r="U846" s="73"/>
      <c r="V846" s="62"/>
      <c r="W846" s="62"/>
      <c r="X846" s="62"/>
      <c r="Y846" s="93"/>
      <c r="Z846" s="94"/>
      <c r="AA846" s="74"/>
      <c r="AB846" s="75"/>
      <c r="AC846" s="75"/>
      <c r="AD846" s="76"/>
      <c r="AE846" s="77"/>
      <c r="AF846" s="75"/>
      <c r="AG846" s="78"/>
      <c r="AH846" s="79"/>
      <c r="AI846" s="74"/>
      <c r="AJ846" s="75"/>
      <c r="AK846" s="75"/>
      <c r="AL846" s="80">
        <f t="shared" si="180"/>
        <v>0</v>
      </c>
      <c r="AM846" s="74"/>
      <c r="AN846" s="74"/>
      <c r="AO846" s="81" t="str">
        <f t="shared" si="181"/>
        <v/>
      </c>
      <c r="AP846" s="82"/>
      <c r="AQ846" s="75"/>
      <c r="AR846" s="75"/>
      <c r="AS846" s="80">
        <f t="shared" si="182"/>
        <v>0</v>
      </c>
      <c r="AT846" s="74"/>
      <c r="AU846" s="75"/>
      <c r="AV846" s="75"/>
      <c r="AW846" s="75"/>
      <c r="AX846" s="80">
        <f t="shared" si="183"/>
        <v>0</v>
      </c>
      <c r="AY846" s="81" t="str">
        <f t="shared" si="184"/>
        <v/>
      </c>
      <c r="AZ846" s="83" t="str">
        <f t="shared" si="185"/>
        <v/>
      </c>
      <c r="BA846" s="80" t="str">
        <f t="shared" si="186"/>
        <v/>
      </c>
      <c r="BB846" s="84">
        <f t="shared" si="187"/>
        <v>0</v>
      </c>
      <c r="BC846" s="85" t="str">
        <f t="shared" si="188"/>
        <v/>
      </c>
      <c r="BD846" s="86" t="str">
        <f t="shared" si="189"/>
        <v/>
      </c>
      <c r="BE846" s="84">
        <f t="shared" si="190"/>
        <v>0</v>
      </c>
      <c r="BF846" s="87" t="str">
        <f t="shared" si="191"/>
        <v/>
      </c>
      <c r="BG846" s="88" t="str">
        <f t="shared" si="192"/>
        <v/>
      </c>
      <c r="BH846" s="89" t="str">
        <f t="shared" si="193"/>
        <v/>
      </c>
      <c r="BI846" s="90" t="str">
        <f t="shared" si="194"/>
        <v/>
      </c>
      <c r="BJ846" s="90" t="str">
        <f t="shared" si="195"/>
        <v/>
      </c>
      <c r="BK846" s="91">
        <f t="shared" si="196"/>
        <v>0</v>
      </c>
      <c r="BL846" s="92">
        <f t="shared" si="197"/>
        <v>0</v>
      </c>
      <c r="BM846" s="95"/>
    </row>
    <row r="847" spans="1:65">
      <c r="A847" s="61">
        <f t="shared" si="174"/>
        <v>0</v>
      </c>
      <c r="B847" s="62"/>
      <c r="C847" s="62"/>
      <c r="D847" s="63"/>
      <c r="E847" s="64"/>
      <c r="F847" s="64"/>
      <c r="G847" s="65"/>
      <c r="H847" s="66" t="str">
        <f t="shared" si="175"/>
        <v/>
      </c>
      <c r="I847" s="67" t="str">
        <f t="shared" si="176"/>
        <v/>
      </c>
      <c r="J847" s="68" t="str">
        <f t="shared" si="177"/>
        <v/>
      </c>
      <c r="K847" s="69" t="str">
        <f t="shared" si="178"/>
        <v/>
      </c>
      <c r="L847" s="70" t="str">
        <f t="shared" si="179"/>
        <v/>
      </c>
      <c r="M847" s="71"/>
      <c r="N847" s="71"/>
      <c r="O847" s="71"/>
      <c r="P847" s="71"/>
      <c r="Q847" s="61"/>
      <c r="R847" s="63"/>
      <c r="S847" s="72"/>
      <c r="T847" s="61"/>
      <c r="U847" s="73"/>
      <c r="V847" s="62"/>
      <c r="W847" s="62"/>
      <c r="X847" s="62"/>
      <c r="Y847" s="93"/>
      <c r="Z847" s="94"/>
      <c r="AA847" s="74"/>
      <c r="AB847" s="75"/>
      <c r="AC847" s="75"/>
      <c r="AD847" s="76"/>
      <c r="AE847" s="77"/>
      <c r="AF847" s="75"/>
      <c r="AG847" s="78"/>
      <c r="AH847" s="79"/>
      <c r="AI847" s="74"/>
      <c r="AJ847" s="75"/>
      <c r="AK847" s="75"/>
      <c r="AL847" s="80">
        <f t="shared" si="180"/>
        <v>0</v>
      </c>
      <c r="AM847" s="74"/>
      <c r="AN847" s="74"/>
      <c r="AO847" s="81" t="str">
        <f t="shared" si="181"/>
        <v/>
      </c>
      <c r="AP847" s="82"/>
      <c r="AQ847" s="75"/>
      <c r="AR847" s="75"/>
      <c r="AS847" s="80">
        <f t="shared" si="182"/>
        <v>0</v>
      </c>
      <c r="AT847" s="74"/>
      <c r="AU847" s="75"/>
      <c r="AV847" s="75"/>
      <c r="AW847" s="75"/>
      <c r="AX847" s="80">
        <f t="shared" si="183"/>
        <v>0</v>
      </c>
      <c r="AY847" s="81" t="str">
        <f t="shared" si="184"/>
        <v/>
      </c>
      <c r="AZ847" s="83" t="str">
        <f t="shared" si="185"/>
        <v/>
      </c>
      <c r="BA847" s="80" t="str">
        <f t="shared" si="186"/>
        <v/>
      </c>
      <c r="BB847" s="84">
        <f t="shared" si="187"/>
        <v>0</v>
      </c>
      <c r="BC847" s="85" t="str">
        <f t="shared" si="188"/>
        <v/>
      </c>
      <c r="BD847" s="86" t="str">
        <f t="shared" si="189"/>
        <v/>
      </c>
      <c r="BE847" s="84">
        <f t="shared" si="190"/>
        <v>0</v>
      </c>
      <c r="BF847" s="87" t="str">
        <f t="shared" si="191"/>
        <v/>
      </c>
      <c r="BG847" s="88" t="str">
        <f t="shared" si="192"/>
        <v/>
      </c>
      <c r="BH847" s="89" t="str">
        <f t="shared" si="193"/>
        <v/>
      </c>
      <c r="BI847" s="90" t="str">
        <f t="shared" si="194"/>
        <v/>
      </c>
      <c r="BJ847" s="90" t="str">
        <f t="shared" si="195"/>
        <v/>
      </c>
      <c r="BK847" s="91">
        <f t="shared" si="196"/>
        <v>0</v>
      </c>
      <c r="BL847" s="92">
        <f t="shared" si="197"/>
        <v>0</v>
      </c>
      <c r="BM847" s="95"/>
    </row>
    <row r="848" spans="1:65">
      <c r="A848" s="61">
        <f t="shared" si="174"/>
        <v>0</v>
      </c>
      <c r="B848" s="62"/>
      <c r="C848" s="62"/>
      <c r="D848" s="63"/>
      <c r="E848" s="64"/>
      <c r="F848" s="64"/>
      <c r="G848" s="65"/>
      <c r="H848" s="66" t="str">
        <f t="shared" si="175"/>
        <v/>
      </c>
      <c r="I848" s="67" t="str">
        <f t="shared" si="176"/>
        <v/>
      </c>
      <c r="J848" s="68" t="str">
        <f t="shared" si="177"/>
        <v/>
      </c>
      <c r="K848" s="69" t="str">
        <f t="shared" si="178"/>
        <v/>
      </c>
      <c r="L848" s="70" t="str">
        <f t="shared" si="179"/>
        <v/>
      </c>
      <c r="M848" s="71"/>
      <c r="N848" s="71"/>
      <c r="O848" s="71"/>
      <c r="P848" s="71"/>
      <c r="Q848" s="61"/>
      <c r="R848" s="63"/>
      <c r="S848" s="72"/>
      <c r="T848" s="61"/>
      <c r="U848" s="73"/>
      <c r="V848" s="62"/>
      <c r="W848" s="62"/>
      <c r="X848" s="62"/>
      <c r="Y848" s="93"/>
      <c r="Z848" s="94"/>
      <c r="AA848" s="74"/>
      <c r="AB848" s="75"/>
      <c r="AC848" s="75"/>
      <c r="AD848" s="76"/>
      <c r="AE848" s="77"/>
      <c r="AF848" s="75"/>
      <c r="AG848" s="78"/>
      <c r="AH848" s="79"/>
      <c r="AI848" s="74"/>
      <c r="AJ848" s="75"/>
      <c r="AK848" s="75"/>
      <c r="AL848" s="80">
        <f t="shared" si="180"/>
        <v>0</v>
      </c>
      <c r="AM848" s="74"/>
      <c r="AN848" s="74"/>
      <c r="AO848" s="81" t="str">
        <f t="shared" si="181"/>
        <v/>
      </c>
      <c r="AP848" s="82"/>
      <c r="AQ848" s="75"/>
      <c r="AR848" s="75"/>
      <c r="AS848" s="80">
        <f t="shared" si="182"/>
        <v>0</v>
      </c>
      <c r="AT848" s="74"/>
      <c r="AU848" s="75"/>
      <c r="AV848" s="75"/>
      <c r="AW848" s="75"/>
      <c r="AX848" s="80">
        <f t="shared" si="183"/>
        <v>0</v>
      </c>
      <c r="AY848" s="81" t="str">
        <f t="shared" si="184"/>
        <v/>
      </c>
      <c r="AZ848" s="83" t="str">
        <f t="shared" si="185"/>
        <v/>
      </c>
      <c r="BA848" s="80" t="str">
        <f t="shared" si="186"/>
        <v/>
      </c>
      <c r="BB848" s="84">
        <f t="shared" si="187"/>
        <v>0</v>
      </c>
      <c r="BC848" s="85" t="str">
        <f t="shared" si="188"/>
        <v/>
      </c>
      <c r="BD848" s="86" t="str">
        <f t="shared" si="189"/>
        <v/>
      </c>
      <c r="BE848" s="84">
        <f t="shared" si="190"/>
        <v>0</v>
      </c>
      <c r="BF848" s="87" t="str">
        <f t="shared" si="191"/>
        <v/>
      </c>
      <c r="BG848" s="88" t="str">
        <f t="shared" si="192"/>
        <v/>
      </c>
      <c r="BH848" s="89" t="str">
        <f t="shared" si="193"/>
        <v/>
      </c>
      <c r="BI848" s="90" t="str">
        <f t="shared" si="194"/>
        <v/>
      </c>
      <c r="BJ848" s="90" t="str">
        <f t="shared" si="195"/>
        <v/>
      </c>
      <c r="BK848" s="91">
        <f t="shared" si="196"/>
        <v>0</v>
      </c>
      <c r="BL848" s="92">
        <f t="shared" si="197"/>
        <v>0</v>
      </c>
      <c r="BM848" s="95"/>
    </row>
    <row r="849" spans="1:65">
      <c r="A849" s="61">
        <f t="shared" si="174"/>
        <v>0</v>
      </c>
      <c r="B849" s="62"/>
      <c r="C849" s="62"/>
      <c r="D849" s="63"/>
      <c r="E849" s="64"/>
      <c r="F849" s="64"/>
      <c r="G849" s="65"/>
      <c r="H849" s="66" t="str">
        <f t="shared" si="175"/>
        <v/>
      </c>
      <c r="I849" s="67" t="str">
        <f t="shared" si="176"/>
        <v/>
      </c>
      <c r="J849" s="68" t="str">
        <f t="shared" si="177"/>
        <v/>
      </c>
      <c r="K849" s="69" t="str">
        <f t="shared" si="178"/>
        <v/>
      </c>
      <c r="L849" s="70" t="str">
        <f t="shared" si="179"/>
        <v/>
      </c>
      <c r="M849" s="71"/>
      <c r="N849" s="71"/>
      <c r="O849" s="71"/>
      <c r="P849" s="71"/>
      <c r="Q849" s="61"/>
      <c r="R849" s="63"/>
      <c r="S849" s="72"/>
      <c r="T849" s="61"/>
      <c r="U849" s="73"/>
      <c r="V849" s="62"/>
      <c r="W849" s="62"/>
      <c r="X849" s="62"/>
      <c r="Y849" s="93"/>
      <c r="Z849" s="94"/>
      <c r="AA849" s="74"/>
      <c r="AB849" s="75"/>
      <c r="AC849" s="75"/>
      <c r="AD849" s="76"/>
      <c r="AE849" s="77"/>
      <c r="AF849" s="75"/>
      <c r="AG849" s="78"/>
      <c r="AH849" s="79"/>
      <c r="AI849" s="74"/>
      <c r="AJ849" s="75"/>
      <c r="AK849" s="75"/>
      <c r="AL849" s="80">
        <f t="shared" si="180"/>
        <v>0</v>
      </c>
      <c r="AM849" s="74"/>
      <c r="AN849" s="74"/>
      <c r="AO849" s="81" t="str">
        <f t="shared" si="181"/>
        <v/>
      </c>
      <c r="AP849" s="82"/>
      <c r="AQ849" s="75"/>
      <c r="AR849" s="75"/>
      <c r="AS849" s="80">
        <f t="shared" si="182"/>
        <v>0</v>
      </c>
      <c r="AT849" s="74"/>
      <c r="AU849" s="75"/>
      <c r="AV849" s="75"/>
      <c r="AW849" s="75"/>
      <c r="AX849" s="80">
        <f t="shared" si="183"/>
        <v>0</v>
      </c>
      <c r="AY849" s="81" t="str">
        <f t="shared" si="184"/>
        <v/>
      </c>
      <c r="AZ849" s="83" t="str">
        <f t="shared" si="185"/>
        <v/>
      </c>
      <c r="BA849" s="80" t="str">
        <f t="shared" si="186"/>
        <v/>
      </c>
      <c r="BB849" s="84">
        <f t="shared" si="187"/>
        <v>0</v>
      </c>
      <c r="BC849" s="85" t="str">
        <f t="shared" si="188"/>
        <v/>
      </c>
      <c r="BD849" s="86" t="str">
        <f t="shared" si="189"/>
        <v/>
      </c>
      <c r="BE849" s="84">
        <f t="shared" si="190"/>
        <v>0</v>
      </c>
      <c r="BF849" s="87" t="str">
        <f t="shared" si="191"/>
        <v/>
      </c>
      <c r="BG849" s="88" t="str">
        <f t="shared" si="192"/>
        <v/>
      </c>
      <c r="BH849" s="89" t="str">
        <f t="shared" si="193"/>
        <v/>
      </c>
      <c r="BI849" s="90" t="str">
        <f t="shared" si="194"/>
        <v/>
      </c>
      <c r="BJ849" s="90" t="str">
        <f t="shared" si="195"/>
        <v/>
      </c>
      <c r="BK849" s="91">
        <f t="shared" si="196"/>
        <v>0</v>
      </c>
      <c r="BL849" s="92">
        <f t="shared" si="197"/>
        <v>0</v>
      </c>
      <c r="BM849" s="95"/>
    </row>
    <row r="850" spans="1:65">
      <c r="A850" s="61">
        <f t="shared" si="174"/>
        <v>0</v>
      </c>
      <c r="B850" s="62"/>
      <c r="C850" s="62"/>
      <c r="D850" s="63"/>
      <c r="E850" s="64"/>
      <c r="F850" s="64"/>
      <c r="G850" s="65"/>
      <c r="H850" s="66" t="str">
        <f t="shared" si="175"/>
        <v/>
      </c>
      <c r="I850" s="67" t="str">
        <f t="shared" si="176"/>
        <v/>
      </c>
      <c r="J850" s="68" t="str">
        <f t="shared" si="177"/>
        <v/>
      </c>
      <c r="K850" s="69" t="str">
        <f t="shared" si="178"/>
        <v/>
      </c>
      <c r="L850" s="70" t="str">
        <f t="shared" si="179"/>
        <v/>
      </c>
      <c r="M850" s="71"/>
      <c r="N850" s="71"/>
      <c r="O850" s="71"/>
      <c r="P850" s="71"/>
      <c r="Q850" s="61"/>
      <c r="R850" s="63"/>
      <c r="S850" s="72"/>
      <c r="T850" s="61"/>
      <c r="U850" s="73"/>
      <c r="V850" s="62"/>
      <c r="W850" s="62"/>
      <c r="X850" s="62"/>
      <c r="Y850" s="93"/>
      <c r="Z850" s="94"/>
      <c r="AA850" s="74"/>
      <c r="AB850" s="75"/>
      <c r="AC850" s="75"/>
      <c r="AD850" s="76"/>
      <c r="AE850" s="77"/>
      <c r="AF850" s="75"/>
      <c r="AG850" s="78"/>
      <c r="AH850" s="79"/>
      <c r="AI850" s="74"/>
      <c r="AJ850" s="75"/>
      <c r="AK850" s="75"/>
      <c r="AL850" s="80">
        <f t="shared" si="180"/>
        <v>0</v>
      </c>
      <c r="AM850" s="74"/>
      <c r="AN850" s="74"/>
      <c r="AO850" s="81" t="str">
        <f t="shared" si="181"/>
        <v/>
      </c>
      <c r="AP850" s="82"/>
      <c r="AQ850" s="75"/>
      <c r="AR850" s="75"/>
      <c r="AS850" s="80">
        <f t="shared" si="182"/>
        <v>0</v>
      </c>
      <c r="AT850" s="74"/>
      <c r="AU850" s="75"/>
      <c r="AV850" s="75"/>
      <c r="AW850" s="75"/>
      <c r="AX850" s="80">
        <f t="shared" si="183"/>
        <v>0</v>
      </c>
      <c r="AY850" s="81" t="str">
        <f t="shared" si="184"/>
        <v/>
      </c>
      <c r="AZ850" s="83" t="str">
        <f t="shared" si="185"/>
        <v/>
      </c>
      <c r="BA850" s="80" t="str">
        <f t="shared" si="186"/>
        <v/>
      </c>
      <c r="BB850" s="84">
        <f t="shared" si="187"/>
        <v>0</v>
      </c>
      <c r="BC850" s="85" t="str">
        <f t="shared" si="188"/>
        <v/>
      </c>
      <c r="BD850" s="86" t="str">
        <f t="shared" si="189"/>
        <v/>
      </c>
      <c r="BE850" s="84">
        <f t="shared" si="190"/>
        <v>0</v>
      </c>
      <c r="BF850" s="87" t="str">
        <f t="shared" si="191"/>
        <v/>
      </c>
      <c r="BG850" s="88" t="str">
        <f t="shared" si="192"/>
        <v/>
      </c>
      <c r="BH850" s="89" t="str">
        <f t="shared" si="193"/>
        <v/>
      </c>
      <c r="BI850" s="90" t="str">
        <f t="shared" si="194"/>
        <v/>
      </c>
      <c r="BJ850" s="90" t="str">
        <f t="shared" si="195"/>
        <v/>
      </c>
      <c r="BK850" s="91">
        <f t="shared" si="196"/>
        <v>0</v>
      </c>
      <c r="BL850" s="92">
        <f t="shared" si="197"/>
        <v>0</v>
      </c>
      <c r="BM850" s="95"/>
    </row>
    <row r="851" spans="1:65">
      <c r="A851" s="61">
        <f t="shared" si="174"/>
        <v>0</v>
      </c>
      <c r="B851" s="62"/>
      <c r="C851" s="62"/>
      <c r="D851" s="63"/>
      <c r="E851" s="64"/>
      <c r="F851" s="64"/>
      <c r="G851" s="65"/>
      <c r="H851" s="66" t="str">
        <f t="shared" si="175"/>
        <v/>
      </c>
      <c r="I851" s="67" t="str">
        <f t="shared" si="176"/>
        <v/>
      </c>
      <c r="J851" s="68" t="str">
        <f t="shared" si="177"/>
        <v/>
      </c>
      <c r="K851" s="69" t="str">
        <f t="shared" si="178"/>
        <v/>
      </c>
      <c r="L851" s="70" t="str">
        <f t="shared" si="179"/>
        <v/>
      </c>
      <c r="M851" s="71"/>
      <c r="N851" s="71"/>
      <c r="O851" s="71"/>
      <c r="P851" s="71"/>
      <c r="Q851" s="61"/>
      <c r="R851" s="63"/>
      <c r="S851" s="72"/>
      <c r="T851" s="61"/>
      <c r="U851" s="73"/>
      <c r="V851" s="62"/>
      <c r="W851" s="62"/>
      <c r="X851" s="62"/>
      <c r="Y851" s="93"/>
      <c r="Z851" s="94"/>
      <c r="AA851" s="74"/>
      <c r="AB851" s="75"/>
      <c r="AC851" s="75"/>
      <c r="AD851" s="76"/>
      <c r="AE851" s="77"/>
      <c r="AF851" s="75"/>
      <c r="AG851" s="78"/>
      <c r="AH851" s="79"/>
      <c r="AI851" s="74"/>
      <c r="AJ851" s="75"/>
      <c r="AK851" s="75"/>
      <c r="AL851" s="80">
        <f t="shared" si="180"/>
        <v>0</v>
      </c>
      <c r="AM851" s="74"/>
      <c r="AN851" s="74"/>
      <c r="AO851" s="81" t="str">
        <f t="shared" si="181"/>
        <v/>
      </c>
      <c r="AP851" s="82"/>
      <c r="AQ851" s="75"/>
      <c r="AR851" s="75"/>
      <c r="AS851" s="80">
        <f t="shared" si="182"/>
        <v>0</v>
      </c>
      <c r="AT851" s="74"/>
      <c r="AU851" s="75"/>
      <c r="AV851" s="75"/>
      <c r="AW851" s="75"/>
      <c r="AX851" s="80">
        <f t="shared" si="183"/>
        <v>0</v>
      </c>
      <c r="AY851" s="81" t="str">
        <f t="shared" si="184"/>
        <v/>
      </c>
      <c r="AZ851" s="83" t="str">
        <f t="shared" si="185"/>
        <v/>
      </c>
      <c r="BA851" s="80" t="str">
        <f t="shared" si="186"/>
        <v/>
      </c>
      <c r="BB851" s="84">
        <f t="shared" si="187"/>
        <v>0</v>
      </c>
      <c r="BC851" s="85" t="str">
        <f t="shared" si="188"/>
        <v/>
      </c>
      <c r="BD851" s="86" t="str">
        <f t="shared" si="189"/>
        <v/>
      </c>
      <c r="BE851" s="84">
        <f t="shared" si="190"/>
        <v>0</v>
      </c>
      <c r="BF851" s="87" t="str">
        <f t="shared" si="191"/>
        <v/>
      </c>
      <c r="BG851" s="88" t="str">
        <f t="shared" si="192"/>
        <v/>
      </c>
      <c r="BH851" s="89" t="str">
        <f t="shared" si="193"/>
        <v/>
      </c>
      <c r="BI851" s="90" t="str">
        <f t="shared" si="194"/>
        <v/>
      </c>
      <c r="BJ851" s="90" t="str">
        <f t="shared" si="195"/>
        <v/>
      </c>
      <c r="BK851" s="91">
        <f t="shared" si="196"/>
        <v>0</v>
      </c>
      <c r="BL851" s="92">
        <f t="shared" si="197"/>
        <v>0</v>
      </c>
      <c r="BM851" s="95"/>
    </row>
    <row r="852" spans="1:65">
      <c r="A852" s="61">
        <f t="shared" si="174"/>
        <v>0</v>
      </c>
      <c r="B852" s="62"/>
      <c r="C852" s="62"/>
      <c r="D852" s="63"/>
      <c r="E852" s="64"/>
      <c r="F852" s="64"/>
      <c r="G852" s="65"/>
      <c r="H852" s="66" t="str">
        <f t="shared" si="175"/>
        <v/>
      </c>
      <c r="I852" s="67" t="str">
        <f t="shared" si="176"/>
        <v/>
      </c>
      <c r="J852" s="68" t="str">
        <f t="shared" si="177"/>
        <v/>
      </c>
      <c r="K852" s="69" t="str">
        <f t="shared" si="178"/>
        <v/>
      </c>
      <c r="L852" s="70" t="str">
        <f t="shared" si="179"/>
        <v/>
      </c>
      <c r="M852" s="71"/>
      <c r="N852" s="71"/>
      <c r="O852" s="71"/>
      <c r="P852" s="71"/>
      <c r="Q852" s="61"/>
      <c r="R852" s="63"/>
      <c r="S852" s="72"/>
      <c r="T852" s="61"/>
      <c r="U852" s="73"/>
      <c r="V852" s="62"/>
      <c r="W852" s="62"/>
      <c r="X852" s="62"/>
      <c r="Y852" s="93"/>
      <c r="Z852" s="94"/>
      <c r="AA852" s="74"/>
      <c r="AB852" s="75"/>
      <c r="AC852" s="75"/>
      <c r="AD852" s="76"/>
      <c r="AE852" s="77"/>
      <c r="AF852" s="75"/>
      <c r="AG852" s="78"/>
      <c r="AH852" s="79"/>
      <c r="AI852" s="74"/>
      <c r="AJ852" s="75"/>
      <c r="AK852" s="75"/>
      <c r="AL852" s="80">
        <f t="shared" si="180"/>
        <v>0</v>
      </c>
      <c r="AM852" s="74"/>
      <c r="AN852" s="74"/>
      <c r="AO852" s="81" t="str">
        <f t="shared" si="181"/>
        <v/>
      </c>
      <c r="AP852" s="82"/>
      <c r="AQ852" s="75"/>
      <c r="AR852" s="75"/>
      <c r="AS852" s="80">
        <f t="shared" si="182"/>
        <v>0</v>
      </c>
      <c r="AT852" s="74"/>
      <c r="AU852" s="75"/>
      <c r="AV852" s="75"/>
      <c r="AW852" s="75"/>
      <c r="AX852" s="80">
        <f t="shared" si="183"/>
        <v>0</v>
      </c>
      <c r="AY852" s="81" t="str">
        <f t="shared" si="184"/>
        <v/>
      </c>
      <c r="AZ852" s="83" t="str">
        <f t="shared" si="185"/>
        <v/>
      </c>
      <c r="BA852" s="80" t="str">
        <f t="shared" si="186"/>
        <v/>
      </c>
      <c r="BB852" s="84">
        <f t="shared" si="187"/>
        <v>0</v>
      </c>
      <c r="BC852" s="85" t="str">
        <f t="shared" si="188"/>
        <v/>
      </c>
      <c r="BD852" s="86" t="str">
        <f t="shared" si="189"/>
        <v/>
      </c>
      <c r="BE852" s="84">
        <f t="shared" si="190"/>
        <v>0</v>
      </c>
      <c r="BF852" s="87" t="str">
        <f t="shared" si="191"/>
        <v/>
      </c>
      <c r="BG852" s="88" t="str">
        <f t="shared" si="192"/>
        <v/>
      </c>
      <c r="BH852" s="89" t="str">
        <f t="shared" si="193"/>
        <v/>
      </c>
      <c r="BI852" s="90" t="str">
        <f t="shared" si="194"/>
        <v/>
      </c>
      <c r="BJ852" s="90" t="str">
        <f t="shared" si="195"/>
        <v/>
      </c>
      <c r="BK852" s="91">
        <f t="shared" si="196"/>
        <v>0</v>
      </c>
      <c r="BL852" s="92">
        <f t="shared" si="197"/>
        <v>0</v>
      </c>
      <c r="BM852" s="95"/>
    </row>
    <row r="853" spans="1:65">
      <c r="A853" s="61">
        <f t="shared" si="174"/>
        <v>0</v>
      </c>
      <c r="B853" s="62"/>
      <c r="C853" s="62"/>
      <c r="D853" s="63"/>
      <c r="E853" s="64"/>
      <c r="F853" s="64"/>
      <c r="G853" s="65"/>
      <c r="H853" s="66" t="str">
        <f t="shared" si="175"/>
        <v/>
      </c>
      <c r="I853" s="67" t="str">
        <f t="shared" si="176"/>
        <v/>
      </c>
      <c r="J853" s="68" t="str">
        <f t="shared" si="177"/>
        <v/>
      </c>
      <c r="K853" s="69" t="str">
        <f t="shared" si="178"/>
        <v/>
      </c>
      <c r="L853" s="70" t="str">
        <f t="shared" si="179"/>
        <v/>
      </c>
      <c r="M853" s="71"/>
      <c r="N853" s="71"/>
      <c r="O853" s="71"/>
      <c r="P853" s="71"/>
      <c r="Q853" s="61"/>
      <c r="R853" s="63"/>
      <c r="S853" s="72"/>
      <c r="T853" s="61"/>
      <c r="U853" s="73"/>
      <c r="V853" s="62"/>
      <c r="W853" s="62"/>
      <c r="X853" s="62"/>
      <c r="Y853" s="93"/>
      <c r="Z853" s="94"/>
      <c r="AA853" s="74"/>
      <c r="AB853" s="75"/>
      <c r="AC853" s="75"/>
      <c r="AD853" s="76"/>
      <c r="AE853" s="77"/>
      <c r="AF853" s="75"/>
      <c r="AG853" s="78"/>
      <c r="AH853" s="79"/>
      <c r="AI853" s="74"/>
      <c r="AJ853" s="75"/>
      <c r="AK853" s="75"/>
      <c r="AL853" s="80">
        <f t="shared" si="180"/>
        <v>0</v>
      </c>
      <c r="AM853" s="74"/>
      <c r="AN853" s="74"/>
      <c r="AO853" s="81" t="str">
        <f t="shared" si="181"/>
        <v/>
      </c>
      <c r="AP853" s="82"/>
      <c r="AQ853" s="75"/>
      <c r="AR853" s="75"/>
      <c r="AS853" s="80">
        <f t="shared" si="182"/>
        <v>0</v>
      </c>
      <c r="AT853" s="74"/>
      <c r="AU853" s="75"/>
      <c r="AV853" s="75"/>
      <c r="AW853" s="75"/>
      <c r="AX853" s="80">
        <f t="shared" si="183"/>
        <v>0</v>
      </c>
      <c r="AY853" s="81" t="str">
        <f t="shared" si="184"/>
        <v/>
      </c>
      <c r="AZ853" s="83" t="str">
        <f t="shared" si="185"/>
        <v/>
      </c>
      <c r="BA853" s="80" t="str">
        <f t="shared" si="186"/>
        <v/>
      </c>
      <c r="BB853" s="84">
        <f t="shared" si="187"/>
        <v>0</v>
      </c>
      <c r="BC853" s="85" t="str">
        <f t="shared" si="188"/>
        <v/>
      </c>
      <c r="BD853" s="86" t="str">
        <f t="shared" si="189"/>
        <v/>
      </c>
      <c r="BE853" s="84">
        <f t="shared" si="190"/>
        <v>0</v>
      </c>
      <c r="BF853" s="87" t="str">
        <f t="shared" si="191"/>
        <v/>
      </c>
      <c r="BG853" s="88" t="str">
        <f t="shared" si="192"/>
        <v/>
      </c>
      <c r="BH853" s="89" t="str">
        <f t="shared" si="193"/>
        <v/>
      </c>
      <c r="BI853" s="90" t="str">
        <f t="shared" si="194"/>
        <v/>
      </c>
      <c r="BJ853" s="90" t="str">
        <f t="shared" si="195"/>
        <v/>
      </c>
      <c r="BK853" s="91">
        <f t="shared" si="196"/>
        <v>0</v>
      </c>
      <c r="BL853" s="92">
        <f t="shared" si="197"/>
        <v>0</v>
      </c>
      <c r="BM853" s="95"/>
    </row>
    <row r="854" spans="1:65">
      <c r="A854" s="61">
        <f t="shared" si="174"/>
        <v>0</v>
      </c>
      <c r="B854" s="62"/>
      <c r="C854" s="62"/>
      <c r="D854" s="63"/>
      <c r="E854" s="64"/>
      <c r="F854" s="64"/>
      <c r="G854" s="65"/>
      <c r="H854" s="66" t="str">
        <f t="shared" si="175"/>
        <v/>
      </c>
      <c r="I854" s="67" t="str">
        <f t="shared" si="176"/>
        <v/>
      </c>
      <c r="J854" s="68" t="str">
        <f t="shared" si="177"/>
        <v/>
      </c>
      <c r="K854" s="69" t="str">
        <f t="shared" si="178"/>
        <v/>
      </c>
      <c r="L854" s="70" t="str">
        <f t="shared" si="179"/>
        <v/>
      </c>
      <c r="M854" s="71"/>
      <c r="N854" s="71"/>
      <c r="O854" s="71"/>
      <c r="P854" s="71"/>
      <c r="Q854" s="61"/>
      <c r="R854" s="63"/>
      <c r="S854" s="72"/>
      <c r="T854" s="61"/>
      <c r="U854" s="73"/>
      <c r="V854" s="62"/>
      <c r="W854" s="62"/>
      <c r="X854" s="62"/>
      <c r="Y854" s="93"/>
      <c r="Z854" s="94"/>
      <c r="AA854" s="74"/>
      <c r="AB854" s="75"/>
      <c r="AC854" s="75"/>
      <c r="AD854" s="76"/>
      <c r="AE854" s="77"/>
      <c r="AF854" s="75"/>
      <c r="AG854" s="78"/>
      <c r="AH854" s="79"/>
      <c r="AI854" s="74"/>
      <c r="AJ854" s="75"/>
      <c r="AK854" s="75"/>
      <c r="AL854" s="80">
        <f t="shared" si="180"/>
        <v>0</v>
      </c>
      <c r="AM854" s="74"/>
      <c r="AN854" s="74"/>
      <c r="AO854" s="81" t="str">
        <f t="shared" si="181"/>
        <v/>
      </c>
      <c r="AP854" s="82"/>
      <c r="AQ854" s="75"/>
      <c r="AR854" s="75"/>
      <c r="AS854" s="80">
        <f t="shared" si="182"/>
        <v>0</v>
      </c>
      <c r="AT854" s="74"/>
      <c r="AU854" s="75"/>
      <c r="AV854" s="75"/>
      <c r="AW854" s="75"/>
      <c r="AX854" s="80">
        <f t="shared" si="183"/>
        <v>0</v>
      </c>
      <c r="AY854" s="81" t="str">
        <f t="shared" si="184"/>
        <v/>
      </c>
      <c r="AZ854" s="83" t="str">
        <f t="shared" si="185"/>
        <v/>
      </c>
      <c r="BA854" s="80" t="str">
        <f t="shared" si="186"/>
        <v/>
      </c>
      <c r="BB854" s="84">
        <f t="shared" si="187"/>
        <v>0</v>
      </c>
      <c r="BC854" s="85" t="str">
        <f t="shared" si="188"/>
        <v/>
      </c>
      <c r="BD854" s="86" t="str">
        <f t="shared" si="189"/>
        <v/>
      </c>
      <c r="BE854" s="84">
        <f t="shared" si="190"/>
        <v>0</v>
      </c>
      <c r="BF854" s="87" t="str">
        <f t="shared" si="191"/>
        <v/>
      </c>
      <c r="BG854" s="88" t="str">
        <f t="shared" si="192"/>
        <v/>
      </c>
      <c r="BH854" s="89" t="str">
        <f t="shared" si="193"/>
        <v/>
      </c>
      <c r="BI854" s="90" t="str">
        <f t="shared" si="194"/>
        <v/>
      </c>
      <c r="BJ854" s="90" t="str">
        <f t="shared" si="195"/>
        <v/>
      </c>
      <c r="BK854" s="91">
        <f t="shared" si="196"/>
        <v>0</v>
      </c>
      <c r="BL854" s="92">
        <f t="shared" si="197"/>
        <v>0</v>
      </c>
      <c r="BM854" s="95"/>
    </row>
    <row r="855" spans="1:65">
      <c r="A855" s="61">
        <f t="shared" si="174"/>
        <v>0</v>
      </c>
      <c r="B855" s="62"/>
      <c r="C855" s="62"/>
      <c r="D855" s="63"/>
      <c r="E855" s="64"/>
      <c r="F855" s="64"/>
      <c r="G855" s="65"/>
      <c r="H855" s="66" t="str">
        <f t="shared" si="175"/>
        <v/>
      </c>
      <c r="I855" s="67" t="str">
        <f t="shared" si="176"/>
        <v/>
      </c>
      <c r="J855" s="68" t="str">
        <f t="shared" si="177"/>
        <v/>
      </c>
      <c r="K855" s="69" t="str">
        <f t="shared" si="178"/>
        <v/>
      </c>
      <c r="L855" s="70" t="str">
        <f t="shared" si="179"/>
        <v/>
      </c>
      <c r="M855" s="71"/>
      <c r="N855" s="71"/>
      <c r="O855" s="71"/>
      <c r="P855" s="71"/>
      <c r="Q855" s="61"/>
      <c r="R855" s="63"/>
      <c r="S855" s="72"/>
      <c r="T855" s="61"/>
      <c r="U855" s="73"/>
      <c r="V855" s="62"/>
      <c r="W855" s="62"/>
      <c r="X855" s="62"/>
      <c r="Y855" s="93"/>
      <c r="Z855" s="94"/>
      <c r="AA855" s="74"/>
      <c r="AB855" s="75"/>
      <c r="AC855" s="75"/>
      <c r="AD855" s="76"/>
      <c r="AE855" s="77"/>
      <c r="AF855" s="75"/>
      <c r="AG855" s="78"/>
      <c r="AH855" s="79"/>
      <c r="AI855" s="74"/>
      <c r="AJ855" s="75"/>
      <c r="AK855" s="75"/>
      <c r="AL855" s="80">
        <f t="shared" si="180"/>
        <v>0</v>
      </c>
      <c r="AM855" s="74"/>
      <c r="AN855" s="74"/>
      <c r="AO855" s="81" t="str">
        <f t="shared" si="181"/>
        <v/>
      </c>
      <c r="AP855" s="82"/>
      <c r="AQ855" s="75"/>
      <c r="AR855" s="75"/>
      <c r="AS855" s="80">
        <f t="shared" si="182"/>
        <v>0</v>
      </c>
      <c r="AT855" s="74"/>
      <c r="AU855" s="75"/>
      <c r="AV855" s="75"/>
      <c r="AW855" s="75"/>
      <c r="AX855" s="80">
        <f t="shared" si="183"/>
        <v>0</v>
      </c>
      <c r="AY855" s="81" t="str">
        <f t="shared" si="184"/>
        <v/>
      </c>
      <c r="AZ855" s="83" t="str">
        <f t="shared" si="185"/>
        <v/>
      </c>
      <c r="BA855" s="80" t="str">
        <f t="shared" si="186"/>
        <v/>
      </c>
      <c r="BB855" s="84">
        <f t="shared" si="187"/>
        <v>0</v>
      </c>
      <c r="BC855" s="85" t="str">
        <f t="shared" si="188"/>
        <v/>
      </c>
      <c r="BD855" s="86" t="str">
        <f t="shared" si="189"/>
        <v/>
      </c>
      <c r="BE855" s="84">
        <f t="shared" si="190"/>
        <v>0</v>
      </c>
      <c r="BF855" s="87" t="str">
        <f t="shared" si="191"/>
        <v/>
      </c>
      <c r="BG855" s="88" t="str">
        <f t="shared" si="192"/>
        <v/>
      </c>
      <c r="BH855" s="89" t="str">
        <f t="shared" si="193"/>
        <v/>
      </c>
      <c r="BI855" s="90" t="str">
        <f t="shared" si="194"/>
        <v/>
      </c>
      <c r="BJ855" s="90" t="str">
        <f t="shared" si="195"/>
        <v/>
      </c>
      <c r="BK855" s="91">
        <f t="shared" si="196"/>
        <v>0</v>
      </c>
      <c r="BL855" s="92">
        <f t="shared" si="197"/>
        <v>0</v>
      </c>
      <c r="BM855" s="95"/>
    </row>
    <row r="856" spans="1:65">
      <c r="A856" s="61">
        <f t="shared" si="174"/>
        <v>0</v>
      </c>
      <c r="B856" s="62"/>
      <c r="C856" s="62"/>
      <c r="D856" s="63"/>
      <c r="E856" s="64"/>
      <c r="F856" s="64"/>
      <c r="G856" s="65"/>
      <c r="H856" s="66" t="str">
        <f t="shared" si="175"/>
        <v/>
      </c>
      <c r="I856" s="67" t="str">
        <f t="shared" si="176"/>
        <v/>
      </c>
      <c r="J856" s="68" t="str">
        <f t="shared" si="177"/>
        <v/>
      </c>
      <c r="K856" s="69" t="str">
        <f t="shared" si="178"/>
        <v/>
      </c>
      <c r="L856" s="70" t="str">
        <f t="shared" si="179"/>
        <v/>
      </c>
      <c r="M856" s="71"/>
      <c r="N856" s="71"/>
      <c r="O856" s="71"/>
      <c r="P856" s="71"/>
      <c r="Q856" s="61"/>
      <c r="R856" s="63"/>
      <c r="S856" s="72"/>
      <c r="T856" s="61"/>
      <c r="U856" s="73"/>
      <c r="V856" s="62"/>
      <c r="W856" s="62"/>
      <c r="X856" s="62"/>
      <c r="Y856" s="93"/>
      <c r="Z856" s="94"/>
      <c r="AA856" s="74"/>
      <c r="AB856" s="75"/>
      <c r="AC856" s="75"/>
      <c r="AD856" s="76"/>
      <c r="AE856" s="77"/>
      <c r="AF856" s="75"/>
      <c r="AG856" s="78"/>
      <c r="AH856" s="79"/>
      <c r="AI856" s="74"/>
      <c r="AJ856" s="75"/>
      <c r="AK856" s="75"/>
      <c r="AL856" s="80">
        <f t="shared" si="180"/>
        <v>0</v>
      </c>
      <c r="AM856" s="74"/>
      <c r="AN856" s="74"/>
      <c r="AO856" s="81" t="str">
        <f t="shared" si="181"/>
        <v/>
      </c>
      <c r="AP856" s="82"/>
      <c r="AQ856" s="75"/>
      <c r="AR856" s="75"/>
      <c r="AS856" s="80">
        <f t="shared" si="182"/>
        <v>0</v>
      </c>
      <c r="AT856" s="74"/>
      <c r="AU856" s="75"/>
      <c r="AV856" s="75"/>
      <c r="AW856" s="75"/>
      <c r="AX856" s="80">
        <f t="shared" si="183"/>
        <v>0</v>
      </c>
      <c r="AY856" s="81" t="str">
        <f t="shared" si="184"/>
        <v/>
      </c>
      <c r="AZ856" s="83" t="str">
        <f t="shared" si="185"/>
        <v/>
      </c>
      <c r="BA856" s="80" t="str">
        <f t="shared" si="186"/>
        <v/>
      </c>
      <c r="BB856" s="84">
        <f t="shared" si="187"/>
        <v>0</v>
      </c>
      <c r="BC856" s="85" t="str">
        <f t="shared" si="188"/>
        <v/>
      </c>
      <c r="BD856" s="86" t="str">
        <f t="shared" si="189"/>
        <v/>
      </c>
      <c r="BE856" s="84">
        <f t="shared" si="190"/>
        <v>0</v>
      </c>
      <c r="BF856" s="87" t="str">
        <f t="shared" si="191"/>
        <v/>
      </c>
      <c r="BG856" s="88" t="str">
        <f t="shared" si="192"/>
        <v/>
      </c>
      <c r="BH856" s="89" t="str">
        <f t="shared" si="193"/>
        <v/>
      </c>
      <c r="BI856" s="90" t="str">
        <f t="shared" si="194"/>
        <v/>
      </c>
      <c r="BJ856" s="90" t="str">
        <f t="shared" si="195"/>
        <v/>
      </c>
      <c r="BK856" s="91">
        <f t="shared" si="196"/>
        <v>0</v>
      </c>
      <c r="BL856" s="92">
        <f t="shared" si="197"/>
        <v>0</v>
      </c>
      <c r="BM856" s="95"/>
    </row>
    <row r="857" spans="1:65">
      <c r="A857" s="61">
        <f t="shared" si="174"/>
        <v>0</v>
      </c>
      <c r="B857" s="62"/>
      <c r="C857" s="62"/>
      <c r="D857" s="63"/>
      <c r="E857" s="64"/>
      <c r="F857" s="64"/>
      <c r="G857" s="65"/>
      <c r="H857" s="66" t="str">
        <f t="shared" si="175"/>
        <v/>
      </c>
      <c r="I857" s="67" t="str">
        <f t="shared" si="176"/>
        <v/>
      </c>
      <c r="J857" s="68" t="str">
        <f t="shared" si="177"/>
        <v/>
      </c>
      <c r="K857" s="69" t="str">
        <f t="shared" si="178"/>
        <v/>
      </c>
      <c r="L857" s="70" t="str">
        <f t="shared" si="179"/>
        <v/>
      </c>
      <c r="M857" s="71"/>
      <c r="N857" s="71"/>
      <c r="O857" s="71"/>
      <c r="P857" s="71"/>
      <c r="Q857" s="61"/>
      <c r="R857" s="63"/>
      <c r="S857" s="72"/>
      <c r="T857" s="61"/>
      <c r="U857" s="73"/>
      <c r="V857" s="62"/>
      <c r="W857" s="62"/>
      <c r="X857" s="62"/>
      <c r="Y857" s="93"/>
      <c r="Z857" s="94"/>
      <c r="AA857" s="74"/>
      <c r="AB857" s="75"/>
      <c r="AC857" s="75"/>
      <c r="AD857" s="76"/>
      <c r="AE857" s="77"/>
      <c r="AF857" s="75"/>
      <c r="AG857" s="78"/>
      <c r="AH857" s="79"/>
      <c r="AI857" s="74"/>
      <c r="AJ857" s="75"/>
      <c r="AK857" s="75"/>
      <c r="AL857" s="80">
        <f t="shared" si="180"/>
        <v>0</v>
      </c>
      <c r="AM857" s="74"/>
      <c r="AN857" s="74"/>
      <c r="AO857" s="81" t="str">
        <f t="shared" si="181"/>
        <v/>
      </c>
      <c r="AP857" s="82"/>
      <c r="AQ857" s="75"/>
      <c r="AR857" s="75"/>
      <c r="AS857" s="80">
        <f t="shared" si="182"/>
        <v>0</v>
      </c>
      <c r="AT857" s="74"/>
      <c r="AU857" s="75"/>
      <c r="AV857" s="75"/>
      <c r="AW857" s="75"/>
      <c r="AX857" s="80">
        <f t="shared" si="183"/>
        <v>0</v>
      </c>
      <c r="AY857" s="81" t="str">
        <f t="shared" si="184"/>
        <v/>
      </c>
      <c r="AZ857" s="83" t="str">
        <f t="shared" si="185"/>
        <v/>
      </c>
      <c r="BA857" s="80" t="str">
        <f t="shared" si="186"/>
        <v/>
      </c>
      <c r="BB857" s="84">
        <f t="shared" si="187"/>
        <v>0</v>
      </c>
      <c r="BC857" s="85" t="str">
        <f t="shared" si="188"/>
        <v/>
      </c>
      <c r="BD857" s="86" t="str">
        <f t="shared" si="189"/>
        <v/>
      </c>
      <c r="BE857" s="84">
        <f t="shared" si="190"/>
        <v>0</v>
      </c>
      <c r="BF857" s="87" t="str">
        <f t="shared" si="191"/>
        <v/>
      </c>
      <c r="BG857" s="88" t="str">
        <f t="shared" si="192"/>
        <v/>
      </c>
      <c r="BH857" s="89" t="str">
        <f t="shared" si="193"/>
        <v/>
      </c>
      <c r="BI857" s="90" t="str">
        <f t="shared" si="194"/>
        <v/>
      </c>
      <c r="BJ857" s="90" t="str">
        <f t="shared" si="195"/>
        <v/>
      </c>
      <c r="BK857" s="91">
        <f t="shared" si="196"/>
        <v>0</v>
      </c>
      <c r="BL857" s="92">
        <f t="shared" si="197"/>
        <v>0</v>
      </c>
      <c r="BM857" s="95"/>
    </row>
    <row r="858" spans="1:65">
      <c r="A858" s="61">
        <f t="shared" si="174"/>
        <v>0</v>
      </c>
      <c r="B858" s="62"/>
      <c r="C858" s="62"/>
      <c r="D858" s="63"/>
      <c r="E858" s="64"/>
      <c r="F858" s="64"/>
      <c r="G858" s="65"/>
      <c r="H858" s="66" t="str">
        <f t="shared" si="175"/>
        <v/>
      </c>
      <c r="I858" s="67" t="str">
        <f t="shared" si="176"/>
        <v/>
      </c>
      <c r="J858" s="68" t="str">
        <f t="shared" si="177"/>
        <v/>
      </c>
      <c r="K858" s="69" t="str">
        <f t="shared" si="178"/>
        <v/>
      </c>
      <c r="L858" s="70" t="str">
        <f t="shared" si="179"/>
        <v/>
      </c>
      <c r="M858" s="71"/>
      <c r="N858" s="71"/>
      <c r="O858" s="71"/>
      <c r="P858" s="71"/>
      <c r="Q858" s="61"/>
      <c r="R858" s="63"/>
      <c r="S858" s="72"/>
      <c r="T858" s="61"/>
      <c r="U858" s="73"/>
      <c r="V858" s="62"/>
      <c r="W858" s="62"/>
      <c r="X858" s="62"/>
      <c r="Y858" s="93"/>
      <c r="Z858" s="94"/>
      <c r="AA858" s="74"/>
      <c r="AB858" s="75"/>
      <c r="AC858" s="75"/>
      <c r="AD858" s="76"/>
      <c r="AE858" s="77"/>
      <c r="AF858" s="75"/>
      <c r="AG858" s="78"/>
      <c r="AH858" s="79"/>
      <c r="AI858" s="74"/>
      <c r="AJ858" s="75"/>
      <c r="AK858" s="75"/>
      <c r="AL858" s="80">
        <f t="shared" si="180"/>
        <v>0</v>
      </c>
      <c r="AM858" s="74"/>
      <c r="AN858" s="74"/>
      <c r="AO858" s="81" t="str">
        <f t="shared" si="181"/>
        <v/>
      </c>
      <c r="AP858" s="82"/>
      <c r="AQ858" s="75"/>
      <c r="AR858" s="75"/>
      <c r="AS858" s="80">
        <f t="shared" si="182"/>
        <v>0</v>
      </c>
      <c r="AT858" s="74"/>
      <c r="AU858" s="75"/>
      <c r="AV858" s="75"/>
      <c r="AW858" s="75"/>
      <c r="AX858" s="80">
        <f t="shared" si="183"/>
        <v>0</v>
      </c>
      <c r="AY858" s="81" t="str">
        <f t="shared" si="184"/>
        <v/>
      </c>
      <c r="AZ858" s="83" t="str">
        <f t="shared" si="185"/>
        <v/>
      </c>
      <c r="BA858" s="80" t="str">
        <f t="shared" si="186"/>
        <v/>
      </c>
      <c r="BB858" s="84">
        <f t="shared" si="187"/>
        <v>0</v>
      </c>
      <c r="BC858" s="85" t="str">
        <f t="shared" si="188"/>
        <v/>
      </c>
      <c r="BD858" s="86" t="str">
        <f t="shared" si="189"/>
        <v/>
      </c>
      <c r="BE858" s="84">
        <f t="shared" si="190"/>
        <v>0</v>
      </c>
      <c r="BF858" s="87" t="str">
        <f t="shared" si="191"/>
        <v/>
      </c>
      <c r="BG858" s="88" t="str">
        <f t="shared" si="192"/>
        <v/>
      </c>
      <c r="BH858" s="89" t="str">
        <f t="shared" si="193"/>
        <v/>
      </c>
      <c r="BI858" s="90" t="str">
        <f t="shared" si="194"/>
        <v/>
      </c>
      <c r="BJ858" s="90" t="str">
        <f t="shared" si="195"/>
        <v/>
      </c>
      <c r="BK858" s="91">
        <f t="shared" si="196"/>
        <v>0</v>
      </c>
      <c r="BL858" s="92">
        <f t="shared" si="197"/>
        <v>0</v>
      </c>
      <c r="BM858" s="95"/>
    </row>
    <row r="859" spans="1:65">
      <c r="A859" s="61">
        <f t="shared" si="174"/>
        <v>0</v>
      </c>
      <c r="B859" s="62"/>
      <c r="C859" s="62"/>
      <c r="D859" s="63"/>
      <c r="E859" s="64"/>
      <c r="F859" s="64"/>
      <c r="G859" s="65"/>
      <c r="H859" s="66" t="str">
        <f t="shared" si="175"/>
        <v/>
      </c>
      <c r="I859" s="67" t="str">
        <f t="shared" si="176"/>
        <v/>
      </c>
      <c r="J859" s="68" t="str">
        <f t="shared" si="177"/>
        <v/>
      </c>
      <c r="K859" s="69" t="str">
        <f t="shared" si="178"/>
        <v/>
      </c>
      <c r="L859" s="70" t="str">
        <f t="shared" si="179"/>
        <v/>
      </c>
      <c r="M859" s="71"/>
      <c r="N859" s="71"/>
      <c r="O859" s="71"/>
      <c r="P859" s="71"/>
      <c r="Q859" s="61"/>
      <c r="R859" s="63"/>
      <c r="S859" s="72"/>
      <c r="T859" s="61"/>
      <c r="U859" s="73"/>
      <c r="V859" s="62"/>
      <c r="W859" s="62"/>
      <c r="X859" s="62"/>
      <c r="Y859" s="93"/>
      <c r="Z859" s="94"/>
      <c r="AA859" s="74"/>
      <c r="AB859" s="75"/>
      <c r="AC859" s="75"/>
      <c r="AD859" s="76"/>
      <c r="AE859" s="77"/>
      <c r="AF859" s="75"/>
      <c r="AG859" s="78"/>
      <c r="AH859" s="79"/>
      <c r="AI859" s="74"/>
      <c r="AJ859" s="75"/>
      <c r="AK859" s="75"/>
      <c r="AL859" s="80">
        <f t="shared" si="180"/>
        <v>0</v>
      </c>
      <c r="AM859" s="74"/>
      <c r="AN859" s="74"/>
      <c r="AO859" s="81" t="str">
        <f t="shared" si="181"/>
        <v/>
      </c>
      <c r="AP859" s="82"/>
      <c r="AQ859" s="75"/>
      <c r="AR859" s="75"/>
      <c r="AS859" s="80">
        <f t="shared" si="182"/>
        <v>0</v>
      </c>
      <c r="AT859" s="74"/>
      <c r="AU859" s="75"/>
      <c r="AV859" s="75"/>
      <c r="AW859" s="75"/>
      <c r="AX859" s="80">
        <f t="shared" si="183"/>
        <v>0</v>
      </c>
      <c r="AY859" s="81" t="str">
        <f t="shared" si="184"/>
        <v/>
      </c>
      <c r="AZ859" s="83" t="str">
        <f t="shared" si="185"/>
        <v/>
      </c>
      <c r="BA859" s="80" t="str">
        <f t="shared" si="186"/>
        <v/>
      </c>
      <c r="BB859" s="84">
        <f t="shared" si="187"/>
        <v>0</v>
      </c>
      <c r="BC859" s="85" t="str">
        <f t="shared" si="188"/>
        <v/>
      </c>
      <c r="BD859" s="86" t="str">
        <f t="shared" si="189"/>
        <v/>
      </c>
      <c r="BE859" s="84">
        <f t="shared" si="190"/>
        <v>0</v>
      </c>
      <c r="BF859" s="87" t="str">
        <f t="shared" si="191"/>
        <v/>
      </c>
      <c r="BG859" s="88" t="str">
        <f t="shared" si="192"/>
        <v/>
      </c>
      <c r="BH859" s="89" t="str">
        <f t="shared" si="193"/>
        <v/>
      </c>
      <c r="BI859" s="90" t="str">
        <f t="shared" si="194"/>
        <v/>
      </c>
      <c r="BJ859" s="90" t="str">
        <f t="shared" si="195"/>
        <v/>
      </c>
      <c r="BK859" s="91">
        <f t="shared" si="196"/>
        <v>0</v>
      </c>
      <c r="BL859" s="92">
        <f t="shared" si="197"/>
        <v>0</v>
      </c>
      <c r="BM859" s="95"/>
    </row>
    <row r="860" spans="1:65">
      <c r="A860" s="61">
        <f t="shared" si="174"/>
        <v>0</v>
      </c>
      <c r="B860" s="62"/>
      <c r="C860" s="62"/>
      <c r="D860" s="63"/>
      <c r="E860" s="64"/>
      <c r="F860" s="64"/>
      <c r="G860" s="65"/>
      <c r="H860" s="66" t="str">
        <f t="shared" si="175"/>
        <v/>
      </c>
      <c r="I860" s="67" t="str">
        <f t="shared" si="176"/>
        <v/>
      </c>
      <c r="J860" s="68" t="str">
        <f t="shared" si="177"/>
        <v/>
      </c>
      <c r="K860" s="69" t="str">
        <f t="shared" si="178"/>
        <v/>
      </c>
      <c r="L860" s="70" t="str">
        <f t="shared" si="179"/>
        <v/>
      </c>
      <c r="M860" s="71"/>
      <c r="N860" s="71"/>
      <c r="O860" s="71"/>
      <c r="P860" s="71"/>
      <c r="Q860" s="61"/>
      <c r="R860" s="63"/>
      <c r="S860" s="72"/>
      <c r="T860" s="61"/>
      <c r="U860" s="73"/>
      <c r="V860" s="62"/>
      <c r="W860" s="62"/>
      <c r="X860" s="62"/>
      <c r="Y860" s="93"/>
      <c r="Z860" s="94"/>
      <c r="AA860" s="74"/>
      <c r="AB860" s="75"/>
      <c r="AC860" s="75"/>
      <c r="AD860" s="76"/>
      <c r="AE860" s="77"/>
      <c r="AF860" s="75"/>
      <c r="AG860" s="78"/>
      <c r="AH860" s="79"/>
      <c r="AI860" s="74"/>
      <c r="AJ860" s="75"/>
      <c r="AK860" s="75"/>
      <c r="AL860" s="80">
        <f t="shared" si="180"/>
        <v>0</v>
      </c>
      <c r="AM860" s="74"/>
      <c r="AN860" s="74"/>
      <c r="AO860" s="81" t="str">
        <f t="shared" si="181"/>
        <v/>
      </c>
      <c r="AP860" s="82"/>
      <c r="AQ860" s="75"/>
      <c r="AR860" s="75"/>
      <c r="AS860" s="80">
        <f t="shared" si="182"/>
        <v>0</v>
      </c>
      <c r="AT860" s="74"/>
      <c r="AU860" s="75"/>
      <c r="AV860" s="75"/>
      <c r="AW860" s="75"/>
      <c r="AX860" s="80">
        <f t="shared" si="183"/>
        <v>0</v>
      </c>
      <c r="AY860" s="81" t="str">
        <f t="shared" si="184"/>
        <v/>
      </c>
      <c r="AZ860" s="83" t="str">
        <f t="shared" si="185"/>
        <v/>
      </c>
      <c r="BA860" s="80" t="str">
        <f t="shared" si="186"/>
        <v/>
      </c>
      <c r="BB860" s="84">
        <f t="shared" si="187"/>
        <v>0</v>
      </c>
      <c r="BC860" s="85" t="str">
        <f t="shared" si="188"/>
        <v/>
      </c>
      <c r="BD860" s="86" t="str">
        <f t="shared" si="189"/>
        <v/>
      </c>
      <c r="BE860" s="84">
        <f t="shared" si="190"/>
        <v>0</v>
      </c>
      <c r="BF860" s="87" t="str">
        <f t="shared" si="191"/>
        <v/>
      </c>
      <c r="BG860" s="88" t="str">
        <f t="shared" si="192"/>
        <v/>
      </c>
      <c r="BH860" s="89" t="str">
        <f t="shared" si="193"/>
        <v/>
      </c>
      <c r="BI860" s="90" t="str">
        <f t="shared" si="194"/>
        <v/>
      </c>
      <c r="BJ860" s="90" t="str">
        <f t="shared" si="195"/>
        <v/>
      </c>
      <c r="BK860" s="91">
        <f t="shared" si="196"/>
        <v>0</v>
      </c>
      <c r="BL860" s="92">
        <f t="shared" si="197"/>
        <v>0</v>
      </c>
      <c r="BM860" s="95"/>
    </row>
    <row r="861" spans="1:65">
      <c r="A861" s="61">
        <f t="shared" si="174"/>
        <v>0</v>
      </c>
      <c r="B861" s="62"/>
      <c r="C861" s="62"/>
      <c r="D861" s="63"/>
      <c r="E861" s="64"/>
      <c r="F861" s="64"/>
      <c r="G861" s="65"/>
      <c r="H861" s="66" t="str">
        <f t="shared" si="175"/>
        <v/>
      </c>
      <c r="I861" s="67" t="str">
        <f t="shared" si="176"/>
        <v/>
      </c>
      <c r="J861" s="68" t="str">
        <f t="shared" si="177"/>
        <v/>
      </c>
      <c r="K861" s="69" t="str">
        <f t="shared" si="178"/>
        <v/>
      </c>
      <c r="L861" s="70" t="str">
        <f t="shared" si="179"/>
        <v/>
      </c>
      <c r="M861" s="71"/>
      <c r="N861" s="71"/>
      <c r="O861" s="71"/>
      <c r="P861" s="71"/>
      <c r="Q861" s="61"/>
      <c r="R861" s="63"/>
      <c r="S861" s="72"/>
      <c r="T861" s="61"/>
      <c r="U861" s="73"/>
      <c r="V861" s="62"/>
      <c r="W861" s="62"/>
      <c r="X861" s="62"/>
      <c r="Y861" s="93"/>
      <c r="Z861" s="94"/>
      <c r="AA861" s="74"/>
      <c r="AB861" s="75"/>
      <c r="AC861" s="75"/>
      <c r="AD861" s="76"/>
      <c r="AE861" s="77"/>
      <c r="AF861" s="75"/>
      <c r="AG861" s="78"/>
      <c r="AH861" s="79"/>
      <c r="AI861" s="74"/>
      <c r="AJ861" s="75"/>
      <c r="AK861" s="75"/>
      <c r="AL861" s="80">
        <f t="shared" si="180"/>
        <v>0</v>
      </c>
      <c r="AM861" s="74"/>
      <c r="AN861" s="74"/>
      <c r="AO861" s="81" t="str">
        <f t="shared" si="181"/>
        <v/>
      </c>
      <c r="AP861" s="82"/>
      <c r="AQ861" s="75"/>
      <c r="AR861" s="75"/>
      <c r="AS861" s="80">
        <f t="shared" si="182"/>
        <v>0</v>
      </c>
      <c r="AT861" s="74"/>
      <c r="AU861" s="75"/>
      <c r="AV861" s="75"/>
      <c r="AW861" s="75"/>
      <c r="AX861" s="80">
        <f t="shared" si="183"/>
        <v>0</v>
      </c>
      <c r="AY861" s="81" t="str">
        <f t="shared" si="184"/>
        <v/>
      </c>
      <c r="AZ861" s="83" t="str">
        <f t="shared" si="185"/>
        <v/>
      </c>
      <c r="BA861" s="80" t="str">
        <f t="shared" si="186"/>
        <v/>
      </c>
      <c r="BB861" s="84">
        <f t="shared" si="187"/>
        <v>0</v>
      </c>
      <c r="BC861" s="85" t="str">
        <f t="shared" si="188"/>
        <v/>
      </c>
      <c r="BD861" s="86" t="str">
        <f t="shared" si="189"/>
        <v/>
      </c>
      <c r="BE861" s="84">
        <f t="shared" si="190"/>
        <v>0</v>
      </c>
      <c r="BF861" s="87" t="str">
        <f t="shared" si="191"/>
        <v/>
      </c>
      <c r="BG861" s="88" t="str">
        <f t="shared" si="192"/>
        <v/>
      </c>
      <c r="BH861" s="89" t="str">
        <f t="shared" si="193"/>
        <v/>
      </c>
      <c r="BI861" s="90" t="str">
        <f t="shared" si="194"/>
        <v/>
      </c>
      <c r="BJ861" s="90" t="str">
        <f t="shared" si="195"/>
        <v/>
      </c>
      <c r="BK861" s="91">
        <f t="shared" si="196"/>
        <v>0</v>
      </c>
      <c r="BL861" s="92">
        <f t="shared" si="197"/>
        <v>0</v>
      </c>
      <c r="BM861" s="95"/>
    </row>
    <row r="862" spans="1:65">
      <c r="A862" s="61">
        <f t="shared" si="174"/>
        <v>0</v>
      </c>
      <c r="B862" s="62"/>
      <c r="C862" s="62"/>
      <c r="D862" s="63"/>
      <c r="E862" s="64"/>
      <c r="F862" s="64"/>
      <c r="G862" s="65"/>
      <c r="H862" s="66" t="str">
        <f t="shared" si="175"/>
        <v/>
      </c>
      <c r="I862" s="67" t="str">
        <f t="shared" si="176"/>
        <v/>
      </c>
      <c r="J862" s="68" t="str">
        <f t="shared" si="177"/>
        <v/>
      </c>
      <c r="K862" s="69" t="str">
        <f t="shared" si="178"/>
        <v/>
      </c>
      <c r="L862" s="70" t="str">
        <f t="shared" si="179"/>
        <v/>
      </c>
      <c r="M862" s="71"/>
      <c r="N862" s="71"/>
      <c r="O862" s="71"/>
      <c r="P862" s="71"/>
      <c r="Q862" s="61"/>
      <c r="R862" s="63"/>
      <c r="S862" s="72"/>
      <c r="T862" s="61"/>
      <c r="U862" s="73"/>
      <c r="V862" s="62"/>
      <c r="W862" s="62"/>
      <c r="X862" s="62"/>
      <c r="Y862" s="93"/>
      <c r="Z862" s="94"/>
      <c r="AA862" s="74"/>
      <c r="AB862" s="75"/>
      <c r="AC862" s="75"/>
      <c r="AD862" s="76"/>
      <c r="AE862" s="77"/>
      <c r="AF862" s="75"/>
      <c r="AG862" s="78"/>
      <c r="AH862" s="79"/>
      <c r="AI862" s="74"/>
      <c r="AJ862" s="75"/>
      <c r="AK862" s="75"/>
      <c r="AL862" s="80">
        <f t="shared" si="180"/>
        <v>0</v>
      </c>
      <c r="AM862" s="74"/>
      <c r="AN862" s="74"/>
      <c r="AO862" s="81" t="str">
        <f t="shared" si="181"/>
        <v/>
      </c>
      <c r="AP862" s="82"/>
      <c r="AQ862" s="75"/>
      <c r="AR862" s="75"/>
      <c r="AS862" s="80">
        <f t="shared" si="182"/>
        <v>0</v>
      </c>
      <c r="AT862" s="74"/>
      <c r="AU862" s="75"/>
      <c r="AV862" s="75"/>
      <c r="AW862" s="75"/>
      <c r="AX862" s="80">
        <f t="shared" si="183"/>
        <v>0</v>
      </c>
      <c r="AY862" s="81" t="str">
        <f t="shared" si="184"/>
        <v/>
      </c>
      <c r="AZ862" s="83" t="str">
        <f t="shared" si="185"/>
        <v/>
      </c>
      <c r="BA862" s="80" t="str">
        <f t="shared" si="186"/>
        <v/>
      </c>
      <c r="BB862" s="84">
        <f t="shared" si="187"/>
        <v>0</v>
      </c>
      <c r="BC862" s="85" t="str">
        <f t="shared" si="188"/>
        <v/>
      </c>
      <c r="BD862" s="86" t="str">
        <f t="shared" si="189"/>
        <v/>
      </c>
      <c r="BE862" s="84">
        <f t="shared" si="190"/>
        <v>0</v>
      </c>
      <c r="BF862" s="87" t="str">
        <f t="shared" si="191"/>
        <v/>
      </c>
      <c r="BG862" s="88" t="str">
        <f t="shared" si="192"/>
        <v/>
      </c>
      <c r="BH862" s="89" t="str">
        <f t="shared" si="193"/>
        <v/>
      </c>
      <c r="BI862" s="90" t="str">
        <f t="shared" si="194"/>
        <v/>
      </c>
      <c r="BJ862" s="90" t="str">
        <f t="shared" si="195"/>
        <v/>
      </c>
      <c r="BK862" s="91">
        <f t="shared" si="196"/>
        <v>0</v>
      </c>
      <c r="BL862" s="92">
        <f t="shared" si="197"/>
        <v>0</v>
      </c>
      <c r="BM862" s="95"/>
    </row>
    <row r="863" spans="1:65">
      <c r="A863" s="61">
        <f t="shared" si="174"/>
        <v>0</v>
      </c>
      <c r="B863" s="62"/>
      <c r="C863" s="62"/>
      <c r="D863" s="63"/>
      <c r="E863" s="64"/>
      <c r="F863" s="64"/>
      <c r="G863" s="65"/>
      <c r="H863" s="66" t="str">
        <f t="shared" si="175"/>
        <v/>
      </c>
      <c r="I863" s="67" t="str">
        <f t="shared" si="176"/>
        <v/>
      </c>
      <c r="J863" s="68" t="str">
        <f t="shared" si="177"/>
        <v/>
      </c>
      <c r="K863" s="69" t="str">
        <f t="shared" si="178"/>
        <v/>
      </c>
      <c r="L863" s="70" t="str">
        <f t="shared" si="179"/>
        <v/>
      </c>
      <c r="M863" s="71"/>
      <c r="N863" s="71"/>
      <c r="O863" s="71"/>
      <c r="P863" s="71"/>
      <c r="Q863" s="61"/>
      <c r="R863" s="63"/>
      <c r="S863" s="72"/>
      <c r="T863" s="61"/>
      <c r="U863" s="73"/>
      <c r="V863" s="62"/>
      <c r="W863" s="62"/>
      <c r="X863" s="62"/>
      <c r="Y863" s="93"/>
      <c r="Z863" s="94"/>
      <c r="AA863" s="74"/>
      <c r="AB863" s="75"/>
      <c r="AC863" s="75"/>
      <c r="AD863" s="76"/>
      <c r="AE863" s="77"/>
      <c r="AF863" s="75"/>
      <c r="AG863" s="78"/>
      <c r="AH863" s="79"/>
      <c r="AI863" s="74"/>
      <c r="AJ863" s="75"/>
      <c r="AK863" s="75"/>
      <c r="AL863" s="80">
        <f t="shared" si="180"/>
        <v>0</v>
      </c>
      <c r="AM863" s="74"/>
      <c r="AN863" s="74"/>
      <c r="AO863" s="81" t="str">
        <f t="shared" si="181"/>
        <v/>
      </c>
      <c r="AP863" s="82"/>
      <c r="AQ863" s="75"/>
      <c r="AR863" s="75"/>
      <c r="AS863" s="80">
        <f t="shared" si="182"/>
        <v>0</v>
      </c>
      <c r="AT863" s="74"/>
      <c r="AU863" s="75"/>
      <c r="AV863" s="75"/>
      <c r="AW863" s="75"/>
      <c r="AX863" s="80">
        <f t="shared" si="183"/>
        <v>0</v>
      </c>
      <c r="AY863" s="81" t="str">
        <f t="shared" si="184"/>
        <v/>
      </c>
      <c r="AZ863" s="83" t="str">
        <f t="shared" si="185"/>
        <v/>
      </c>
      <c r="BA863" s="80" t="str">
        <f t="shared" si="186"/>
        <v/>
      </c>
      <c r="BB863" s="84">
        <f t="shared" si="187"/>
        <v>0</v>
      </c>
      <c r="BC863" s="85" t="str">
        <f t="shared" si="188"/>
        <v/>
      </c>
      <c r="BD863" s="86" t="str">
        <f t="shared" si="189"/>
        <v/>
      </c>
      <c r="BE863" s="84">
        <f t="shared" si="190"/>
        <v>0</v>
      </c>
      <c r="BF863" s="87" t="str">
        <f t="shared" si="191"/>
        <v/>
      </c>
      <c r="BG863" s="88" t="str">
        <f t="shared" si="192"/>
        <v/>
      </c>
      <c r="BH863" s="89" t="str">
        <f t="shared" si="193"/>
        <v/>
      </c>
      <c r="BI863" s="90" t="str">
        <f t="shared" si="194"/>
        <v/>
      </c>
      <c r="BJ863" s="90" t="str">
        <f t="shared" si="195"/>
        <v/>
      </c>
      <c r="BK863" s="91">
        <f t="shared" si="196"/>
        <v>0</v>
      </c>
      <c r="BL863" s="92">
        <f t="shared" si="197"/>
        <v>0</v>
      </c>
      <c r="BM863" s="95"/>
    </row>
    <row r="864" spans="1:65">
      <c r="A864" s="61">
        <f t="shared" si="174"/>
        <v>0</v>
      </c>
      <c r="B864" s="62"/>
      <c r="C864" s="62"/>
      <c r="D864" s="63"/>
      <c r="E864" s="64"/>
      <c r="F864" s="64"/>
      <c r="G864" s="65"/>
      <c r="H864" s="66" t="str">
        <f t="shared" si="175"/>
        <v/>
      </c>
      <c r="I864" s="67" t="str">
        <f t="shared" si="176"/>
        <v/>
      </c>
      <c r="J864" s="68" t="str">
        <f t="shared" si="177"/>
        <v/>
      </c>
      <c r="K864" s="69" t="str">
        <f t="shared" si="178"/>
        <v/>
      </c>
      <c r="L864" s="70" t="str">
        <f t="shared" si="179"/>
        <v/>
      </c>
      <c r="M864" s="71"/>
      <c r="N864" s="71"/>
      <c r="O864" s="71"/>
      <c r="P864" s="71"/>
      <c r="Q864" s="61"/>
      <c r="R864" s="63"/>
      <c r="S864" s="72"/>
      <c r="T864" s="61"/>
      <c r="U864" s="73"/>
      <c r="V864" s="62"/>
      <c r="W864" s="62"/>
      <c r="X864" s="62"/>
      <c r="Y864" s="93"/>
      <c r="Z864" s="94"/>
      <c r="AA864" s="74"/>
      <c r="AB864" s="75"/>
      <c r="AC864" s="75"/>
      <c r="AD864" s="76"/>
      <c r="AE864" s="77"/>
      <c r="AF864" s="75"/>
      <c r="AG864" s="78"/>
      <c r="AH864" s="79"/>
      <c r="AI864" s="74"/>
      <c r="AJ864" s="75"/>
      <c r="AK864" s="75"/>
      <c r="AL864" s="80">
        <f t="shared" si="180"/>
        <v>0</v>
      </c>
      <c r="AM864" s="74"/>
      <c r="AN864" s="74"/>
      <c r="AO864" s="81" t="str">
        <f t="shared" si="181"/>
        <v/>
      </c>
      <c r="AP864" s="82"/>
      <c r="AQ864" s="75"/>
      <c r="AR864" s="75"/>
      <c r="AS864" s="80">
        <f t="shared" si="182"/>
        <v>0</v>
      </c>
      <c r="AT864" s="74"/>
      <c r="AU864" s="75"/>
      <c r="AV864" s="75"/>
      <c r="AW864" s="75"/>
      <c r="AX864" s="80">
        <f t="shared" si="183"/>
        <v>0</v>
      </c>
      <c r="AY864" s="81" t="str">
        <f t="shared" si="184"/>
        <v/>
      </c>
      <c r="AZ864" s="83" t="str">
        <f t="shared" si="185"/>
        <v/>
      </c>
      <c r="BA864" s="80" t="str">
        <f t="shared" si="186"/>
        <v/>
      </c>
      <c r="BB864" s="84">
        <f t="shared" si="187"/>
        <v>0</v>
      </c>
      <c r="BC864" s="85" t="str">
        <f t="shared" si="188"/>
        <v/>
      </c>
      <c r="BD864" s="86" t="str">
        <f t="shared" si="189"/>
        <v/>
      </c>
      <c r="BE864" s="84">
        <f t="shared" si="190"/>
        <v>0</v>
      </c>
      <c r="BF864" s="87" t="str">
        <f t="shared" si="191"/>
        <v/>
      </c>
      <c r="BG864" s="88" t="str">
        <f t="shared" si="192"/>
        <v/>
      </c>
      <c r="BH864" s="89" t="str">
        <f t="shared" si="193"/>
        <v/>
      </c>
      <c r="BI864" s="90" t="str">
        <f t="shared" si="194"/>
        <v/>
      </c>
      <c r="BJ864" s="90" t="str">
        <f t="shared" si="195"/>
        <v/>
      </c>
      <c r="BK864" s="91">
        <f t="shared" si="196"/>
        <v>0</v>
      </c>
      <c r="BL864" s="92">
        <f t="shared" si="197"/>
        <v>0</v>
      </c>
      <c r="BM864" s="95"/>
    </row>
    <row r="865" spans="1:65">
      <c r="A865" s="61">
        <f t="shared" si="174"/>
        <v>0</v>
      </c>
      <c r="B865" s="62"/>
      <c r="C865" s="62"/>
      <c r="D865" s="63"/>
      <c r="E865" s="64"/>
      <c r="F865" s="64"/>
      <c r="G865" s="65"/>
      <c r="H865" s="66" t="str">
        <f t="shared" si="175"/>
        <v/>
      </c>
      <c r="I865" s="67" t="str">
        <f t="shared" si="176"/>
        <v/>
      </c>
      <c r="J865" s="68" t="str">
        <f t="shared" si="177"/>
        <v/>
      </c>
      <c r="K865" s="69" t="str">
        <f t="shared" si="178"/>
        <v/>
      </c>
      <c r="L865" s="70" t="str">
        <f t="shared" si="179"/>
        <v/>
      </c>
      <c r="M865" s="71"/>
      <c r="N865" s="71"/>
      <c r="O865" s="71"/>
      <c r="P865" s="71"/>
      <c r="Q865" s="61"/>
      <c r="R865" s="63"/>
      <c r="S865" s="72"/>
      <c r="T865" s="61"/>
      <c r="U865" s="73"/>
      <c r="V865" s="62"/>
      <c r="W865" s="62"/>
      <c r="X865" s="62"/>
      <c r="Y865" s="93"/>
      <c r="Z865" s="94"/>
      <c r="AA865" s="74"/>
      <c r="AB865" s="75"/>
      <c r="AC865" s="75"/>
      <c r="AD865" s="76"/>
      <c r="AE865" s="77"/>
      <c r="AF865" s="75"/>
      <c r="AG865" s="78"/>
      <c r="AH865" s="79"/>
      <c r="AI865" s="74"/>
      <c r="AJ865" s="75"/>
      <c r="AK865" s="75"/>
      <c r="AL865" s="80">
        <f t="shared" si="180"/>
        <v>0</v>
      </c>
      <c r="AM865" s="74"/>
      <c r="AN865" s="74"/>
      <c r="AO865" s="81" t="str">
        <f t="shared" si="181"/>
        <v/>
      </c>
      <c r="AP865" s="82"/>
      <c r="AQ865" s="75"/>
      <c r="AR865" s="75"/>
      <c r="AS865" s="80">
        <f t="shared" si="182"/>
        <v>0</v>
      </c>
      <c r="AT865" s="74"/>
      <c r="AU865" s="75"/>
      <c r="AV865" s="75"/>
      <c r="AW865" s="75"/>
      <c r="AX865" s="80">
        <f t="shared" si="183"/>
        <v>0</v>
      </c>
      <c r="AY865" s="81" t="str">
        <f t="shared" si="184"/>
        <v/>
      </c>
      <c r="AZ865" s="83" t="str">
        <f t="shared" si="185"/>
        <v/>
      </c>
      <c r="BA865" s="80" t="str">
        <f t="shared" si="186"/>
        <v/>
      </c>
      <c r="BB865" s="84">
        <f t="shared" si="187"/>
        <v>0</v>
      </c>
      <c r="BC865" s="85" t="str">
        <f t="shared" si="188"/>
        <v/>
      </c>
      <c r="BD865" s="86" t="str">
        <f t="shared" si="189"/>
        <v/>
      </c>
      <c r="BE865" s="84">
        <f t="shared" si="190"/>
        <v>0</v>
      </c>
      <c r="BF865" s="87" t="str">
        <f t="shared" si="191"/>
        <v/>
      </c>
      <c r="BG865" s="88" t="str">
        <f t="shared" si="192"/>
        <v/>
      </c>
      <c r="BH865" s="89" t="str">
        <f t="shared" si="193"/>
        <v/>
      </c>
      <c r="BI865" s="90" t="str">
        <f t="shared" si="194"/>
        <v/>
      </c>
      <c r="BJ865" s="90" t="str">
        <f t="shared" si="195"/>
        <v/>
      </c>
      <c r="BK865" s="91">
        <f t="shared" si="196"/>
        <v>0</v>
      </c>
      <c r="BL865" s="92">
        <f t="shared" si="197"/>
        <v>0</v>
      </c>
      <c r="BM865" s="95"/>
    </row>
    <row r="866" spans="1:65">
      <c r="A866" s="61">
        <f t="shared" ref="A866:A929" si="198">B866</f>
        <v>0</v>
      </c>
      <c r="B866" s="62"/>
      <c r="C866" s="62"/>
      <c r="D866" s="63"/>
      <c r="E866" s="64"/>
      <c r="F866" s="64"/>
      <c r="G866" s="65"/>
      <c r="H866" s="66" t="str">
        <f t="shared" si="175"/>
        <v/>
      </c>
      <c r="I866" s="67" t="str">
        <f t="shared" si="176"/>
        <v/>
      </c>
      <c r="J866" s="68" t="str">
        <f t="shared" si="177"/>
        <v/>
      </c>
      <c r="K866" s="69" t="str">
        <f t="shared" si="178"/>
        <v/>
      </c>
      <c r="L866" s="70" t="str">
        <f t="shared" si="179"/>
        <v/>
      </c>
      <c r="M866" s="71"/>
      <c r="N866" s="71"/>
      <c r="O866" s="71"/>
      <c r="P866" s="71"/>
      <c r="Q866" s="61"/>
      <c r="R866" s="63"/>
      <c r="S866" s="72"/>
      <c r="T866" s="61"/>
      <c r="U866" s="73"/>
      <c r="V866" s="62"/>
      <c r="W866" s="62"/>
      <c r="X866" s="62"/>
      <c r="Y866" s="93"/>
      <c r="Z866" s="94"/>
      <c r="AA866" s="74"/>
      <c r="AB866" s="75"/>
      <c r="AC866" s="75"/>
      <c r="AD866" s="76"/>
      <c r="AE866" s="77"/>
      <c r="AF866" s="75"/>
      <c r="AG866" s="78"/>
      <c r="AH866" s="79"/>
      <c r="AI866" s="74"/>
      <c r="AJ866" s="75"/>
      <c r="AK866" s="75"/>
      <c r="AL866" s="80">
        <f t="shared" si="180"/>
        <v>0</v>
      </c>
      <c r="AM866" s="74"/>
      <c r="AN866" s="74"/>
      <c r="AO866" s="81" t="str">
        <f t="shared" si="181"/>
        <v/>
      </c>
      <c r="AP866" s="82"/>
      <c r="AQ866" s="75"/>
      <c r="AR866" s="75"/>
      <c r="AS866" s="80">
        <f t="shared" si="182"/>
        <v>0</v>
      </c>
      <c r="AT866" s="74"/>
      <c r="AU866" s="75"/>
      <c r="AV866" s="75"/>
      <c r="AW866" s="75"/>
      <c r="AX866" s="80">
        <f t="shared" si="183"/>
        <v>0</v>
      </c>
      <c r="AY866" s="81" t="str">
        <f t="shared" si="184"/>
        <v/>
      </c>
      <c r="AZ866" s="83" t="str">
        <f t="shared" si="185"/>
        <v/>
      </c>
      <c r="BA866" s="80" t="str">
        <f t="shared" si="186"/>
        <v/>
      </c>
      <c r="BB866" s="84">
        <f t="shared" si="187"/>
        <v>0</v>
      </c>
      <c r="BC866" s="85" t="str">
        <f t="shared" si="188"/>
        <v/>
      </c>
      <c r="BD866" s="86" t="str">
        <f t="shared" si="189"/>
        <v/>
      </c>
      <c r="BE866" s="84">
        <f t="shared" si="190"/>
        <v>0</v>
      </c>
      <c r="BF866" s="87" t="str">
        <f t="shared" si="191"/>
        <v/>
      </c>
      <c r="BG866" s="88" t="str">
        <f t="shared" si="192"/>
        <v/>
      </c>
      <c r="BH866" s="89" t="str">
        <f t="shared" si="193"/>
        <v/>
      </c>
      <c r="BI866" s="90" t="str">
        <f t="shared" si="194"/>
        <v/>
      </c>
      <c r="BJ866" s="90" t="str">
        <f t="shared" si="195"/>
        <v/>
      </c>
      <c r="BK866" s="91">
        <f t="shared" si="196"/>
        <v>0</v>
      </c>
      <c r="BL866" s="92">
        <f t="shared" si="197"/>
        <v>0</v>
      </c>
      <c r="BM866" s="95"/>
    </row>
    <row r="867" spans="1:65">
      <c r="A867" s="61">
        <f t="shared" si="198"/>
        <v>0</v>
      </c>
      <c r="B867" s="62"/>
      <c r="C867" s="62"/>
      <c r="D867" s="63"/>
      <c r="E867" s="64"/>
      <c r="F867" s="64"/>
      <c r="G867" s="65"/>
      <c r="H867" s="66" t="str">
        <f t="shared" si="175"/>
        <v/>
      </c>
      <c r="I867" s="67" t="str">
        <f t="shared" si="176"/>
        <v/>
      </c>
      <c r="J867" s="68" t="str">
        <f t="shared" si="177"/>
        <v/>
      </c>
      <c r="K867" s="69" t="str">
        <f t="shared" si="178"/>
        <v/>
      </c>
      <c r="L867" s="70" t="str">
        <f t="shared" si="179"/>
        <v/>
      </c>
      <c r="M867" s="71"/>
      <c r="N867" s="71"/>
      <c r="O867" s="71"/>
      <c r="P867" s="71"/>
      <c r="Q867" s="61"/>
      <c r="R867" s="63"/>
      <c r="S867" s="72"/>
      <c r="T867" s="61"/>
      <c r="U867" s="73"/>
      <c r="V867" s="62"/>
      <c r="W867" s="62"/>
      <c r="X867" s="62"/>
      <c r="Y867" s="93"/>
      <c r="Z867" s="94"/>
      <c r="AA867" s="74"/>
      <c r="AB867" s="75"/>
      <c r="AC867" s="75"/>
      <c r="AD867" s="76"/>
      <c r="AE867" s="77"/>
      <c r="AF867" s="75"/>
      <c r="AG867" s="78"/>
      <c r="AH867" s="79"/>
      <c r="AI867" s="74"/>
      <c r="AJ867" s="75"/>
      <c r="AK867" s="75"/>
      <c r="AL867" s="80">
        <f t="shared" si="180"/>
        <v>0</v>
      </c>
      <c r="AM867" s="74"/>
      <c r="AN867" s="74"/>
      <c r="AO867" s="81" t="str">
        <f t="shared" si="181"/>
        <v/>
      </c>
      <c r="AP867" s="82"/>
      <c r="AQ867" s="75"/>
      <c r="AR867" s="75"/>
      <c r="AS867" s="80">
        <f t="shared" si="182"/>
        <v>0</v>
      </c>
      <c r="AT867" s="74"/>
      <c r="AU867" s="75"/>
      <c r="AV867" s="75"/>
      <c r="AW867" s="75"/>
      <c r="AX867" s="80">
        <f t="shared" si="183"/>
        <v>0</v>
      </c>
      <c r="AY867" s="81" t="str">
        <f t="shared" si="184"/>
        <v/>
      </c>
      <c r="AZ867" s="83" t="str">
        <f t="shared" si="185"/>
        <v/>
      </c>
      <c r="BA867" s="80" t="str">
        <f t="shared" si="186"/>
        <v/>
      </c>
      <c r="BB867" s="84">
        <f t="shared" si="187"/>
        <v>0</v>
      </c>
      <c r="BC867" s="85" t="str">
        <f t="shared" si="188"/>
        <v/>
      </c>
      <c r="BD867" s="86" t="str">
        <f t="shared" si="189"/>
        <v/>
      </c>
      <c r="BE867" s="84">
        <f t="shared" si="190"/>
        <v>0</v>
      </c>
      <c r="BF867" s="87" t="str">
        <f t="shared" si="191"/>
        <v/>
      </c>
      <c r="BG867" s="88" t="str">
        <f t="shared" si="192"/>
        <v/>
      </c>
      <c r="BH867" s="89" t="str">
        <f t="shared" si="193"/>
        <v/>
      </c>
      <c r="BI867" s="90" t="str">
        <f t="shared" si="194"/>
        <v/>
      </c>
      <c r="BJ867" s="90" t="str">
        <f t="shared" si="195"/>
        <v/>
      </c>
      <c r="BK867" s="91">
        <f t="shared" si="196"/>
        <v>0</v>
      </c>
      <c r="BL867" s="92">
        <f t="shared" si="197"/>
        <v>0</v>
      </c>
      <c r="BM867" s="95"/>
    </row>
    <row r="868" spans="1:65">
      <c r="A868" s="61">
        <f t="shared" si="198"/>
        <v>0</v>
      </c>
      <c r="B868" s="62"/>
      <c r="C868" s="62"/>
      <c r="D868" s="63"/>
      <c r="E868" s="64"/>
      <c r="F868" s="64"/>
      <c r="G868" s="65"/>
      <c r="H868" s="66" t="str">
        <f t="shared" si="175"/>
        <v/>
      </c>
      <c r="I868" s="67" t="str">
        <f t="shared" si="176"/>
        <v/>
      </c>
      <c r="J868" s="68" t="str">
        <f t="shared" si="177"/>
        <v/>
      </c>
      <c r="K868" s="69" t="str">
        <f t="shared" si="178"/>
        <v/>
      </c>
      <c r="L868" s="70" t="str">
        <f t="shared" si="179"/>
        <v/>
      </c>
      <c r="M868" s="71"/>
      <c r="N868" s="71"/>
      <c r="O868" s="71"/>
      <c r="P868" s="71"/>
      <c r="Q868" s="61"/>
      <c r="R868" s="63"/>
      <c r="S868" s="72"/>
      <c r="T868" s="61"/>
      <c r="U868" s="73"/>
      <c r="V868" s="62"/>
      <c r="W868" s="62"/>
      <c r="X868" s="62"/>
      <c r="Y868" s="93"/>
      <c r="Z868" s="94"/>
      <c r="AA868" s="74"/>
      <c r="AB868" s="75"/>
      <c r="AC868" s="75"/>
      <c r="AD868" s="76"/>
      <c r="AE868" s="77"/>
      <c r="AF868" s="75"/>
      <c r="AG868" s="78"/>
      <c r="AH868" s="79"/>
      <c r="AI868" s="74"/>
      <c r="AJ868" s="75"/>
      <c r="AK868" s="75"/>
      <c r="AL868" s="80">
        <f t="shared" si="180"/>
        <v>0</v>
      </c>
      <c r="AM868" s="74"/>
      <c r="AN868" s="74"/>
      <c r="AO868" s="81" t="str">
        <f t="shared" si="181"/>
        <v/>
      </c>
      <c r="AP868" s="82"/>
      <c r="AQ868" s="75"/>
      <c r="AR868" s="75"/>
      <c r="AS868" s="80">
        <f t="shared" si="182"/>
        <v>0</v>
      </c>
      <c r="AT868" s="74"/>
      <c r="AU868" s="75"/>
      <c r="AV868" s="75"/>
      <c r="AW868" s="75"/>
      <c r="AX868" s="80">
        <f t="shared" si="183"/>
        <v>0</v>
      </c>
      <c r="AY868" s="81" t="str">
        <f t="shared" si="184"/>
        <v/>
      </c>
      <c r="AZ868" s="83" t="str">
        <f t="shared" si="185"/>
        <v/>
      </c>
      <c r="BA868" s="80" t="str">
        <f t="shared" si="186"/>
        <v/>
      </c>
      <c r="BB868" s="84">
        <f t="shared" si="187"/>
        <v>0</v>
      </c>
      <c r="BC868" s="85" t="str">
        <f t="shared" si="188"/>
        <v/>
      </c>
      <c r="BD868" s="86" t="str">
        <f t="shared" si="189"/>
        <v/>
      </c>
      <c r="BE868" s="84">
        <f t="shared" si="190"/>
        <v>0</v>
      </c>
      <c r="BF868" s="87" t="str">
        <f t="shared" si="191"/>
        <v/>
      </c>
      <c r="BG868" s="88" t="str">
        <f t="shared" si="192"/>
        <v/>
      </c>
      <c r="BH868" s="89" t="str">
        <f t="shared" si="193"/>
        <v/>
      </c>
      <c r="BI868" s="90" t="str">
        <f t="shared" si="194"/>
        <v/>
      </c>
      <c r="BJ868" s="90" t="str">
        <f t="shared" si="195"/>
        <v/>
      </c>
      <c r="BK868" s="91">
        <f t="shared" si="196"/>
        <v>0</v>
      </c>
      <c r="BL868" s="92">
        <f t="shared" si="197"/>
        <v>0</v>
      </c>
      <c r="BM868" s="95"/>
    </row>
    <row r="869" spans="1:65">
      <c r="A869" s="61">
        <f t="shared" si="198"/>
        <v>0</v>
      </c>
      <c r="B869" s="62"/>
      <c r="C869" s="62"/>
      <c r="D869" s="63"/>
      <c r="E869" s="64"/>
      <c r="F869" s="64"/>
      <c r="G869" s="65"/>
      <c r="H869" s="66" t="str">
        <f t="shared" si="175"/>
        <v/>
      </c>
      <c r="I869" s="67" t="str">
        <f t="shared" si="176"/>
        <v/>
      </c>
      <c r="J869" s="68" t="str">
        <f t="shared" si="177"/>
        <v/>
      </c>
      <c r="K869" s="69" t="str">
        <f t="shared" si="178"/>
        <v/>
      </c>
      <c r="L869" s="70" t="str">
        <f t="shared" si="179"/>
        <v/>
      </c>
      <c r="M869" s="71"/>
      <c r="N869" s="71"/>
      <c r="O869" s="71"/>
      <c r="P869" s="71"/>
      <c r="Q869" s="61"/>
      <c r="R869" s="63"/>
      <c r="S869" s="72"/>
      <c r="T869" s="61"/>
      <c r="U869" s="73"/>
      <c r="V869" s="62"/>
      <c r="W869" s="62"/>
      <c r="X869" s="62"/>
      <c r="Y869" s="93"/>
      <c r="Z869" s="94"/>
      <c r="AA869" s="74"/>
      <c r="AB869" s="75"/>
      <c r="AC869" s="75"/>
      <c r="AD869" s="76"/>
      <c r="AE869" s="77"/>
      <c r="AF869" s="75"/>
      <c r="AG869" s="78"/>
      <c r="AH869" s="79"/>
      <c r="AI869" s="74"/>
      <c r="AJ869" s="75"/>
      <c r="AK869" s="75"/>
      <c r="AL869" s="80">
        <f t="shared" si="180"/>
        <v>0</v>
      </c>
      <c r="AM869" s="74"/>
      <c r="AN869" s="74"/>
      <c r="AO869" s="81" t="str">
        <f t="shared" si="181"/>
        <v/>
      </c>
      <c r="AP869" s="82"/>
      <c r="AQ869" s="75"/>
      <c r="AR869" s="75"/>
      <c r="AS869" s="80">
        <f t="shared" si="182"/>
        <v>0</v>
      </c>
      <c r="AT869" s="74"/>
      <c r="AU869" s="75"/>
      <c r="AV869" s="75"/>
      <c r="AW869" s="75"/>
      <c r="AX869" s="80">
        <f t="shared" si="183"/>
        <v>0</v>
      </c>
      <c r="AY869" s="81" t="str">
        <f t="shared" si="184"/>
        <v/>
      </c>
      <c r="AZ869" s="83" t="str">
        <f t="shared" si="185"/>
        <v/>
      </c>
      <c r="BA869" s="80" t="str">
        <f t="shared" si="186"/>
        <v/>
      </c>
      <c r="BB869" s="84">
        <f t="shared" si="187"/>
        <v>0</v>
      </c>
      <c r="BC869" s="85" t="str">
        <f t="shared" si="188"/>
        <v/>
      </c>
      <c r="BD869" s="86" t="str">
        <f t="shared" si="189"/>
        <v/>
      </c>
      <c r="BE869" s="84">
        <f t="shared" si="190"/>
        <v>0</v>
      </c>
      <c r="BF869" s="87" t="str">
        <f t="shared" si="191"/>
        <v/>
      </c>
      <c r="BG869" s="88" t="str">
        <f t="shared" si="192"/>
        <v/>
      </c>
      <c r="BH869" s="89" t="str">
        <f t="shared" si="193"/>
        <v/>
      </c>
      <c r="BI869" s="90" t="str">
        <f t="shared" si="194"/>
        <v/>
      </c>
      <c r="BJ869" s="90" t="str">
        <f t="shared" si="195"/>
        <v/>
      </c>
      <c r="BK869" s="91">
        <f t="shared" si="196"/>
        <v>0</v>
      </c>
      <c r="BL869" s="92">
        <f t="shared" si="197"/>
        <v>0</v>
      </c>
      <c r="BM869" s="95"/>
    </row>
    <row r="870" spans="1:65">
      <c r="A870" s="61">
        <f t="shared" si="198"/>
        <v>0</v>
      </c>
      <c r="B870" s="62"/>
      <c r="C870" s="62"/>
      <c r="D870" s="63"/>
      <c r="E870" s="64"/>
      <c r="F870" s="64"/>
      <c r="G870" s="65"/>
      <c r="H870" s="66" t="str">
        <f t="shared" si="175"/>
        <v/>
      </c>
      <c r="I870" s="67" t="str">
        <f t="shared" si="176"/>
        <v/>
      </c>
      <c r="J870" s="68" t="str">
        <f t="shared" si="177"/>
        <v/>
      </c>
      <c r="K870" s="69" t="str">
        <f t="shared" si="178"/>
        <v/>
      </c>
      <c r="L870" s="70" t="str">
        <f t="shared" si="179"/>
        <v/>
      </c>
      <c r="M870" s="71"/>
      <c r="N870" s="71"/>
      <c r="O870" s="71"/>
      <c r="P870" s="71"/>
      <c r="Q870" s="61"/>
      <c r="R870" s="63"/>
      <c r="S870" s="72"/>
      <c r="T870" s="61"/>
      <c r="U870" s="73"/>
      <c r="V870" s="62"/>
      <c r="W870" s="62"/>
      <c r="X870" s="62"/>
      <c r="Y870" s="93"/>
      <c r="Z870" s="94"/>
      <c r="AA870" s="74"/>
      <c r="AB870" s="75"/>
      <c r="AC870" s="75"/>
      <c r="AD870" s="76"/>
      <c r="AE870" s="77"/>
      <c r="AF870" s="75"/>
      <c r="AG870" s="78"/>
      <c r="AH870" s="79"/>
      <c r="AI870" s="74"/>
      <c r="AJ870" s="75"/>
      <c r="AK870" s="75"/>
      <c r="AL870" s="80">
        <f t="shared" si="180"/>
        <v>0</v>
      </c>
      <c r="AM870" s="74"/>
      <c r="AN870" s="74"/>
      <c r="AO870" s="81" t="str">
        <f t="shared" si="181"/>
        <v/>
      </c>
      <c r="AP870" s="82"/>
      <c r="AQ870" s="75"/>
      <c r="AR870" s="75"/>
      <c r="AS870" s="80">
        <f t="shared" si="182"/>
        <v>0</v>
      </c>
      <c r="AT870" s="74"/>
      <c r="AU870" s="75"/>
      <c r="AV870" s="75"/>
      <c r="AW870" s="75"/>
      <c r="AX870" s="80">
        <f t="shared" si="183"/>
        <v>0</v>
      </c>
      <c r="AY870" s="81" t="str">
        <f t="shared" si="184"/>
        <v/>
      </c>
      <c r="AZ870" s="83" t="str">
        <f t="shared" si="185"/>
        <v/>
      </c>
      <c r="BA870" s="80" t="str">
        <f t="shared" si="186"/>
        <v/>
      </c>
      <c r="BB870" s="84">
        <f t="shared" si="187"/>
        <v>0</v>
      </c>
      <c r="BC870" s="85" t="str">
        <f t="shared" si="188"/>
        <v/>
      </c>
      <c r="BD870" s="86" t="str">
        <f t="shared" si="189"/>
        <v/>
      </c>
      <c r="BE870" s="84">
        <f t="shared" si="190"/>
        <v>0</v>
      </c>
      <c r="BF870" s="87" t="str">
        <f t="shared" si="191"/>
        <v/>
      </c>
      <c r="BG870" s="88" t="str">
        <f t="shared" si="192"/>
        <v/>
      </c>
      <c r="BH870" s="89" t="str">
        <f t="shared" si="193"/>
        <v/>
      </c>
      <c r="BI870" s="90" t="str">
        <f t="shared" si="194"/>
        <v/>
      </c>
      <c r="BJ870" s="90" t="str">
        <f t="shared" si="195"/>
        <v/>
      </c>
      <c r="BK870" s="91">
        <f t="shared" si="196"/>
        <v>0</v>
      </c>
      <c r="BL870" s="92">
        <f t="shared" si="197"/>
        <v>0</v>
      </c>
      <c r="BM870" s="95"/>
    </row>
    <row r="871" spans="1:65">
      <c r="A871" s="61">
        <f t="shared" si="198"/>
        <v>0</v>
      </c>
      <c r="B871" s="62"/>
      <c r="C871" s="62"/>
      <c r="D871" s="63"/>
      <c r="E871" s="64"/>
      <c r="F871" s="64"/>
      <c r="G871" s="65"/>
      <c r="H871" s="66" t="str">
        <f t="shared" si="175"/>
        <v/>
      </c>
      <c r="I871" s="67" t="str">
        <f t="shared" si="176"/>
        <v/>
      </c>
      <c r="J871" s="68" t="str">
        <f t="shared" si="177"/>
        <v/>
      </c>
      <c r="K871" s="69" t="str">
        <f t="shared" si="178"/>
        <v/>
      </c>
      <c r="L871" s="70" t="str">
        <f t="shared" si="179"/>
        <v/>
      </c>
      <c r="M871" s="71"/>
      <c r="N871" s="71"/>
      <c r="O871" s="71"/>
      <c r="P871" s="71"/>
      <c r="Q871" s="61"/>
      <c r="R871" s="63"/>
      <c r="S871" s="72"/>
      <c r="T871" s="61"/>
      <c r="U871" s="73"/>
      <c r="V871" s="62"/>
      <c r="W871" s="62"/>
      <c r="X871" s="62"/>
      <c r="Y871" s="93"/>
      <c r="Z871" s="94"/>
      <c r="AA871" s="74"/>
      <c r="AB871" s="75"/>
      <c r="AC871" s="75"/>
      <c r="AD871" s="76"/>
      <c r="AE871" s="77"/>
      <c r="AF871" s="75"/>
      <c r="AG871" s="78"/>
      <c r="AH871" s="79"/>
      <c r="AI871" s="74"/>
      <c r="AJ871" s="75"/>
      <c r="AK871" s="75"/>
      <c r="AL871" s="80">
        <f t="shared" si="180"/>
        <v>0</v>
      </c>
      <c r="AM871" s="74"/>
      <c r="AN871" s="74"/>
      <c r="AO871" s="81" t="str">
        <f t="shared" si="181"/>
        <v/>
      </c>
      <c r="AP871" s="82"/>
      <c r="AQ871" s="75"/>
      <c r="AR871" s="75"/>
      <c r="AS871" s="80">
        <f t="shared" si="182"/>
        <v>0</v>
      </c>
      <c r="AT871" s="74"/>
      <c r="AU871" s="75"/>
      <c r="AV871" s="75"/>
      <c r="AW871" s="75"/>
      <c r="AX871" s="80">
        <f t="shared" si="183"/>
        <v>0</v>
      </c>
      <c r="AY871" s="81" t="str">
        <f t="shared" si="184"/>
        <v/>
      </c>
      <c r="AZ871" s="83" t="str">
        <f t="shared" si="185"/>
        <v/>
      </c>
      <c r="BA871" s="80" t="str">
        <f t="shared" si="186"/>
        <v/>
      </c>
      <c r="BB871" s="84">
        <f t="shared" si="187"/>
        <v>0</v>
      </c>
      <c r="BC871" s="85" t="str">
        <f t="shared" si="188"/>
        <v/>
      </c>
      <c r="BD871" s="86" t="str">
        <f t="shared" si="189"/>
        <v/>
      </c>
      <c r="BE871" s="84">
        <f t="shared" si="190"/>
        <v>0</v>
      </c>
      <c r="BF871" s="87" t="str">
        <f t="shared" si="191"/>
        <v/>
      </c>
      <c r="BG871" s="88" t="str">
        <f t="shared" si="192"/>
        <v/>
      </c>
      <c r="BH871" s="89" t="str">
        <f t="shared" si="193"/>
        <v/>
      </c>
      <c r="BI871" s="90" t="str">
        <f t="shared" si="194"/>
        <v/>
      </c>
      <c r="BJ871" s="90" t="str">
        <f t="shared" si="195"/>
        <v/>
      </c>
      <c r="BK871" s="91">
        <f t="shared" si="196"/>
        <v>0</v>
      </c>
      <c r="BL871" s="92">
        <f t="shared" si="197"/>
        <v>0</v>
      </c>
      <c r="BM871" s="95"/>
    </row>
    <row r="872" spans="1:65">
      <c r="A872" s="61">
        <f t="shared" si="198"/>
        <v>0</v>
      </c>
      <c r="B872" s="62"/>
      <c r="C872" s="62"/>
      <c r="D872" s="63"/>
      <c r="E872" s="64"/>
      <c r="F872" s="64"/>
      <c r="G872" s="65"/>
      <c r="H872" s="66" t="str">
        <f t="shared" si="175"/>
        <v/>
      </c>
      <c r="I872" s="67" t="str">
        <f t="shared" si="176"/>
        <v/>
      </c>
      <c r="J872" s="68" t="str">
        <f t="shared" si="177"/>
        <v/>
      </c>
      <c r="K872" s="69" t="str">
        <f t="shared" si="178"/>
        <v/>
      </c>
      <c r="L872" s="70" t="str">
        <f t="shared" si="179"/>
        <v/>
      </c>
      <c r="M872" s="71"/>
      <c r="N872" s="71"/>
      <c r="O872" s="71"/>
      <c r="P872" s="71"/>
      <c r="Q872" s="61"/>
      <c r="R872" s="63"/>
      <c r="S872" s="72"/>
      <c r="T872" s="61"/>
      <c r="U872" s="73"/>
      <c r="V872" s="62"/>
      <c r="W872" s="62"/>
      <c r="X872" s="62"/>
      <c r="Y872" s="93"/>
      <c r="Z872" s="94"/>
      <c r="AA872" s="74"/>
      <c r="AB872" s="75"/>
      <c r="AC872" s="75"/>
      <c r="AD872" s="76"/>
      <c r="AE872" s="77"/>
      <c r="AF872" s="75"/>
      <c r="AG872" s="78"/>
      <c r="AH872" s="79"/>
      <c r="AI872" s="74"/>
      <c r="AJ872" s="75"/>
      <c r="AK872" s="75"/>
      <c r="AL872" s="80">
        <f t="shared" si="180"/>
        <v>0</v>
      </c>
      <c r="AM872" s="74"/>
      <c r="AN872" s="74"/>
      <c r="AO872" s="81" t="str">
        <f t="shared" si="181"/>
        <v/>
      </c>
      <c r="AP872" s="82"/>
      <c r="AQ872" s="75"/>
      <c r="AR872" s="75"/>
      <c r="AS872" s="80">
        <f t="shared" si="182"/>
        <v>0</v>
      </c>
      <c r="AT872" s="74"/>
      <c r="AU872" s="75"/>
      <c r="AV872" s="75"/>
      <c r="AW872" s="75"/>
      <c r="AX872" s="80">
        <f t="shared" si="183"/>
        <v>0</v>
      </c>
      <c r="AY872" s="81" t="str">
        <f t="shared" si="184"/>
        <v/>
      </c>
      <c r="AZ872" s="83" t="str">
        <f t="shared" si="185"/>
        <v/>
      </c>
      <c r="BA872" s="80" t="str">
        <f t="shared" si="186"/>
        <v/>
      </c>
      <c r="BB872" s="84">
        <f t="shared" si="187"/>
        <v>0</v>
      </c>
      <c r="BC872" s="85" t="str">
        <f t="shared" si="188"/>
        <v/>
      </c>
      <c r="BD872" s="86" t="str">
        <f t="shared" si="189"/>
        <v/>
      </c>
      <c r="BE872" s="84">
        <f t="shared" si="190"/>
        <v>0</v>
      </c>
      <c r="BF872" s="87" t="str">
        <f t="shared" si="191"/>
        <v/>
      </c>
      <c r="BG872" s="88" t="str">
        <f t="shared" si="192"/>
        <v/>
      </c>
      <c r="BH872" s="89" t="str">
        <f t="shared" si="193"/>
        <v/>
      </c>
      <c r="BI872" s="90" t="str">
        <f t="shared" si="194"/>
        <v/>
      </c>
      <c r="BJ872" s="90" t="str">
        <f t="shared" si="195"/>
        <v/>
      </c>
      <c r="BK872" s="91">
        <f t="shared" si="196"/>
        <v>0</v>
      </c>
      <c r="BL872" s="92">
        <f t="shared" si="197"/>
        <v>0</v>
      </c>
      <c r="BM872" s="95"/>
    </row>
    <row r="873" spans="1:65">
      <c r="A873" s="61">
        <f t="shared" si="198"/>
        <v>0</v>
      </c>
      <c r="B873" s="62"/>
      <c r="C873" s="62"/>
      <c r="D873" s="63"/>
      <c r="E873" s="64"/>
      <c r="F873" s="64"/>
      <c r="G873" s="65"/>
      <c r="H873" s="66" t="str">
        <f t="shared" si="175"/>
        <v/>
      </c>
      <c r="I873" s="67" t="str">
        <f t="shared" si="176"/>
        <v/>
      </c>
      <c r="J873" s="68" t="str">
        <f t="shared" si="177"/>
        <v/>
      </c>
      <c r="K873" s="69" t="str">
        <f t="shared" si="178"/>
        <v/>
      </c>
      <c r="L873" s="70" t="str">
        <f t="shared" si="179"/>
        <v/>
      </c>
      <c r="M873" s="71"/>
      <c r="N873" s="71"/>
      <c r="O873" s="71"/>
      <c r="P873" s="71"/>
      <c r="Q873" s="61"/>
      <c r="R873" s="63"/>
      <c r="S873" s="72"/>
      <c r="T873" s="61"/>
      <c r="U873" s="73"/>
      <c r="V873" s="62"/>
      <c r="W873" s="62"/>
      <c r="X873" s="62"/>
      <c r="Y873" s="93"/>
      <c r="Z873" s="94"/>
      <c r="AA873" s="74"/>
      <c r="AB873" s="75"/>
      <c r="AC873" s="75"/>
      <c r="AD873" s="76"/>
      <c r="AE873" s="77"/>
      <c r="AF873" s="75"/>
      <c r="AG873" s="78"/>
      <c r="AH873" s="79"/>
      <c r="AI873" s="74"/>
      <c r="AJ873" s="75"/>
      <c r="AK873" s="75"/>
      <c r="AL873" s="80">
        <f t="shared" si="180"/>
        <v>0</v>
      </c>
      <c r="AM873" s="74"/>
      <c r="AN873" s="74"/>
      <c r="AO873" s="81" t="str">
        <f t="shared" si="181"/>
        <v/>
      </c>
      <c r="AP873" s="82"/>
      <c r="AQ873" s="75"/>
      <c r="AR873" s="75"/>
      <c r="AS873" s="80">
        <f t="shared" si="182"/>
        <v>0</v>
      </c>
      <c r="AT873" s="74"/>
      <c r="AU873" s="75"/>
      <c r="AV873" s="75"/>
      <c r="AW873" s="75"/>
      <c r="AX873" s="80">
        <f t="shared" si="183"/>
        <v>0</v>
      </c>
      <c r="AY873" s="81" t="str">
        <f t="shared" si="184"/>
        <v/>
      </c>
      <c r="AZ873" s="83" t="str">
        <f t="shared" si="185"/>
        <v/>
      </c>
      <c r="BA873" s="80" t="str">
        <f t="shared" si="186"/>
        <v/>
      </c>
      <c r="BB873" s="84">
        <f t="shared" si="187"/>
        <v>0</v>
      </c>
      <c r="BC873" s="85" t="str">
        <f t="shared" si="188"/>
        <v/>
      </c>
      <c r="BD873" s="86" t="str">
        <f t="shared" si="189"/>
        <v/>
      </c>
      <c r="BE873" s="84">
        <f t="shared" si="190"/>
        <v>0</v>
      </c>
      <c r="BF873" s="87" t="str">
        <f t="shared" si="191"/>
        <v/>
      </c>
      <c r="BG873" s="88" t="str">
        <f t="shared" si="192"/>
        <v/>
      </c>
      <c r="BH873" s="89" t="str">
        <f t="shared" si="193"/>
        <v/>
      </c>
      <c r="BI873" s="90" t="str">
        <f t="shared" si="194"/>
        <v/>
      </c>
      <c r="BJ873" s="90" t="str">
        <f t="shared" si="195"/>
        <v/>
      </c>
      <c r="BK873" s="91">
        <f t="shared" si="196"/>
        <v>0</v>
      </c>
      <c r="BL873" s="92">
        <f t="shared" si="197"/>
        <v>0</v>
      </c>
      <c r="BM873" s="95"/>
    </row>
    <row r="874" spans="1:65">
      <c r="A874" s="61">
        <f t="shared" si="198"/>
        <v>0</v>
      </c>
      <c r="B874" s="62"/>
      <c r="C874" s="62"/>
      <c r="D874" s="63"/>
      <c r="E874" s="64"/>
      <c r="F874" s="64"/>
      <c r="G874" s="65"/>
      <c r="H874" s="66" t="str">
        <f t="shared" si="175"/>
        <v/>
      </c>
      <c r="I874" s="67" t="str">
        <f t="shared" si="176"/>
        <v/>
      </c>
      <c r="J874" s="68" t="str">
        <f t="shared" si="177"/>
        <v/>
      </c>
      <c r="K874" s="69" t="str">
        <f t="shared" si="178"/>
        <v/>
      </c>
      <c r="L874" s="70" t="str">
        <f t="shared" si="179"/>
        <v/>
      </c>
      <c r="M874" s="71"/>
      <c r="N874" s="71"/>
      <c r="O874" s="71"/>
      <c r="P874" s="71"/>
      <c r="Q874" s="61"/>
      <c r="R874" s="63"/>
      <c r="S874" s="72"/>
      <c r="T874" s="61"/>
      <c r="U874" s="73"/>
      <c r="V874" s="62"/>
      <c r="W874" s="62"/>
      <c r="X874" s="62"/>
      <c r="Y874" s="93"/>
      <c r="Z874" s="94"/>
      <c r="AA874" s="74"/>
      <c r="AB874" s="75"/>
      <c r="AC874" s="75"/>
      <c r="AD874" s="76"/>
      <c r="AE874" s="77"/>
      <c r="AF874" s="75"/>
      <c r="AG874" s="78"/>
      <c r="AH874" s="79"/>
      <c r="AI874" s="74"/>
      <c r="AJ874" s="75"/>
      <c r="AK874" s="75"/>
      <c r="AL874" s="80">
        <f t="shared" si="180"/>
        <v>0</v>
      </c>
      <c r="AM874" s="74"/>
      <c r="AN874" s="74"/>
      <c r="AO874" s="81" t="str">
        <f t="shared" si="181"/>
        <v/>
      </c>
      <c r="AP874" s="82"/>
      <c r="AQ874" s="75"/>
      <c r="AR874" s="75"/>
      <c r="AS874" s="80">
        <f t="shared" si="182"/>
        <v>0</v>
      </c>
      <c r="AT874" s="74"/>
      <c r="AU874" s="75"/>
      <c r="AV874" s="75"/>
      <c r="AW874" s="75"/>
      <c r="AX874" s="80">
        <f t="shared" si="183"/>
        <v>0</v>
      </c>
      <c r="AY874" s="81" t="str">
        <f t="shared" si="184"/>
        <v/>
      </c>
      <c r="AZ874" s="83" t="str">
        <f t="shared" si="185"/>
        <v/>
      </c>
      <c r="BA874" s="80" t="str">
        <f t="shared" si="186"/>
        <v/>
      </c>
      <c r="BB874" s="84">
        <f t="shared" si="187"/>
        <v>0</v>
      </c>
      <c r="BC874" s="85" t="str">
        <f t="shared" si="188"/>
        <v/>
      </c>
      <c r="BD874" s="86" t="str">
        <f t="shared" si="189"/>
        <v/>
      </c>
      <c r="BE874" s="84">
        <f t="shared" si="190"/>
        <v>0</v>
      </c>
      <c r="BF874" s="87" t="str">
        <f t="shared" si="191"/>
        <v/>
      </c>
      <c r="BG874" s="88" t="str">
        <f t="shared" si="192"/>
        <v/>
      </c>
      <c r="BH874" s="89" t="str">
        <f t="shared" si="193"/>
        <v/>
      </c>
      <c r="BI874" s="90" t="str">
        <f t="shared" si="194"/>
        <v/>
      </c>
      <c r="BJ874" s="90" t="str">
        <f t="shared" si="195"/>
        <v/>
      </c>
      <c r="BK874" s="91">
        <f t="shared" si="196"/>
        <v>0</v>
      </c>
      <c r="BL874" s="92">
        <f t="shared" si="197"/>
        <v>0</v>
      </c>
      <c r="BM874" s="95"/>
    </row>
    <row r="875" spans="1:65">
      <c r="A875" s="61">
        <f t="shared" si="198"/>
        <v>0</v>
      </c>
      <c r="B875" s="62"/>
      <c r="C875" s="62"/>
      <c r="D875" s="63"/>
      <c r="E875" s="64"/>
      <c r="F875" s="64"/>
      <c r="G875" s="65"/>
      <c r="H875" s="66" t="str">
        <f t="shared" si="175"/>
        <v/>
      </c>
      <c r="I875" s="67" t="str">
        <f t="shared" si="176"/>
        <v/>
      </c>
      <c r="J875" s="68" t="str">
        <f t="shared" si="177"/>
        <v/>
      </c>
      <c r="K875" s="69" t="str">
        <f t="shared" si="178"/>
        <v/>
      </c>
      <c r="L875" s="70" t="str">
        <f t="shared" si="179"/>
        <v/>
      </c>
      <c r="M875" s="71"/>
      <c r="N875" s="71"/>
      <c r="O875" s="71"/>
      <c r="P875" s="71"/>
      <c r="Q875" s="61"/>
      <c r="R875" s="63"/>
      <c r="S875" s="72"/>
      <c r="T875" s="61"/>
      <c r="U875" s="73"/>
      <c r="V875" s="62"/>
      <c r="W875" s="62"/>
      <c r="X875" s="62"/>
      <c r="Y875" s="93"/>
      <c r="Z875" s="94"/>
      <c r="AA875" s="74"/>
      <c r="AB875" s="75"/>
      <c r="AC875" s="75"/>
      <c r="AD875" s="76"/>
      <c r="AE875" s="77"/>
      <c r="AF875" s="75"/>
      <c r="AG875" s="78"/>
      <c r="AH875" s="79"/>
      <c r="AI875" s="74"/>
      <c r="AJ875" s="75"/>
      <c r="AK875" s="75"/>
      <c r="AL875" s="80">
        <f t="shared" si="180"/>
        <v>0</v>
      </c>
      <c r="AM875" s="74"/>
      <c r="AN875" s="74"/>
      <c r="AO875" s="81" t="str">
        <f t="shared" si="181"/>
        <v/>
      </c>
      <c r="AP875" s="82"/>
      <c r="AQ875" s="75"/>
      <c r="AR875" s="75"/>
      <c r="AS875" s="80">
        <f t="shared" si="182"/>
        <v>0</v>
      </c>
      <c r="AT875" s="74"/>
      <c r="AU875" s="75"/>
      <c r="AV875" s="75"/>
      <c r="AW875" s="75"/>
      <c r="AX875" s="80">
        <f t="shared" si="183"/>
        <v>0</v>
      </c>
      <c r="AY875" s="81" t="str">
        <f t="shared" si="184"/>
        <v/>
      </c>
      <c r="AZ875" s="83" t="str">
        <f t="shared" si="185"/>
        <v/>
      </c>
      <c r="BA875" s="80" t="str">
        <f t="shared" si="186"/>
        <v/>
      </c>
      <c r="BB875" s="84">
        <f t="shared" si="187"/>
        <v>0</v>
      </c>
      <c r="BC875" s="85" t="str">
        <f t="shared" si="188"/>
        <v/>
      </c>
      <c r="BD875" s="86" t="str">
        <f t="shared" si="189"/>
        <v/>
      </c>
      <c r="BE875" s="84">
        <f t="shared" si="190"/>
        <v>0</v>
      </c>
      <c r="BF875" s="87" t="str">
        <f t="shared" si="191"/>
        <v/>
      </c>
      <c r="BG875" s="88" t="str">
        <f t="shared" si="192"/>
        <v/>
      </c>
      <c r="BH875" s="89" t="str">
        <f t="shared" si="193"/>
        <v/>
      </c>
      <c r="BI875" s="90" t="str">
        <f t="shared" si="194"/>
        <v/>
      </c>
      <c r="BJ875" s="90" t="str">
        <f t="shared" si="195"/>
        <v/>
      </c>
      <c r="BK875" s="91">
        <f t="shared" si="196"/>
        <v>0</v>
      </c>
      <c r="BL875" s="92">
        <f t="shared" si="197"/>
        <v>0</v>
      </c>
      <c r="BM875" s="95"/>
    </row>
    <row r="876" spans="1:65">
      <c r="A876" s="61">
        <f t="shared" si="198"/>
        <v>0</v>
      </c>
      <c r="B876" s="62"/>
      <c r="C876" s="62"/>
      <c r="D876" s="63"/>
      <c r="E876" s="64"/>
      <c r="F876" s="64"/>
      <c r="G876" s="65"/>
      <c r="H876" s="66" t="str">
        <f t="shared" si="175"/>
        <v/>
      </c>
      <c r="I876" s="67" t="str">
        <f t="shared" si="176"/>
        <v/>
      </c>
      <c r="J876" s="68" t="str">
        <f t="shared" si="177"/>
        <v/>
      </c>
      <c r="K876" s="69" t="str">
        <f t="shared" si="178"/>
        <v/>
      </c>
      <c r="L876" s="70" t="str">
        <f t="shared" si="179"/>
        <v/>
      </c>
      <c r="M876" s="71"/>
      <c r="N876" s="71"/>
      <c r="O876" s="71"/>
      <c r="P876" s="71"/>
      <c r="Q876" s="61"/>
      <c r="R876" s="63"/>
      <c r="S876" s="72"/>
      <c r="T876" s="61"/>
      <c r="U876" s="73"/>
      <c r="V876" s="62"/>
      <c r="W876" s="62"/>
      <c r="X876" s="62"/>
      <c r="Y876" s="93"/>
      <c r="Z876" s="94"/>
      <c r="AA876" s="74"/>
      <c r="AB876" s="75"/>
      <c r="AC876" s="75"/>
      <c r="AD876" s="76"/>
      <c r="AE876" s="77"/>
      <c r="AF876" s="75"/>
      <c r="AG876" s="78"/>
      <c r="AH876" s="79"/>
      <c r="AI876" s="74"/>
      <c r="AJ876" s="75"/>
      <c r="AK876" s="75"/>
      <c r="AL876" s="80">
        <f t="shared" si="180"/>
        <v>0</v>
      </c>
      <c r="AM876" s="74"/>
      <c r="AN876" s="74"/>
      <c r="AO876" s="81" t="str">
        <f t="shared" si="181"/>
        <v/>
      </c>
      <c r="AP876" s="82"/>
      <c r="AQ876" s="75"/>
      <c r="AR876" s="75"/>
      <c r="AS876" s="80">
        <f t="shared" si="182"/>
        <v>0</v>
      </c>
      <c r="AT876" s="74"/>
      <c r="AU876" s="75"/>
      <c r="AV876" s="75"/>
      <c r="AW876" s="75"/>
      <c r="AX876" s="80">
        <f t="shared" si="183"/>
        <v>0</v>
      </c>
      <c r="AY876" s="81" t="str">
        <f t="shared" si="184"/>
        <v/>
      </c>
      <c r="AZ876" s="83" t="str">
        <f t="shared" si="185"/>
        <v/>
      </c>
      <c r="BA876" s="80" t="str">
        <f t="shared" si="186"/>
        <v/>
      </c>
      <c r="BB876" s="84">
        <f t="shared" si="187"/>
        <v>0</v>
      </c>
      <c r="BC876" s="85" t="str">
        <f t="shared" si="188"/>
        <v/>
      </c>
      <c r="BD876" s="86" t="str">
        <f t="shared" si="189"/>
        <v/>
      </c>
      <c r="BE876" s="84">
        <f t="shared" si="190"/>
        <v>0</v>
      </c>
      <c r="BF876" s="87" t="str">
        <f t="shared" si="191"/>
        <v/>
      </c>
      <c r="BG876" s="88" t="str">
        <f t="shared" si="192"/>
        <v/>
      </c>
      <c r="BH876" s="89" t="str">
        <f t="shared" si="193"/>
        <v/>
      </c>
      <c r="BI876" s="90" t="str">
        <f t="shared" si="194"/>
        <v/>
      </c>
      <c r="BJ876" s="90" t="str">
        <f t="shared" si="195"/>
        <v/>
      </c>
      <c r="BK876" s="91">
        <f t="shared" si="196"/>
        <v>0</v>
      </c>
      <c r="BL876" s="92">
        <f t="shared" si="197"/>
        <v>0</v>
      </c>
      <c r="BM876" s="95"/>
    </row>
    <row r="877" spans="1:65">
      <c r="A877" s="61">
        <f t="shared" si="198"/>
        <v>0</v>
      </c>
      <c r="B877" s="62"/>
      <c r="C877" s="62"/>
      <c r="D877" s="63"/>
      <c r="E877" s="64"/>
      <c r="F877" s="64"/>
      <c r="G877" s="65"/>
      <c r="H877" s="66" t="str">
        <f t="shared" si="175"/>
        <v/>
      </c>
      <c r="I877" s="67" t="str">
        <f t="shared" si="176"/>
        <v/>
      </c>
      <c r="J877" s="68" t="str">
        <f t="shared" si="177"/>
        <v/>
      </c>
      <c r="K877" s="69" t="str">
        <f t="shared" si="178"/>
        <v/>
      </c>
      <c r="L877" s="70" t="str">
        <f t="shared" si="179"/>
        <v/>
      </c>
      <c r="M877" s="71"/>
      <c r="N877" s="71"/>
      <c r="O877" s="71"/>
      <c r="P877" s="71"/>
      <c r="Q877" s="61"/>
      <c r="R877" s="63"/>
      <c r="S877" s="72"/>
      <c r="T877" s="61"/>
      <c r="U877" s="73"/>
      <c r="V877" s="62"/>
      <c r="W877" s="62"/>
      <c r="X877" s="62"/>
      <c r="Y877" s="93"/>
      <c r="Z877" s="94"/>
      <c r="AA877" s="74"/>
      <c r="AB877" s="75"/>
      <c r="AC877" s="75"/>
      <c r="AD877" s="76"/>
      <c r="AE877" s="77"/>
      <c r="AF877" s="75"/>
      <c r="AG877" s="78"/>
      <c r="AH877" s="79"/>
      <c r="AI877" s="74"/>
      <c r="AJ877" s="75"/>
      <c r="AK877" s="75"/>
      <c r="AL877" s="80">
        <f t="shared" si="180"/>
        <v>0</v>
      </c>
      <c r="AM877" s="74"/>
      <c r="AN877" s="74"/>
      <c r="AO877" s="81" t="str">
        <f t="shared" si="181"/>
        <v/>
      </c>
      <c r="AP877" s="82"/>
      <c r="AQ877" s="75"/>
      <c r="AR877" s="75"/>
      <c r="AS877" s="80">
        <f t="shared" si="182"/>
        <v>0</v>
      </c>
      <c r="AT877" s="74"/>
      <c r="AU877" s="75"/>
      <c r="AV877" s="75"/>
      <c r="AW877" s="75"/>
      <c r="AX877" s="80">
        <f t="shared" si="183"/>
        <v>0</v>
      </c>
      <c r="AY877" s="81" t="str">
        <f t="shared" si="184"/>
        <v/>
      </c>
      <c r="AZ877" s="83" t="str">
        <f t="shared" si="185"/>
        <v/>
      </c>
      <c r="BA877" s="80" t="str">
        <f t="shared" si="186"/>
        <v/>
      </c>
      <c r="BB877" s="84">
        <f t="shared" si="187"/>
        <v>0</v>
      </c>
      <c r="BC877" s="85" t="str">
        <f t="shared" si="188"/>
        <v/>
      </c>
      <c r="BD877" s="86" t="str">
        <f t="shared" si="189"/>
        <v/>
      </c>
      <c r="BE877" s="84">
        <f t="shared" si="190"/>
        <v>0</v>
      </c>
      <c r="BF877" s="87" t="str">
        <f t="shared" si="191"/>
        <v/>
      </c>
      <c r="BG877" s="88" t="str">
        <f t="shared" si="192"/>
        <v/>
      </c>
      <c r="BH877" s="89" t="str">
        <f t="shared" si="193"/>
        <v/>
      </c>
      <c r="BI877" s="90" t="str">
        <f t="shared" si="194"/>
        <v/>
      </c>
      <c r="BJ877" s="90" t="str">
        <f t="shared" si="195"/>
        <v/>
      </c>
      <c r="BK877" s="91">
        <f t="shared" si="196"/>
        <v>0</v>
      </c>
      <c r="BL877" s="92">
        <f t="shared" si="197"/>
        <v>0</v>
      </c>
      <c r="BM877" s="95"/>
    </row>
    <row r="878" spans="1:65">
      <c r="A878" s="61">
        <f t="shared" si="198"/>
        <v>0</v>
      </c>
      <c r="B878" s="62"/>
      <c r="C878" s="62"/>
      <c r="D878" s="63"/>
      <c r="E878" s="64"/>
      <c r="F878" s="64"/>
      <c r="G878" s="65"/>
      <c r="H878" s="66" t="str">
        <f t="shared" si="175"/>
        <v/>
      </c>
      <c r="I878" s="67" t="str">
        <f t="shared" si="176"/>
        <v/>
      </c>
      <c r="J878" s="68" t="str">
        <f t="shared" si="177"/>
        <v/>
      </c>
      <c r="K878" s="69" t="str">
        <f t="shared" si="178"/>
        <v/>
      </c>
      <c r="L878" s="70" t="str">
        <f t="shared" si="179"/>
        <v/>
      </c>
      <c r="M878" s="71"/>
      <c r="N878" s="71"/>
      <c r="O878" s="71"/>
      <c r="P878" s="71"/>
      <c r="Q878" s="61"/>
      <c r="R878" s="63"/>
      <c r="S878" s="72"/>
      <c r="T878" s="61"/>
      <c r="U878" s="73"/>
      <c r="V878" s="62"/>
      <c r="W878" s="62"/>
      <c r="X878" s="62"/>
      <c r="Y878" s="93"/>
      <c r="Z878" s="94"/>
      <c r="AA878" s="74"/>
      <c r="AB878" s="75"/>
      <c r="AC878" s="75"/>
      <c r="AD878" s="76"/>
      <c r="AE878" s="77"/>
      <c r="AF878" s="75"/>
      <c r="AG878" s="78"/>
      <c r="AH878" s="79"/>
      <c r="AI878" s="74"/>
      <c r="AJ878" s="75"/>
      <c r="AK878" s="75"/>
      <c r="AL878" s="80">
        <f t="shared" si="180"/>
        <v>0</v>
      </c>
      <c r="AM878" s="74"/>
      <c r="AN878" s="74"/>
      <c r="AO878" s="81" t="str">
        <f t="shared" si="181"/>
        <v/>
      </c>
      <c r="AP878" s="82"/>
      <c r="AQ878" s="75"/>
      <c r="AR878" s="75"/>
      <c r="AS878" s="80">
        <f t="shared" si="182"/>
        <v>0</v>
      </c>
      <c r="AT878" s="74"/>
      <c r="AU878" s="75"/>
      <c r="AV878" s="75"/>
      <c r="AW878" s="75"/>
      <c r="AX878" s="80">
        <f t="shared" si="183"/>
        <v>0</v>
      </c>
      <c r="AY878" s="81" t="str">
        <f t="shared" si="184"/>
        <v/>
      </c>
      <c r="AZ878" s="83" t="str">
        <f t="shared" si="185"/>
        <v/>
      </c>
      <c r="BA878" s="80" t="str">
        <f t="shared" si="186"/>
        <v/>
      </c>
      <c r="BB878" s="84">
        <f t="shared" si="187"/>
        <v>0</v>
      </c>
      <c r="BC878" s="85" t="str">
        <f t="shared" si="188"/>
        <v/>
      </c>
      <c r="BD878" s="86" t="str">
        <f t="shared" si="189"/>
        <v/>
      </c>
      <c r="BE878" s="84">
        <f t="shared" si="190"/>
        <v>0</v>
      </c>
      <c r="BF878" s="87" t="str">
        <f t="shared" si="191"/>
        <v/>
      </c>
      <c r="BG878" s="88" t="str">
        <f t="shared" si="192"/>
        <v/>
      </c>
      <c r="BH878" s="89" t="str">
        <f t="shared" si="193"/>
        <v/>
      </c>
      <c r="BI878" s="90" t="str">
        <f t="shared" si="194"/>
        <v/>
      </c>
      <c r="BJ878" s="90" t="str">
        <f t="shared" si="195"/>
        <v/>
      </c>
      <c r="BK878" s="91">
        <f t="shared" si="196"/>
        <v>0</v>
      </c>
      <c r="BL878" s="92">
        <f t="shared" si="197"/>
        <v>0</v>
      </c>
      <c r="BM878" s="95"/>
    </row>
    <row r="879" spans="1:65">
      <c r="A879" s="61">
        <f t="shared" si="198"/>
        <v>0</v>
      </c>
      <c r="B879" s="62"/>
      <c r="C879" s="62"/>
      <c r="D879" s="63"/>
      <c r="E879" s="64"/>
      <c r="F879" s="64"/>
      <c r="G879" s="65"/>
      <c r="H879" s="66" t="str">
        <f t="shared" si="175"/>
        <v/>
      </c>
      <c r="I879" s="67" t="str">
        <f t="shared" si="176"/>
        <v/>
      </c>
      <c r="J879" s="68" t="str">
        <f t="shared" si="177"/>
        <v/>
      </c>
      <c r="K879" s="69" t="str">
        <f t="shared" si="178"/>
        <v/>
      </c>
      <c r="L879" s="70" t="str">
        <f t="shared" si="179"/>
        <v/>
      </c>
      <c r="M879" s="71"/>
      <c r="N879" s="71"/>
      <c r="O879" s="71"/>
      <c r="P879" s="71"/>
      <c r="Q879" s="61"/>
      <c r="R879" s="63"/>
      <c r="S879" s="72"/>
      <c r="T879" s="61"/>
      <c r="U879" s="73"/>
      <c r="V879" s="62"/>
      <c r="W879" s="62"/>
      <c r="X879" s="62"/>
      <c r="Y879" s="93"/>
      <c r="Z879" s="94"/>
      <c r="AA879" s="74"/>
      <c r="AB879" s="75"/>
      <c r="AC879" s="75"/>
      <c r="AD879" s="76"/>
      <c r="AE879" s="77"/>
      <c r="AF879" s="75"/>
      <c r="AG879" s="78"/>
      <c r="AH879" s="79"/>
      <c r="AI879" s="74"/>
      <c r="AJ879" s="75"/>
      <c r="AK879" s="75"/>
      <c r="AL879" s="80">
        <f t="shared" si="180"/>
        <v>0</v>
      </c>
      <c r="AM879" s="74"/>
      <c r="AN879" s="74"/>
      <c r="AO879" s="81" t="str">
        <f t="shared" si="181"/>
        <v/>
      </c>
      <c r="AP879" s="82"/>
      <c r="AQ879" s="75"/>
      <c r="AR879" s="75"/>
      <c r="AS879" s="80">
        <f t="shared" si="182"/>
        <v>0</v>
      </c>
      <c r="AT879" s="74"/>
      <c r="AU879" s="75"/>
      <c r="AV879" s="75"/>
      <c r="AW879" s="75"/>
      <c r="AX879" s="80">
        <f t="shared" si="183"/>
        <v>0</v>
      </c>
      <c r="AY879" s="81" t="str">
        <f t="shared" si="184"/>
        <v/>
      </c>
      <c r="AZ879" s="83" t="str">
        <f t="shared" si="185"/>
        <v/>
      </c>
      <c r="BA879" s="80" t="str">
        <f t="shared" si="186"/>
        <v/>
      </c>
      <c r="BB879" s="84">
        <f t="shared" si="187"/>
        <v>0</v>
      </c>
      <c r="BC879" s="85" t="str">
        <f t="shared" si="188"/>
        <v/>
      </c>
      <c r="BD879" s="86" t="str">
        <f t="shared" si="189"/>
        <v/>
      </c>
      <c r="BE879" s="84">
        <f t="shared" si="190"/>
        <v>0</v>
      </c>
      <c r="BF879" s="87" t="str">
        <f t="shared" si="191"/>
        <v/>
      </c>
      <c r="BG879" s="88" t="str">
        <f t="shared" si="192"/>
        <v/>
      </c>
      <c r="BH879" s="89" t="str">
        <f t="shared" si="193"/>
        <v/>
      </c>
      <c r="BI879" s="90" t="str">
        <f t="shared" si="194"/>
        <v/>
      </c>
      <c r="BJ879" s="90" t="str">
        <f t="shared" si="195"/>
        <v/>
      </c>
      <c r="BK879" s="91">
        <f t="shared" si="196"/>
        <v>0</v>
      </c>
      <c r="BL879" s="92">
        <f t="shared" si="197"/>
        <v>0</v>
      </c>
      <c r="BM879" s="95"/>
    </row>
    <row r="880" spans="1:65">
      <c r="A880" s="61">
        <f t="shared" si="198"/>
        <v>0</v>
      </c>
      <c r="B880" s="62"/>
      <c r="C880" s="62"/>
      <c r="D880" s="63"/>
      <c r="E880" s="64"/>
      <c r="F880" s="64"/>
      <c r="G880" s="65"/>
      <c r="H880" s="66" t="str">
        <f t="shared" si="175"/>
        <v/>
      </c>
      <c r="I880" s="67" t="str">
        <f t="shared" si="176"/>
        <v/>
      </c>
      <c r="J880" s="68" t="str">
        <f t="shared" si="177"/>
        <v/>
      </c>
      <c r="K880" s="69" t="str">
        <f t="shared" si="178"/>
        <v/>
      </c>
      <c r="L880" s="70" t="str">
        <f t="shared" si="179"/>
        <v/>
      </c>
      <c r="M880" s="71"/>
      <c r="N880" s="71"/>
      <c r="O880" s="71"/>
      <c r="P880" s="71"/>
      <c r="Q880" s="61"/>
      <c r="R880" s="63"/>
      <c r="S880" s="72"/>
      <c r="T880" s="61"/>
      <c r="U880" s="73"/>
      <c r="V880" s="62"/>
      <c r="W880" s="62"/>
      <c r="X880" s="62"/>
      <c r="Y880" s="93"/>
      <c r="Z880" s="94"/>
      <c r="AA880" s="74"/>
      <c r="AB880" s="75"/>
      <c r="AC880" s="75"/>
      <c r="AD880" s="76"/>
      <c r="AE880" s="77"/>
      <c r="AF880" s="75"/>
      <c r="AG880" s="78"/>
      <c r="AH880" s="79"/>
      <c r="AI880" s="74"/>
      <c r="AJ880" s="75"/>
      <c r="AK880" s="75"/>
      <c r="AL880" s="80">
        <f t="shared" si="180"/>
        <v>0</v>
      </c>
      <c r="AM880" s="74"/>
      <c r="AN880" s="74"/>
      <c r="AO880" s="81" t="str">
        <f t="shared" si="181"/>
        <v/>
      </c>
      <c r="AP880" s="82"/>
      <c r="AQ880" s="75"/>
      <c r="AR880" s="75"/>
      <c r="AS880" s="80">
        <f t="shared" si="182"/>
        <v>0</v>
      </c>
      <c r="AT880" s="74"/>
      <c r="AU880" s="75"/>
      <c r="AV880" s="75"/>
      <c r="AW880" s="75"/>
      <c r="AX880" s="80">
        <f t="shared" si="183"/>
        <v>0</v>
      </c>
      <c r="AY880" s="81" t="str">
        <f t="shared" si="184"/>
        <v/>
      </c>
      <c r="AZ880" s="83" t="str">
        <f t="shared" si="185"/>
        <v/>
      </c>
      <c r="BA880" s="80" t="str">
        <f t="shared" si="186"/>
        <v/>
      </c>
      <c r="BB880" s="84">
        <f t="shared" si="187"/>
        <v>0</v>
      </c>
      <c r="BC880" s="85" t="str">
        <f t="shared" si="188"/>
        <v/>
      </c>
      <c r="BD880" s="86" t="str">
        <f t="shared" si="189"/>
        <v/>
      </c>
      <c r="BE880" s="84">
        <f t="shared" si="190"/>
        <v>0</v>
      </c>
      <c r="BF880" s="87" t="str">
        <f t="shared" si="191"/>
        <v/>
      </c>
      <c r="BG880" s="88" t="str">
        <f t="shared" si="192"/>
        <v/>
      </c>
      <c r="BH880" s="89" t="str">
        <f t="shared" si="193"/>
        <v/>
      </c>
      <c r="BI880" s="90" t="str">
        <f t="shared" si="194"/>
        <v/>
      </c>
      <c r="BJ880" s="90" t="str">
        <f t="shared" si="195"/>
        <v/>
      </c>
      <c r="BK880" s="91">
        <f t="shared" si="196"/>
        <v>0</v>
      </c>
      <c r="BL880" s="92">
        <f t="shared" si="197"/>
        <v>0</v>
      </c>
      <c r="BM880" s="95"/>
    </row>
    <row r="881" spans="1:65">
      <c r="A881" s="61">
        <f t="shared" si="198"/>
        <v>0</v>
      </c>
      <c r="B881" s="62"/>
      <c r="C881" s="62"/>
      <c r="D881" s="63"/>
      <c r="E881" s="64"/>
      <c r="F881" s="64"/>
      <c r="G881" s="65"/>
      <c r="H881" s="66" t="str">
        <f t="shared" si="175"/>
        <v/>
      </c>
      <c r="I881" s="67" t="str">
        <f t="shared" si="176"/>
        <v/>
      </c>
      <c r="J881" s="68" t="str">
        <f t="shared" si="177"/>
        <v/>
      </c>
      <c r="K881" s="69" t="str">
        <f t="shared" si="178"/>
        <v/>
      </c>
      <c r="L881" s="70" t="str">
        <f t="shared" si="179"/>
        <v/>
      </c>
      <c r="M881" s="71"/>
      <c r="N881" s="71"/>
      <c r="O881" s="71"/>
      <c r="P881" s="71"/>
      <c r="Q881" s="61"/>
      <c r="R881" s="63"/>
      <c r="S881" s="72"/>
      <c r="T881" s="61"/>
      <c r="U881" s="73"/>
      <c r="V881" s="62"/>
      <c r="W881" s="62"/>
      <c r="X881" s="62"/>
      <c r="Y881" s="93"/>
      <c r="Z881" s="94"/>
      <c r="AA881" s="74"/>
      <c r="AB881" s="75"/>
      <c r="AC881" s="75"/>
      <c r="AD881" s="76"/>
      <c r="AE881" s="77"/>
      <c r="AF881" s="75"/>
      <c r="AG881" s="78"/>
      <c r="AH881" s="79"/>
      <c r="AI881" s="74"/>
      <c r="AJ881" s="75"/>
      <c r="AK881" s="75"/>
      <c r="AL881" s="80">
        <f t="shared" si="180"/>
        <v>0</v>
      </c>
      <c r="AM881" s="74"/>
      <c r="AN881" s="74"/>
      <c r="AO881" s="81" t="str">
        <f t="shared" si="181"/>
        <v/>
      </c>
      <c r="AP881" s="82"/>
      <c r="AQ881" s="75"/>
      <c r="AR881" s="75"/>
      <c r="AS881" s="80">
        <f t="shared" si="182"/>
        <v>0</v>
      </c>
      <c r="AT881" s="74"/>
      <c r="AU881" s="75"/>
      <c r="AV881" s="75"/>
      <c r="AW881" s="75"/>
      <c r="AX881" s="80">
        <f t="shared" si="183"/>
        <v>0</v>
      </c>
      <c r="AY881" s="81" t="str">
        <f t="shared" si="184"/>
        <v/>
      </c>
      <c r="AZ881" s="83" t="str">
        <f t="shared" si="185"/>
        <v/>
      </c>
      <c r="BA881" s="80" t="str">
        <f t="shared" si="186"/>
        <v/>
      </c>
      <c r="BB881" s="84">
        <f t="shared" si="187"/>
        <v>0</v>
      </c>
      <c r="BC881" s="85" t="str">
        <f t="shared" si="188"/>
        <v/>
      </c>
      <c r="BD881" s="86" t="str">
        <f t="shared" si="189"/>
        <v/>
      </c>
      <c r="BE881" s="84">
        <f t="shared" si="190"/>
        <v>0</v>
      </c>
      <c r="BF881" s="87" t="str">
        <f t="shared" si="191"/>
        <v/>
      </c>
      <c r="BG881" s="88" t="str">
        <f t="shared" si="192"/>
        <v/>
      </c>
      <c r="BH881" s="89" t="str">
        <f t="shared" si="193"/>
        <v/>
      </c>
      <c r="BI881" s="90" t="str">
        <f t="shared" si="194"/>
        <v/>
      </c>
      <c r="BJ881" s="90" t="str">
        <f t="shared" si="195"/>
        <v/>
      </c>
      <c r="BK881" s="91">
        <f t="shared" si="196"/>
        <v>0</v>
      </c>
      <c r="BL881" s="92">
        <f t="shared" si="197"/>
        <v>0</v>
      </c>
      <c r="BM881" s="95"/>
    </row>
    <row r="882" spans="1:65">
      <c r="A882" s="61">
        <f t="shared" si="198"/>
        <v>0</v>
      </c>
      <c r="B882" s="62"/>
      <c r="C882" s="62"/>
      <c r="D882" s="63"/>
      <c r="E882" s="64"/>
      <c r="F882" s="64"/>
      <c r="G882" s="65"/>
      <c r="H882" s="66" t="str">
        <f t="shared" si="175"/>
        <v/>
      </c>
      <c r="I882" s="67" t="str">
        <f t="shared" si="176"/>
        <v/>
      </c>
      <c r="J882" s="68" t="str">
        <f t="shared" si="177"/>
        <v/>
      </c>
      <c r="K882" s="69" t="str">
        <f t="shared" si="178"/>
        <v/>
      </c>
      <c r="L882" s="70" t="str">
        <f t="shared" si="179"/>
        <v/>
      </c>
      <c r="M882" s="71"/>
      <c r="N882" s="71"/>
      <c r="O882" s="71"/>
      <c r="P882" s="71"/>
      <c r="Q882" s="61"/>
      <c r="R882" s="63"/>
      <c r="S882" s="72"/>
      <c r="T882" s="61"/>
      <c r="U882" s="73"/>
      <c r="V882" s="62"/>
      <c r="W882" s="62"/>
      <c r="X882" s="62"/>
      <c r="Y882" s="93"/>
      <c r="Z882" s="94"/>
      <c r="AA882" s="74"/>
      <c r="AB882" s="75"/>
      <c r="AC882" s="75"/>
      <c r="AD882" s="76"/>
      <c r="AE882" s="77"/>
      <c r="AF882" s="75"/>
      <c r="AG882" s="78"/>
      <c r="AH882" s="79"/>
      <c r="AI882" s="74"/>
      <c r="AJ882" s="75"/>
      <c r="AK882" s="75"/>
      <c r="AL882" s="80">
        <f t="shared" si="180"/>
        <v>0</v>
      </c>
      <c r="AM882" s="74"/>
      <c r="AN882" s="74"/>
      <c r="AO882" s="81" t="str">
        <f t="shared" si="181"/>
        <v/>
      </c>
      <c r="AP882" s="82"/>
      <c r="AQ882" s="75"/>
      <c r="AR882" s="75"/>
      <c r="AS882" s="80">
        <f t="shared" si="182"/>
        <v>0</v>
      </c>
      <c r="AT882" s="74"/>
      <c r="AU882" s="75"/>
      <c r="AV882" s="75"/>
      <c r="AW882" s="75"/>
      <c r="AX882" s="80">
        <f t="shared" si="183"/>
        <v>0</v>
      </c>
      <c r="AY882" s="81" t="str">
        <f t="shared" si="184"/>
        <v/>
      </c>
      <c r="AZ882" s="83" t="str">
        <f t="shared" si="185"/>
        <v/>
      </c>
      <c r="BA882" s="80" t="str">
        <f t="shared" si="186"/>
        <v/>
      </c>
      <c r="BB882" s="84">
        <f t="shared" si="187"/>
        <v>0</v>
      </c>
      <c r="BC882" s="85" t="str">
        <f t="shared" si="188"/>
        <v/>
      </c>
      <c r="BD882" s="86" t="str">
        <f t="shared" si="189"/>
        <v/>
      </c>
      <c r="BE882" s="84">
        <f t="shared" si="190"/>
        <v>0</v>
      </c>
      <c r="BF882" s="87" t="str">
        <f t="shared" si="191"/>
        <v/>
      </c>
      <c r="BG882" s="88" t="str">
        <f t="shared" si="192"/>
        <v/>
      </c>
      <c r="BH882" s="89" t="str">
        <f t="shared" si="193"/>
        <v/>
      </c>
      <c r="BI882" s="90" t="str">
        <f t="shared" si="194"/>
        <v/>
      </c>
      <c r="BJ882" s="90" t="str">
        <f t="shared" si="195"/>
        <v/>
      </c>
      <c r="BK882" s="91">
        <f t="shared" si="196"/>
        <v>0</v>
      </c>
      <c r="BL882" s="92">
        <f t="shared" si="197"/>
        <v>0</v>
      </c>
      <c r="BM882" s="95"/>
    </row>
    <row r="883" spans="1:65">
      <c r="A883" s="61">
        <f t="shared" si="198"/>
        <v>0</v>
      </c>
      <c r="B883" s="62"/>
      <c r="C883" s="62"/>
      <c r="D883" s="63"/>
      <c r="E883" s="64"/>
      <c r="F883" s="64"/>
      <c r="G883" s="65"/>
      <c r="H883" s="66" t="str">
        <f t="shared" si="175"/>
        <v/>
      </c>
      <c r="I883" s="67" t="str">
        <f t="shared" si="176"/>
        <v/>
      </c>
      <c r="J883" s="68" t="str">
        <f t="shared" si="177"/>
        <v/>
      </c>
      <c r="K883" s="69" t="str">
        <f t="shared" si="178"/>
        <v/>
      </c>
      <c r="L883" s="70" t="str">
        <f t="shared" si="179"/>
        <v/>
      </c>
      <c r="M883" s="71"/>
      <c r="N883" s="71"/>
      <c r="O883" s="71"/>
      <c r="P883" s="71"/>
      <c r="Q883" s="61"/>
      <c r="R883" s="63"/>
      <c r="S883" s="72"/>
      <c r="T883" s="61"/>
      <c r="U883" s="73"/>
      <c r="V883" s="62"/>
      <c r="W883" s="62"/>
      <c r="X883" s="62"/>
      <c r="Y883" s="93"/>
      <c r="Z883" s="94"/>
      <c r="AA883" s="74"/>
      <c r="AB883" s="75"/>
      <c r="AC883" s="75"/>
      <c r="AD883" s="76"/>
      <c r="AE883" s="77"/>
      <c r="AF883" s="75"/>
      <c r="AG883" s="78"/>
      <c r="AH883" s="79"/>
      <c r="AI883" s="74"/>
      <c r="AJ883" s="75"/>
      <c r="AK883" s="75"/>
      <c r="AL883" s="80">
        <f t="shared" si="180"/>
        <v>0</v>
      </c>
      <c r="AM883" s="74"/>
      <c r="AN883" s="74"/>
      <c r="AO883" s="81" t="str">
        <f t="shared" si="181"/>
        <v/>
      </c>
      <c r="AP883" s="82"/>
      <c r="AQ883" s="75"/>
      <c r="AR883" s="75"/>
      <c r="AS883" s="80">
        <f t="shared" si="182"/>
        <v>0</v>
      </c>
      <c r="AT883" s="74"/>
      <c r="AU883" s="75"/>
      <c r="AV883" s="75"/>
      <c r="AW883" s="75"/>
      <c r="AX883" s="80">
        <f t="shared" si="183"/>
        <v>0</v>
      </c>
      <c r="AY883" s="81" t="str">
        <f t="shared" si="184"/>
        <v/>
      </c>
      <c r="AZ883" s="83" t="str">
        <f t="shared" si="185"/>
        <v/>
      </c>
      <c r="BA883" s="80" t="str">
        <f t="shared" si="186"/>
        <v/>
      </c>
      <c r="BB883" s="84">
        <f t="shared" si="187"/>
        <v>0</v>
      </c>
      <c r="BC883" s="85" t="str">
        <f t="shared" si="188"/>
        <v/>
      </c>
      <c r="BD883" s="86" t="str">
        <f t="shared" si="189"/>
        <v/>
      </c>
      <c r="BE883" s="84">
        <f t="shared" si="190"/>
        <v>0</v>
      </c>
      <c r="BF883" s="87" t="str">
        <f t="shared" si="191"/>
        <v/>
      </c>
      <c r="BG883" s="88" t="str">
        <f t="shared" si="192"/>
        <v/>
      </c>
      <c r="BH883" s="89" t="str">
        <f t="shared" si="193"/>
        <v/>
      </c>
      <c r="BI883" s="90" t="str">
        <f t="shared" si="194"/>
        <v/>
      </c>
      <c r="BJ883" s="90" t="str">
        <f t="shared" si="195"/>
        <v/>
      </c>
      <c r="BK883" s="91">
        <f t="shared" si="196"/>
        <v>0</v>
      </c>
      <c r="BL883" s="92">
        <f t="shared" si="197"/>
        <v>0</v>
      </c>
      <c r="BM883" s="95"/>
    </row>
    <row r="884" spans="1:65">
      <c r="A884" s="61">
        <f t="shared" si="198"/>
        <v>0</v>
      </c>
      <c r="B884" s="62"/>
      <c r="C884" s="62"/>
      <c r="D884" s="63"/>
      <c r="E884" s="64"/>
      <c r="F884" s="64"/>
      <c r="G884" s="65"/>
      <c r="H884" s="66" t="str">
        <f t="shared" si="175"/>
        <v/>
      </c>
      <c r="I884" s="67" t="str">
        <f t="shared" si="176"/>
        <v/>
      </c>
      <c r="J884" s="68" t="str">
        <f t="shared" si="177"/>
        <v/>
      </c>
      <c r="K884" s="69" t="str">
        <f t="shared" si="178"/>
        <v/>
      </c>
      <c r="L884" s="70" t="str">
        <f t="shared" si="179"/>
        <v/>
      </c>
      <c r="M884" s="71"/>
      <c r="N884" s="71"/>
      <c r="O884" s="71"/>
      <c r="P884" s="71"/>
      <c r="Q884" s="61"/>
      <c r="R884" s="63"/>
      <c r="S884" s="72"/>
      <c r="T884" s="61"/>
      <c r="U884" s="73"/>
      <c r="V884" s="62"/>
      <c r="W884" s="62"/>
      <c r="X884" s="62"/>
      <c r="Y884" s="93"/>
      <c r="Z884" s="94"/>
      <c r="AA884" s="74"/>
      <c r="AB884" s="75"/>
      <c r="AC884" s="75"/>
      <c r="AD884" s="76"/>
      <c r="AE884" s="77"/>
      <c r="AF884" s="75"/>
      <c r="AG884" s="78"/>
      <c r="AH884" s="79"/>
      <c r="AI884" s="74"/>
      <c r="AJ884" s="75"/>
      <c r="AK884" s="75"/>
      <c r="AL884" s="80">
        <f t="shared" si="180"/>
        <v>0</v>
      </c>
      <c r="AM884" s="74"/>
      <c r="AN884" s="74"/>
      <c r="AO884" s="81" t="str">
        <f t="shared" si="181"/>
        <v/>
      </c>
      <c r="AP884" s="82"/>
      <c r="AQ884" s="75"/>
      <c r="AR884" s="75"/>
      <c r="AS884" s="80">
        <f t="shared" si="182"/>
        <v>0</v>
      </c>
      <c r="AT884" s="74"/>
      <c r="AU884" s="75"/>
      <c r="AV884" s="75"/>
      <c r="AW884" s="75"/>
      <c r="AX884" s="80">
        <f t="shared" si="183"/>
        <v>0</v>
      </c>
      <c r="AY884" s="81" t="str">
        <f t="shared" si="184"/>
        <v/>
      </c>
      <c r="AZ884" s="83" t="str">
        <f t="shared" si="185"/>
        <v/>
      </c>
      <c r="BA884" s="80" t="str">
        <f t="shared" si="186"/>
        <v/>
      </c>
      <c r="BB884" s="84">
        <f t="shared" si="187"/>
        <v>0</v>
      </c>
      <c r="BC884" s="85" t="str">
        <f t="shared" si="188"/>
        <v/>
      </c>
      <c r="BD884" s="86" t="str">
        <f t="shared" si="189"/>
        <v/>
      </c>
      <c r="BE884" s="84">
        <f t="shared" si="190"/>
        <v>0</v>
      </c>
      <c r="BF884" s="87" t="str">
        <f t="shared" si="191"/>
        <v/>
      </c>
      <c r="BG884" s="88" t="str">
        <f t="shared" si="192"/>
        <v/>
      </c>
      <c r="BH884" s="89" t="str">
        <f t="shared" si="193"/>
        <v/>
      </c>
      <c r="BI884" s="90" t="str">
        <f t="shared" si="194"/>
        <v/>
      </c>
      <c r="BJ884" s="90" t="str">
        <f t="shared" si="195"/>
        <v/>
      </c>
      <c r="BK884" s="91">
        <f t="shared" si="196"/>
        <v>0</v>
      </c>
      <c r="BL884" s="92">
        <f t="shared" si="197"/>
        <v>0</v>
      </c>
      <c r="BM884" s="95"/>
    </row>
    <row r="885" spans="1:65">
      <c r="A885" s="61">
        <f t="shared" si="198"/>
        <v>0</v>
      </c>
      <c r="B885" s="62"/>
      <c r="C885" s="62"/>
      <c r="D885" s="63"/>
      <c r="E885" s="64"/>
      <c r="F885" s="64"/>
      <c r="G885" s="65"/>
      <c r="H885" s="66" t="str">
        <f t="shared" si="175"/>
        <v/>
      </c>
      <c r="I885" s="67" t="str">
        <f t="shared" si="176"/>
        <v/>
      </c>
      <c r="J885" s="68" t="str">
        <f t="shared" si="177"/>
        <v/>
      </c>
      <c r="K885" s="69" t="str">
        <f t="shared" si="178"/>
        <v/>
      </c>
      <c r="L885" s="70" t="str">
        <f t="shared" si="179"/>
        <v/>
      </c>
      <c r="M885" s="71"/>
      <c r="N885" s="71"/>
      <c r="O885" s="71"/>
      <c r="P885" s="71"/>
      <c r="Q885" s="61"/>
      <c r="R885" s="63"/>
      <c r="S885" s="72"/>
      <c r="T885" s="61"/>
      <c r="U885" s="73"/>
      <c r="V885" s="62"/>
      <c r="W885" s="62"/>
      <c r="X885" s="62"/>
      <c r="Y885" s="93"/>
      <c r="Z885" s="94"/>
      <c r="AA885" s="74"/>
      <c r="AB885" s="75"/>
      <c r="AC885" s="75"/>
      <c r="AD885" s="76"/>
      <c r="AE885" s="77"/>
      <c r="AF885" s="75"/>
      <c r="AG885" s="78"/>
      <c r="AH885" s="79"/>
      <c r="AI885" s="74"/>
      <c r="AJ885" s="75"/>
      <c r="AK885" s="75"/>
      <c r="AL885" s="80">
        <f t="shared" si="180"/>
        <v>0</v>
      </c>
      <c r="AM885" s="74"/>
      <c r="AN885" s="74"/>
      <c r="AO885" s="81" t="str">
        <f t="shared" si="181"/>
        <v/>
      </c>
      <c r="AP885" s="82"/>
      <c r="AQ885" s="75"/>
      <c r="AR885" s="75"/>
      <c r="AS885" s="80">
        <f t="shared" si="182"/>
        <v>0</v>
      </c>
      <c r="AT885" s="74"/>
      <c r="AU885" s="75"/>
      <c r="AV885" s="75"/>
      <c r="AW885" s="75"/>
      <c r="AX885" s="80">
        <f t="shared" si="183"/>
        <v>0</v>
      </c>
      <c r="AY885" s="81" t="str">
        <f t="shared" si="184"/>
        <v/>
      </c>
      <c r="AZ885" s="83" t="str">
        <f t="shared" si="185"/>
        <v/>
      </c>
      <c r="BA885" s="80" t="str">
        <f t="shared" si="186"/>
        <v/>
      </c>
      <c r="BB885" s="84">
        <f t="shared" si="187"/>
        <v>0</v>
      </c>
      <c r="BC885" s="85" t="str">
        <f t="shared" si="188"/>
        <v/>
      </c>
      <c r="BD885" s="86" t="str">
        <f t="shared" si="189"/>
        <v/>
      </c>
      <c r="BE885" s="84">
        <f t="shared" si="190"/>
        <v>0</v>
      </c>
      <c r="BF885" s="87" t="str">
        <f t="shared" si="191"/>
        <v/>
      </c>
      <c r="BG885" s="88" t="str">
        <f t="shared" si="192"/>
        <v/>
      </c>
      <c r="BH885" s="89" t="str">
        <f t="shared" si="193"/>
        <v/>
      </c>
      <c r="BI885" s="90" t="str">
        <f t="shared" si="194"/>
        <v/>
      </c>
      <c r="BJ885" s="90" t="str">
        <f t="shared" si="195"/>
        <v/>
      </c>
      <c r="BK885" s="91">
        <f t="shared" si="196"/>
        <v>0</v>
      </c>
      <c r="BL885" s="92">
        <f t="shared" si="197"/>
        <v>0</v>
      </c>
      <c r="BM885" s="95"/>
    </row>
    <row r="886" spans="1:65">
      <c r="A886" s="61">
        <f t="shared" si="198"/>
        <v>0</v>
      </c>
      <c r="B886" s="62"/>
      <c r="C886" s="62"/>
      <c r="D886" s="63"/>
      <c r="E886" s="64"/>
      <c r="F886" s="64"/>
      <c r="G886" s="65"/>
      <c r="H886" s="66" t="str">
        <f t="shared" si="175"/>
        <v/>
      </c>
      <c r="I886" s="67" t="str">
        <f t="shared" si="176"/>
        <v/>
      </c>
      <c r="J886" s="68" t="str">
        <f t="shared" si="177"/>
        <v/>
      </c>
      <c r="K886" s="69" t="str">
        <f t="shared" si="178"/>
        <v/>
      </c>
      <c r="L886" s="70" t="str">
        <f t="shared" si="179"/>
        <v/>
      </c>
      <c r="M886" s="71"/>
      <c r="N886" s="71"/>
      <c r="O886" s="71"/>
      <c r="P886" s="71"/>
      <c r="Q886" s="61"/>
      <c r="R886" s="63"/>
      <c r="S886" s="72"/>
      <c r="T886" s="61"/>
      <c r="U886" s="73"/>
      <c r="V886" s="62"/>
      <c r="W886" s="62"/>
      <c r="X886" s="62"/>
      <c r="Y886" s="93"/>
      <c r="Z886" s="94"/>
      <c r="AA886" s="74"/>
      <c r="AB886" s="75"/>
      <c r="AC886" s="75"/>
      <c r="AD886" s="76"/>
      <c r="AE886" s="77"/>
      <c r="AF886" s="75"/>
      <c r="AG886" s="78"/>
      <c r="AH886" s="79"/>
      <c r="AI886" s="74"/>
      <c r="AJ886" s="75"/>
      <c r="AK886" s="75"/>
      <c r="AL886" s="80">
        <f t="shared" si="180"/>
        <v>0</v>
      </c>
      <c r="AM886" s="74"/>
      <c r="AN886" s="74"/>
      <c r="AO886" s="81" t="str">
        <f t="shared" si="181"/>
        <v/>
      </c>
      <c r="AP886" s="82"/>
      <c r="AQ886" s="75"/>
      <c r="AR886" s="75"/>
      <c r="AS886" s="80">
        <f t="shared" si="182"/>
        <v>0</v>
      </c>
      <c r="AT886" s="74"/>
      <c r="AU886" s="75"/>
      <c r="AV886" s="75"/>
      <c r="AW886" s="75"/>
      <c r="AX886" s="80">
        <f t="shared" si="183"/>
        <v>0</v>
      </c>
      <c r="AY886" s="81" t="str">
        <f t="shared" si="184"/>
        <v/>
      </c>
      <c r="AZ886" s="83" t="str">
        <f t="shared" si="185"/>
        <v/>
      </c>
      <c r="BA886" s="80" t="str">
        <f t="shared" si="186"/>
        <v/>
      </c>
      <c r="BB886" s="84">
        <f t="shared" si="187"/>
        <v>0</v>
      </c>
      <c r="BC886" s="85" t="str">
        <f t="shared" si="188"/>
        <v/>
      </c>
      <c r="BD886" s="86" t="str">
        <f t="shared" si="189"/>
        <v/>
      </c>
      <c r="BE886" s="84">
        <f t="shared" si="190"/>
        <v>0</v>
      </c>
      <c r="BF886" s="87" t="str">
        <f t="shared" si="191"/>
        <v/>
      </c>
      <c r="BG886" s="88" t="str">
        <f t="shared" si="192"/>
        <v/>
      </c>
      <c r="BH886" s="89" t="str">
        <f t="shared" si="193"/>
        <v/>
      </c>
      <c r="BI886" s="90" t="str">
        <f t="shared" si="194"/>
        <v/>
      </c>
      <c r="BJ886" s="90" t="str">
        <f t="shared" si="195"/>
        <v/>
      </c>
      <c r="BK886" s="91">
        <f t="shared" si="196"/>
        <v>0</v>
      </c>
      <c r="BL886" s="92">
        <f t="shared" si="197"/>
        <v>0</v>
      </c>
      <c r="BM886" s="95"/>
    </row>
    <row r="887" spans="1:65">
      <c r="A887" s="61">
        <f t="shared" si="198"/>
        <v>0</v>
      </c>
      <c r="B887" s="62"/>
      <c r="C887" s="62"/>
      <c r="D887" s="63"/>
      <c r="E887" s="64"/>
      <c r="F887" s="64"/>
      <c r="G887" s="65"/>
      <c r="H887" s="66" t="str">
        <f t="shared" si="175"/>
        <v/>
      </c>
      <c r="I887" s="67" t="str">
        <f t="shared" si="176"/>
        <v/>
      </c>
      <c r="J887" s="68" t="str">
        <f t="shared" si="177"/>
        <v/>
      </c>
      <c r="K887" s="69" t="str">
        <f t="shared" si="178"/>
        <v/>
      </c>
      <c r="L887" s="70" t="str">
        <f t="shared" si="179"/>
        <v/>
      </c>
      <c r="M887" s="71"/>
      <c r="N887" s="71"/>
      <c r="O887" s="71"/>
      <c r="P887" s="71"/>
      <c r="Q887" s="61"/>
      <c r="R887" s="63"/>
      <c r="S887" s="72"/>
      <c r="T887" s="61"/>
      <c r="U887" s="73"/>
      <c r="V887" s="62"/>
      <c r="W887" s="62"/>
      <c r="X887" s="62"/>
      <c r="Y887" s="93"/>
      <c r="Z887" s="94"/>
      <c r="AA887" s="74"/>
      <c r="AB887" s="75"/>
      <c r="AC887" s="75"/>
      <c r="AD887" s="76"/>
      <c r="AE887" s="77"/>
      <c r="AF887" s="75"/>
      <c r="AG887" s="78"/>
      <c r="AH887" s="79"/>
      <c r="AI887" s="74"/>
      <c r="AJ887" s="75"/>
      <c r="AK887" s="75"/>
      <c r="AL887" s="80">
        <f t="shared" si="180"/>
        <v>0</v>
      </c>
      <c r="AM887" s="74"/>
      <c r="AN887" s="74"/>
      <c r="AO887" s="81" t="str">
        <f t="shared" si="181"/>
        <v/>
      </c>
      <c r="AP887" s="82"/>
      <c r="AQ887" s="75"/>
      <c r="AR887" s="75"/>
      <c r="AS887" s="80">
        <f t="shared" si="182"/>
        <v>0</v>
      </c>
      <c r="AT887" s="74"/>
      <c r="AU887" s="75"/>
      <c r="AV887" s="75"/>
      <c r="AW887" s="75"/>
      <c r="AX887" s="80">
        <f t="shared" si="183"/>
        <v>0</v>
      </c>
      <c r="AY887" s="81" t="str">
        <f t="shared" si="184"/>
        <v/>
      </c>
      <c r="AZ887" s="83" t="str">
        <f t="shared" si="185"/>
        <v/>
      </c>
      <c r="BA887" s="80" t="str">
        <f t="shared" si="186"/>
        <v/>
      </c>
      <c r="BB887" s="84">
        <f t="shared" si="187"/>
        <v>0</v>
      </c>
      <c r="BC887" s="85" t="str">
        <f t="shared" si="188"/>
        <v/>
      </c>
      <c r="BD887" s="86" t="str">
        <f t="shared" si="189"/>
        <v/>
      </c>
      <c r="BE887" s="84">
        <f t="shared" si="190"/>
        <v>0</v>
      </c>
      <c r="BF887" s="87" t="str">
        <f t="shared" si="191"/>
        <v/>
      </c>
      <c r="BG887" s="88" t="str">
        <f t="shared" si="192"/>
        <v/>
      </c>
      <c r="BH887" s="89" t="str">
        <f t="shared" si="193"/>
        <v/>
      </c>
      <c r="BI887" s="90" t="str">
        <f t="shared" si="194"/>
        <v/>
      </c>
      <c r="BJ887" s="90" t="str">
        <f t="shared" si="195"/>
        <v/>
      </c>
      <c r="BK887" s="91">
        <f t="shared" si="196"/>
        <v>0</v>
      </c>
      <c r="BL887" s="92">
        <f t="shared" si="197"/>
        <v>0</v>
      </c>
      <c r="BM887" s="95"/>
    </row>
    <row r="888" spans="1:65">
      <c r="A888" s="61">
        <f t="shared" si="198"/>
        <v>0</v>
      </c>
      <c r="B888" s="62"/>
      <c r="C888" s="62"/>
      <c r="D888" s="63"/>
      <c r="E888" s="64"/>
      <c r="F888" s="64"/>
      <c r="G888" s="65"/>
      <c r="H888" s="66" t="str">
        <f t="shared" si="175"/>
        <v/>
      </c>
      <c r="I888" s="67" t="str">
        <f t="shared" si="176"/>
        <v/>
      </c>
      <c r="J888" s="68" t="str">
        <f t="shared" si="177"/>
        <v/>
      </c>
      <c r="K888" s="69" t="str">
        <f t="shared" si="178"/>
        <v/>
      </c>
      <c r="L888" s="70" t="str">
        <f t="shared" si="179"/>
        <v/>
      </c>
      <c r="M888" s="71"/>
      <c r="N888" s="71"/>
      <c r="O888" s="71"/>
      <c r="P888" s="71"/>
      <c r="Q888" s="61"/>
      <c r="R888" s="63"/>
      <c r="S888" s="72"/>
      <c r="T888" s="61"/>
      <c r="U888" s="73"/>
      <c r="V888" s="62"/>
      <c r="W888" s="62"/>
      <c r="X888" s="62"/>
      <c r="Y888" s="93"/>
      <c r="Z888" s="94"/>
      <c r="AA888" s="74"/>
      <c r="AB888" s="75"/>
      <c r="AC888" s="75"/>
      <c r="AD888" s="76"/>
      <c r="AE888" s="77"/>
      <c r="AF888" s="75"/>
      <c r="AG888" s="78"/>
      <c r="AH888" s="79"/>
      <c r="AI888" s="74"/>
      <c r="AJ888" s="75"/>
      <c r="AK888" s="75"/>
      <c r="AL888" s="80">
        <f t="shared" si="180"/>
        <v>0</v>
      </c>
      <c r="AM888" s="74"/>
      <c r="AN888" s="74"/>
      <c r="AO888" s="81" t="str">
        <f t="shared" si="181"/>
        <v/>
      </c>
      <c r="AP888" s="82"/>
      <c r="AQ888" s="75"/>
      <c r="AR888" s="75"/>
      <c r="AS888" s="80">
        <f t="shared" si="182"/>
        <v>0</v>
      </c>
      <c r="AT888" s="74"/>
      <c r="AU888" s="75"/>
      <c r="AV888" s="75"/>
      <c r="AW888" s="75"/>
      <c r="AX888" s="80">
        <f t="shared" si="183"/>
        <v>0</v>
      </c>
      <c r="AY888" s="81" t="str">
        <f t="shared" si="184"/>
        <v/>
      </c>
      <c r="AZ888" s="83" t="str">
        <f t="shared" si="185"/>
        <v/>
      </c>
      <c r="BA888" s="80" t="str">
        <f t="shared" si="186"/>
        <v/>
      </c>
      <c r="BB888" s="84">
        <f t="shared" si="187"/>
        <v>0</v>
      </c>
      <c r="BC888" s="85" t="str">
        <f t="shared" si="188"/>
        <v/>
      </c>
      <c r="BD888" s="86" t="str">
        <f t="shared" si="189"/>
        <v/>
      </c>
      <c r="BE888" s="84">
        <f t="shared" si="190"/>
        <v>0</v>
      </c>
      <c r="BF888" s="87" t="str">
        <f t="shared" si="191"/>
        <v/>
      </c>
      <c r="BG888" s="88" t="str">
        <f t="shared" si="192"/>
        <v/>
      </c>
      <c r="BH888" s="89" t="str">
        <f t="shared" si="193"/>
        <v/>
      </c>
      <c r="BI888" s="90" t="str">
        <f t="shared" si="194"/>
        <v/>
      </c>
      <c r="BJ888" s="90" t="str">
        <f t="shared" si="195"/>
        <v/>
      </c>
      <c r="BK888" s="91">
        <f t="shared" si="196"/>
        <v>0</v>
      </c>
      <c r="BL888" s="92">
        <f t="shared" si="197"/>
        <v>0</v>
      </c>
      <c r="BM888" s="95"/>
    </row>
    <row r="889" spans="1:65">
      <c r="A889" s="61">
        <f t="shared" si="198"/>
        <v>0</v>
      </c>
      <c r="B889" s="62"/>
      <c r="C889" s="62"/>
      <c r="D889" s="63"/>
      <c r="E889" s="64"/>
      <c r="F889" s="64"/>
      <c r="G889" s="65"/>
      <c r="H889" s="66" t="str">
        <f t="shared" si="175"/>
        <v/>
      </c>
      <c r="I889" s="67" t="str">
        <f t="shared" si="176"/>
        <v/>
      </c>
      <c r="J889" s="68" t="str">
        <f t="shared" si="177"/>
        <v/>
      </c>
      <c r="K889" s="69" t="str">
        <f t="shared" si="178"/>
        <v/>
      </c>
      <c r="L889" s="70" t="str">
        <f t="shared" si="179"/>
        <v/>
      </c>
      <c r="M889" s="71"/>
      <c r="N889" s="71"/>
      <c r="O889" s="71"/>
      <c r="P889" s="71"/>
      <c r="Q889" s="61"/>
      <c r="R889" s="63"/>
      <c r="S889" s="72"/>
      <c r="T889" s="61"/>
      <c r="U889" s="73"/>
      <c r="V889" s="62"/>
      <c r="W889" s="62"/>
      <c r="X889" s="62"/>
      <c r="Y889" s="93"/>
      <c r="Z889" s="94"/>
      <c r="AA889" s="74"/>
      <c r="AB889" s="75"/>
      <c r="AC889" s="75"/>
      <c r="AD889" s="76"/>
      <c r="AE889" s="77"/>
      <c r="AF889" s="75"/>
      <c r="AG889" s="78"/>
      <c r="AH889" s="79"/>
      <c r="AI889" s="74"/>
      <c r="AJ889" s="75"/>
      <c r="AK889" s="75"/>
      <c r="AL889" s="80">
        <f t="shared" si="180"/>
        <v>0</v>
      </c>
      <c r="AM889" s="74"/>
      <c r="AN889" s="74"/>
      <c r="AO889" s="81" t="str">
        <f t="shared" si="181"/>
        <v/>
      </c>
      <c r="AP889" s="82"/>
      <c r="AQ889" s="75"/>
      <c r="AR889" s="75"/>
      <c r="AS889" s="80">
        <f t="shared" si="182"/>
        <v>0</v>
      </c>
      <c r="AT889" s="74"/>
      <c r="AU889" s="75"/>
      <c r="AV889" s="75"/>
      <c r="AW889" s="75"/>
      <c r="AX889" s="80">
        <f t="shared" si="183"/>
        <v>0</v>
      </c>
      <c r="AY889" s="81" t="str">
        <f t="shared" si="184"/>
        <v/>
      </c>
      <c r="AZ889" s="83" t="str">
        <f t="shared" si="185"/>
        <v/>
      </c>
      <c r="BA889" s="80" t="str">
        <f t="shared" si="186"/>
        <v/>
      </c>
      <c r="BB889" s="84">
        <f t="shared" si="187"/>
        <v>0</v>
      </c>
      <c r="BC889" s="85" t="str">
        <f t="shared" si="188"/>
        <v/>
      </c>
      <c r="BD889" s="86" t="str">
        <f t="shared" si="189"/>
        <v/>
      </c>
      <c r="BE889" s="84">
        <f t="shared" si="190"/>
        <v>0</v>
      </c>
      <c r="BF889" s="87" t="str">
        <f t="shared" si="191"/>
        <v/>
      </c>
      <c r="BG889" s="88" t="str">
        <f t="shared" si="192"/>
        <v/>
      </c>
      <c r="BH889" s="89" t="str">
        <f t="shared" si="193"/>
        <v/>
      </c>
      <c r="BI889" s="90" t="str">
        <f t="shared" si="194"/>
        <v/>
      </c>
      <c r="BJ889" s="90" t="str">
        <f t="shared" si="195"/>
        <v/>
      </c>
      <c r="BK889" s="91">
        <f t="shared" si="196"/>
        <v>0</v>
      </c>
      <c r="BL889" s="92">
        <f t="shared" si="197"/>
        <v>0</v>
      </c>
      <c r="BM889" s="95"/>
    </row>
    <row r="890" spans="1:65">
      <c r="A890" s="61">
        <f t="shared" si="198"/>
        <v>0</v>
      </c>
      <c r="B890" s="62"/>
      <c r="C890" s="62"/>
      <c r="D890" s="63"/>
      <c r="E890" s="64"/>
      <c r="F890" s="64"/>
      <c r="G890" s="65"/>
      <c r="H890" s="66" t="str">
        <f t="shared" si="175"/>
        <v/>
      </c>
      <c r="I890" s="67" t="str">
        <f t="shared" si="176"/>
        <v/>
      </c>
      <c r="J890" s="68" t="str">
        <f t="shared" si="177"/>
        <v/>
      </c>
      <c r="K890" s="69" t="str">
        <f t="shared" si="178"/>
        <v/>
      </c>
      <c r="L890" s="70" t="str">
        <f t="shared" si="179"/>
        <v/>
      </c>
      <c r="M890" s="71"/>
      <c r="N890" s="71"/>
      <c r="O890" s="71"/>
      <c r="P890" s="71"/>
      <c r="Q890" s="61"/>
      <c r="R890" s="63"/>
      <c r="S890" s="72"/>
      <c r="T890" s="61"/>
      <c r="U890" s="73"/>
      <c r="V890" s="62"/>
      <c r="W890" s="62"/>
      <c r="X890" s="62"/>
      <c r="Y890" s="93"/>
      <c r="Z890" s="94"/>
      <c r="AA890" s="74"/>
      <c r="AB890" s="75"/>
      <c r="AC890" s="75"/>
      <c r="AD890" s="76"/>
      <c r="AE890" s="77"/>
      <c r="AF890" s="75"/>
      <c r="AG890" s="78"/>
      <c r="AH890" s="79"/>
      <c r="AI890" s="74"/>
      <c r="AJ890" s="75"/>
      <c r="AK890" s="75"/>
      <c r="AL890" s="80">
        <f t="shared" si="180"/>
        <v>0</v>
      </c>
      <c r="AM890" s="74"/>
      <c r="AN890" s="74"/>
      <c r="AO890" s="81" t="str">
        <f t="shared" si="181"/>
        <v/>
      </c>
      <c r="AP890" s="82"/>
      <c r="AQ890" s="75"/>
      <c r="AR890" s="75"/>
      <c r="AS890" s="80">
        <f t="shared" si="182"/>
        <v>0</v>
      </c>
      <c r="AT890" s="74"/>
      <c r="AU890" s="75"/>
      <c r="AV890" s="75"/>
      <c r="AW890" s="75"/>
      <c r="AX890" s="80">
        <f t="shared" si="183"/>
        <v>0</v>
      </c>
      <c r="AY890" s="81" t="str">
        <f t="shared" si="184"/>
        <v/>
      </c>
      <c r="AZ890" s="83" t="str">
        <f t="shared" si="185"/>
        <v/>
      </c>
      <c r="BA890" s="80" t="str">
        <f t="shared" si="186"/>
        <v/>
      </c>
      <c r="BB890" s="84">
        <f t="shared" si="187"/>
        <v>0</v>
      </c>
      <c r="BC890" s="85" t="str">
        <f t="shared" si="188"/>
        <v/>
      </c>
      <c r="BD890" s="86" t="str">
        <f t="shared" si="189"/>
        <v/>
      </c>
      <c r="BE890" s="84">
        <f t="shared" si="190"/>
        <v>0</v>
      </c>
      <c r="BF890" s="87" t="str">
        <f t="shared" si="191"/>
        <v/>
      </c>
      <c r="BG890" s="88" t="str">
        <f t="shared" si="192"/>
        <v/>
      </c>
      <c r="BH890" s="89" t="str">
        <f t="shared" si="193"/>
        <v/>
      </c>
      <c r="BI890" s="90" t="str">
        <f t="shared" si="194"/>
        <v/>
      </c>
      <c r="BJ890" s="90" t="str">
        <f t="shared" si="195"/>
        <v/>
      </c>
      <c r="BK890" s="91">
        <f t="shared" si="196"/>
        <v>0</v>
      </c>
      <c r="BL890" s="92">
        <f t="shared" si="197"/>
        <v>0</v>
      </c>
      <c r="BM890" s="95"/>
    </row>
    <row r="891" spans="1:65">
      <c r="A891" s="61">
        <f t="shared" si="198"/>
        <v>0</v>
      </c>
      <c r="B891" s="62"/>
      <c r="C891" s="62"/>
      <c r="D891" s="63"/>
      <c r="E891" s="64"/>
      <c r="F891" s="64"/>
      <c r="G891" s="65"/>
      <c r="H891" s="66" t="str">
        <f t="shared" si="175"/>
        <v/>
      </c>
      <c r="I891" s="67" t="str">
        <f t="shared" si="176"/>
        <v/>
      </c>
      <c r="J891" s="68" t="str">
        <f t="shared" si="177"/>
        <v/>
      </c>
      <c r="K891" s="69" t="str">
        <f t="shared" si="178"/>
        <v/>
      </c>
      <c r="L891" s="70" t="str">
        <f t="shared" si="179"/>
        <v/>
      </c>
      <c r="M891" s="71"/>
      <c r="N891" s="71"/>
      <c r="O891" s="71"/>
      <c r="P891" s="71"/>
      <c r="Q891" s="61"/>
      <c r="R891" s="63"/>
      <c r="S891" s="72"/>
      <c r="T891" s="61"/>
      <c r="U891" s="73"/>
      <c r="V891" s="62"/>
      <c r="W891" s="62"/>
      <c r="X891" s="62"/>
      <c r="Y891" s="93"/>
      <c r="Z891" s="94"/>
      <c r="AA891" s="74"/>
      <c r="AB891" s="75"/>
      <c r="AC891" s="75"/>
      <c r="AD891" s="76"/>
      <c r="AE891" s="77"/>
      <c r="AF891" s="75"/>
      <c r="AG891" s="78"/>
      <c r="AH891" s="79"/>
      <c r="AI891" s="74"/>
      <c r="AJ891" s="75"/>
      <c r="AK891" s="75"/>
      <c r="AL891" s="80">
        <f t="shared" si="180"/>
        <v>0</v>
      </c>
      <c r="AM891" s="74"/>
      <c r="AN891" s="74"/>
      <c r="AO891" s="81" t="str">
        <f t="shared" si="181"/>
        <v/>
      </c>
      <c r="AP891" s="82"/>
      <c r="AQ891" s="75"/>
      <c r="AR891" s="75"/>
      <c r="AS891" s="80">
        <f t="shared" si="182"/>
        <v>0</v>
      </c>
      <c r="AT891" s="74"/>
      <c r="AU891" s="75"/>
      <c r="AV891" s="75"/>
      <c r="AW891" s="75"/>
      <c r="AX891" s="80">
        <f t="shared" si="183"/>
        <v>0</v>
      </c>
      <c r="AY891" s="81" t="str">
        <f t="shared" si="184"/>
        <v/>
      </c>
      <c r="AZ891" s="83" t="str">
        <f t="shared" si="185"/>
        <v/>
      </c>
      <c r="BA891" s="80" t="str">
        <f t="shared" si="186"/>
        <v/>
      </c>
      <c r="BB891" s="84">
        <f t="shared" si="187"/>
        <v>0</v>
      </c>
      <c r="BC891" s="85" t="str">
        <f t="shared" si="188"/>
        <v/>
      </c>
      <c r="BD891" s="86" t="str">
        <f t="shared" si="189"/>
        <v/>
      </c>
      <c r="BE891" s="84">
        <f t="shared" si="190"/>
        <v>0</v>
      </c>
      <c r="BF891" s="87" t="str">
        <f t="shared" si="191"/>
        <v/>
      </c>
      <c r="BG891" s="88" t="str">
        <f t="shared" si="192"/>
        <v/>
      </c>
      <c r="BH891" s="89" t="str">
        <f t="shared" si="193"/>
        <v/>
      </c>
      <c r="BI891" s="90" t="str">
        <f t="shared" si="194"/>
        <v/>
      </c>
      <c r="BJ891" s="90" t="str">
        <f t="shared" si="195"/>
        <v/>
      </c>
      <c r="BK891" s="91">
        <f t="shared" si="196"/>
        <v>0</v>
      </c>
      <c r="BL891" s="92">
        <f t="shared" si="197"/>
        <v>0</v>
      </c>
      <c r="BM891" s="95"/>
    </row>
    <row r="892" spans="1:65">
      <c r="A892" s="61">
        <f t="shared" si="198"/>
        <v>0</v>
      </c>
      <c r="B892" s="62"/>
      <c r="C892" s="62"/>
      <c r="D892" s="63"/>
      <c r="E892" s="64"/>
      <c r="F892" s="64"/>
      <c r="G892" s="65"/>
      <c r="H892" s="66" t="str">
        <f t="shared" si="175"/>
        <v/>
      </c>
      <c r="I892" s="67" t="str">
        <f t="shared" si="176"/>
        <v/>
      </c>
      <c r="J892" s="68" t="str">
        <f t="shared" si="177"/>
        <v/>
      </c>
      <c r="K892" s="69" t="str">
        <f t="shared" si="178"/>
        <v/>
      </c>
      <c r="L892" s="70" t="str">
        <f t="shared" si="179"/>
        <v/>
      </c>
      <c r="M892" s="71"/>
      <c r="N892" s="71"/>
      <c r="O892" s="71"/>
      <c r="P892" s="71"/>
      <c r="Q892" s="61"/>
      <c r="R892" s="63"/>
      <c r="S892" s="72"/>
      <c r="T892" s="61"/>
      <c r="U892" s="73"/>
      <c r="V892" s="62"/>
      <c r="W892" s="62"/>
      <c r="X892" s="62"/>
      <c r="Y892" s="93"/>
      <c r="Z892" s="94"/>
      <c r="AA892" s="74"/>
      <c r="AB892" s="75"/>
      <c r="AC892" s="75"/>
      <c r="AD892" s="76"/>
      <c r="AE892" s="77"/>
      <c r="AF892" s="75"/>
      <c r="AG892" s="78"/>
      <c r="AH892" s="79"/>
      <c r="AI892" s="74"/>
      <c r="AJ892" s="75"/>
      <c r="AK892" s="75"/>
      <c r="AL892" s="80">
        <f t="shared" si="180"/>
        <v>0</v>
      </c>
      <c r="AM892" s="74"/>
      <c r="AN892" s="74"/>
      <c r="AO892" s="81" t="str">
        <f t="shared" si="181"/>
        <v/>
      </c>
      <c r="AP892" s="82"/>
      <c r="AQ892" s="75"/>
      <c r="AR892" s="75"/>
      <c r="AS892" s="80">
        <f t="shared" si="182"/>
        <v>0</v>
      </c>
      <c r="AT892" s="74"/>
      <c r="AU892" s="75"/>
      <c r="AV892" s="75"/>
      <c r="AW892" s="75"/>
      <c r="AX892" s="80">
        <f t="shared" si="183"/>
        <v>0</v>
      </c>
      <c r="AY892" s="81" t="str">
        <f t="shared" si="184"/>
        <v/>
      </c>
      <c r="AZ892" s="83" t="str">
        <f t="shared" si="185"/>
        <v/>
      </c>
      <c r="BA892" s="80" t="str">
        <f t="shared" si="186"/>
        <v/>
      </c>
      <c r="BB892" s="84">
        <f t="shared" si="187"/>
        <v>0</v>
      </c>
      <c r="BC892" s="85" t="str">
        <f t="shared" si="188"/>
        <v/>
      </c>
      <c r="BD892" s="86" t="str">
        <f t="shared" si="189"/>
        <v/>
      </c>
      <c r="BE892" s="84">
        <f t="shared" si="190"/>
        <v>0</v>
      </c>
      <c r="BF892" s="87" t="str">
        <f t="shared" si="191"/>
        <v/>
      </c>
      <c r="BG892" s="88" t="str">
        <f t="shared" si="192"/>
        <v/>
      </c>
      <c r="BH892" s="89" t="str">
        <f t="shared" si="193"/>
        <v/>
      </c>
      <c r="BI892" s="90" t="str">
        <f t="shared" si="194"/>
        <v/>
      </c>
      <c r="BJ892" s="90" t="str">
        <f t="shared" si="195"/>
        <v/>
      </c>
      <c r="BK892" s="91">
        <f t="shared" si="196"/>
        <v>0</v>
      </c>
      <c r="BL892" s="92">
        <f t="shared" si="197"/>
        <v>0</v>
      </c>
      <c r="BM892" s="95"/>
    </row>
    <row r="893" spans="1:65">
      <c r="A893" s="61">
        <f t="shared" si="198"/>
        <v>0</v>
      </c>
      <c r="B893" s="62"/>
      <c r="C893" s="62"/>
      <c r="D893" s="63"/>
      <c r="E893" s="64"/>
      <c r="F893" s="64"/>
      <c r="G893" s="65"/>
      <c r="H893" s="66" t="str">
        <f t="shared" si="175"/>
        <v/>
      </c>
      <c r="I893" s="67" t="str">
        <f t="shared" si="176"/>
        <v/>
      </c>
      <c r="J893" s="68" t="str">
        <f t="shared" si="177"/>
        <v/>
      </c>
      <c r="K893" s="69" t="str">
        <f t="shared" si="178"/>
        <v/>
      </c>
      <c r="L893" s="70" t="str">
        <f t="shared" si="179"/>
        <v/>
      </c>
      <c r="M893" s="71"/>
      <c r="N893" s="71"/>
      <c r="O893" s="71"/>
      <c r="P893" s="71"/>
      <c r="Q893" s="61"/>
      <c r="R893" s="63"/>
      <c r="S893" s="72"/>
      <c r="T893" s="61"/>
      <c r="U893" s="73"/>
      <c r="V893" s="62"/>
      <c r="W893" s="62"/>
      <c r="X893" s="62"/>
      <c r="Y893" s="93"/>
      <c r="Z893" s="94"/>
      <c r="AA893" s="74"/>
      <c r="AB893" s="75"/>
      <c r="AC893" s="75"/>
      <c r="AD893" s="76"/>
      <c r="AE893" s="77"/>
      <c r="AF893" s="75"/>
      <c r="AG893" s="78"/>
      <c r="AH893" s="79"/>
      <c r="AI893" s="74"/>
      <c r="AJ893" s="75"/>
      <c r="AK893" s="75"/>
      <c r="AL893" s="80">
        <f t="shared" si="180"/>
        <v>0</v>
      </c>
      <c r="AM893" s="74"/>
      <c r="AN893" s="74"/>
      <c r="AO893" s="81" t="str">
        <f t="shared" si="181"/>
        <v/>
      </c>
      <c r="AP893" s="82"/>
      <c r="AQ893" s="75"/>
      <c r="AR893" s="75"/>
      <c r="AS893" s="80">
        <f t="shared" si="182"/>
        <v>0</v>
      </c>
      <c r="AT893" s="74"/>
      <c r="AU893" s="75"/>
      <c r="AV893" s="75"/>
      <c r="AW893" s="75"/>
      <c r="AX893" s="80">
        <f t="shared" si="183"/>
        <v>0</v>
      </c>
      <c r="AY893" s="81" t="str">
        <f t="shared" si="184"/>
        <v/>
      </c>
      <c r="AZ893" s="83" t="str">
        <f t="shared" si="185"/>
        <v/>
      </c>
      <c r="BA893" s="80" t="str">
        <f t="shared" si="186"/>
        <v/>
      </c>
      <c r="BB893" s="84">
        <f t="shared" si="187"/>
        <v>0</v>
      </c>
      <c r="BC893" s="85" t="str">
        <f t="shared" si="188"/>
        <v/>
      </c>
      <c r="BD893" s="86" t="str">
        <f t="shared" si="189"/>
        <v/>
      </c>
      <c r="BE893" s="84">
        <f t="shared" si="190"/>
        <v>0</v>
      </c>
      <c r="BF893" s="87" t="str">
        <f t="shared" si="191"/>
        <v/>
      </c>
      <c r="BG893" s="88" t="str">
        <f t="shared" si="192"/>
        <v/>
      </c>
      <c r="BH893" s="89" t="str">
        <f t="shared" si="193"/>
        <v/>
      </c>
      <c r="BI893" s="90" t="str">
        <f t="shared" si="194"/>
        <v/>
      </c>
      <c r="BJ893" s="90" t="str">
        <f t="shared" si="195"/>
        <v/>
      </c>
      <c r="BK893" s="91">
        <f t="shared" si="196"/>
        <v>0</v>
      </c>
      <c r="BL893" s="92">
        <f t="shared" si="197"/>
        <v>0</v>
      </c>
      <c r="BM893" s="95"/>
    </row>
    <row r="894" spans="1:65">
      <c r="A894" s="61">
        <f t="shared" si="198"/>
        <v>0</v>
      </c>
      <c r="B894" s="62"/>
      <c r="C894" s="62"/>
      <c r="D894" s="63"/>
      <c r="E894" s="64"/>
      <c r="F894" s="64"/>
      <c r="G894" s="65"/>
      <c r="H894" s="66" t="str">
        <f t="shared" si="175"/>
        <v/>
      </c>
      <c r="I894" s="67" t="str">
        <f t="shared" si="176"/>
        <v/>
      </c>
      <c r="J894" s="68" t="str">
        <f t="shared" si="177"/>
        <v/>
      </c>
      <c r="K894" s="69" t="str">
        <f t="shared" si="178"/>
        <v/>
      </c>
      <c r="L894" s="70" t="str">
        <f t="shared" si="179"/>
        <v/>
      </c>
      <c r="M894" s="71"/>
      <c r="N894" s="71"/>
      <c r="O894" s="71"/>
      <c r="P894" s="71"/>
      <c r="Q894" s="61"/>
      <c r="R894" s="63"/>
      <c r="S894" s="72"/>
      <c r="T894" s="61"/>
      <c r="U894" s="73"/>
      <c r="V894" s="62"/>
      <c r="W894" s="62"/>
      <c r="X894" s="62"/>
      <c r="Y894" s="93"/>
      <c r="Z894" s="94"/>
      <c r="AA894" s="74"/>
      <c r="AB894" s="75"/>
      <c r="AC894" s="75"/>
      <c r="AD894" s="76"/>
      <c r="AE894" s="77"/>
      <c r="AF894" s="75"/>
      <c r="AG894" s="78"/>
      <c r="AH894" s="79"/>
      <c r="AI894" s="74"/>
      <c r="AJ894" s="75"/>
      <c r="AK894" s="75"/>
      <c r="AL894" s="80">
        <f t="shared" si="180"/>
        <v>0</v>
      </c>
      <c r="AM894" s="74"/>
      <c r="AN894" s="74"/>
      <c r="AO894" s="81" t="str">
        <f t="shared" si="181"/>
        <v/>
      </c>
      <c r="AP894" s="82"/>
      <c r="AQ894" s="75"/>
      <c r="AR894" s="75"/>
      <c r="AS894" s="80">
        <f t="shared" si="182"/>
        <v>0</v>
      </c>
      <c r="AT894" s="74"/>
      <c r="AU894" s="75"/>
      <c r="AV894" s="75"/>
      <c r="AW894" s="75"/>
      <c r="AX894" s="80">
        <f t="shared" si="183"/>
        <v>0</v>
      </c>
      <c r="AY894" s="81" t="str">
        <f t="shared" si="184"/>
        <v/>
      </c>
      <c r="AZ894" s="83" t="str">
        <f t="shared" si="185"/>
        <v/>
      </c>
      <c r="BA894" s="80" t="str">
        <f t="shared" si="186"/>
        <v/>
      </c>
      <c r="BB894" s="84">
        <f t="shared" si="187"/>
        <v>0</v>
      </c>
      <c r="BC894" s="85" t="str">
        <f t="shared" si="188"/>
        <v/>
      </c>
      <c r="BD894" s="86" t="str">
        <f t="shared" si="189"/>
        <v/>
      </c>
      <c r="BE894" s="84">
        <f t="shared" si="190"/>
        <v>0</v>
      </c>
      <c r="BF894" s="87" t="str">
        <f t="shared" si="191"/>
        <v/>
      </c>
      <c r="BG894" s="88" t="str">
        <f t="shared" si="192"/>
        <v/>
      </c>
      <c r="BH894" s="89" t="str">
        <f t="shared" si="193"/>
        <v/>
      </c>
      <c r="BI894" s="90" t="str">
        <f t="shared" si="194"/>
        <v/>
      </c>
      <c r="BJ894" s="90" t="str">
        <f t="shared" si="195"/>
        <v/>
      </c>
      <c r="BK894" s="91">
        <f t="shared" si="196"/>
        <v>0</v>
      </c>
      <c r="BL894" s="92">
        <f t="shared" si="197"/>
        <v>0</v>
      </c>
      <c r="BM894" s="95"/>
    </row>
    <row r="895" spans="1:65">
      <c r="A895" s="61">
        <f t="shared" si="198"/>
        <v>0</v>
      </c>
      <c r="B895" s="62"/>
      <c r="C895" s="62"/>
      <c r="D895" s="63"/>
      <c r="E895" s="64"/>
      <c r="F895" s="64"/>
      <c r="G895" s="65"/>
      <c r="H895" s="66" t="str">
        <f t="shared" si="175"/>
        <v/>
      </c>
      <c r="I895" s="67" t="str">
        <f t="shared" si="176"/>
        <v/>
      </c>
      <c r="J895" s="68" t="str">
        <f t="shared" si="177"/>
        <v/>
      </c>
      <c r="K895" s="69" t="str">
        <f t="shared" si="178"/>
        <v/>
      </c>
      <c r="L895" s="70" t="str">
        <f t="shared" si="179"/>
        <v/>
      </c>
      <c r="M895" s="71"/>
      <c r="N895" s="71"/>
      <c r="O895" s="71"/>
      <c r="P895" s="71"/>
      <c r="Q895" s="61"/>
      <c r="R895" s="63"/>
      <c r="S895" s="72"/>
      <c r="T895" s="61"/>
      <c r="U895" s="73"/>
      <c r="V895" s="62"/>
      <c r="W895" s="62"/>
      <c r="X895" s="62"/>
      <c r="Y895" s="93"/>
      <c r="Z895" s="94"/>
      <c r="AA895" s="74"/>
      <c r="AB895" s="75"/>
      <c r="AC895" s="75"/>
      <c r="AD895" s="76"/>
      <c r="AE895" s="77"/>
      <c r="AF895" s="75"/>
      <c r="AG895" s="78"/>
      <c r="AH895" s="79"/>
      <c r="AI895" s="74"/>
      <c r="AJ895" s="75"/>
      <c r="AK895" s="75"/>
      <c r="AL895" s="80">
        <f t="shared" si="180"/>
        <v>0</v>
      </c>
      <c r="AM895" s="74"/>
      <c r="AN895" s="74"/>
      <c r="AO895" s="81" t="str">
        <f t="shared" si="181"/>
        <v/>
      </c>
      <c r="AP895" s="82"/>
      <c r="AQ895" s="75"/>
      <c r="AR895" s="75"/>
      <c r="AS895" s="80">
        <f t="shared" si="182"/>
        <v>0</v>
      </c>
      <c r="AT895" s="74"/>
      <c r="AU895" s="75"/>
      <c r="AV895" s="75"/>
      <c r="AW895" s="75"/>
      <c r="AX895" s="80">
        <f t="shared" si="183"/>
        <v>0</v>
      </c>
      <c r="AY895" s="81" t="str">
        <f t="shared" si="184"/>
        <v/>
      </c>
      <c r="AZ895" s="83" t="str">
        <f t="shared" si="185"/>
        <v/>
      </c>
      <c r="BA895" s="80" t="str">
        <f t="shared" si="186"/>
        <v/>
      </c>
      <c r="BB895" s="84">
        <f t="shared" si="187"/>
        <v>0</v>
      </c>
      <c r="BC895" s="85" t="str">
        <f t="shared" si="188"/>
        <v/>
      </c>
      <c r="BD895" s="86" t="str">
        <f t="shared" si="189"/>
        <v/>
      </c>
      <c r="BE895" s="84">
        <f t="shared" si="190"/>
        <v>0</v>
      </c>
      <c r="BF895" s="87" t="str">
        <f t="shared" si="191"/>
        <v/>
      </c>
      <c r="BG895" s="88" t="str">
        <f t="shared" si="192"/>
        <v/>
      </c>
      <c r="BH895" s="89" t="str">
        <f t="shared" si="193"/>
        <v/>
      </c>
      <c r="BI895" s="90" t="str">
        <f t="shared" si="194"/>
        <v/>
      </c>
      <c r="BJ895" s="90" t="str">
        <f t="shared" si="195"/>
        <v/>
      </c>
      <c r="BK895" s="91">
        <f t="shared" si="196"/>
        <v>0</v>
      </c>
      <c r="BL895" s="92">
        <f t="shared" si="197"/>
        <v>0</v>
      </c>
      <c r="BM895" s="95"/>
    </row>
    <row r="896" spans="1:65">
      <c r="A896" s="61">
        <f t="shared" si="198"/>
        <v>0</v>
      </c>
      <c r="B896" s="62"/>
      <c r="C896" s="62"/>
      <c r="D896" s="63"/>
      <c r="E896" s="64"/>
      <c r="F896" s="64"/>
      <c r="G896" s="65"/>
      <c r="H896" s="66" t="str">
        <f t="shared" si="175"/>
        <v/>
      </c>
      <c r="I896" s="67" t="str">
        <f t="shared" si="176"/>
        <v/>
      </c>
      <c r="J896" s="68" t="str">
        <f t="shared" si="177"/>
        <v/>
      </c>
      <c r="K896" s="69" t="str">
        <f t="shared" si="178"/>
        <v/>
      </c>
      <c r="L896" s="70" t="str">
        <f t="shared" si="179"/>
        <v/>
      </c>
      <c r="M896" s="71"/>
      <c r="N896" s="71"/>
      <c r="O896" s="71"/>
      <c r="P896" s="71"/>
      <c r="Q896" s="61"/>
      <c r="R896" s="63"/>
      <c r="S896" s="72"/>
      <c r="T896" s="61"/>
      <c r="U896" s="73"/>
      <c r="V896" s="62"/>
      <c r="W896" s="62"/>
      <c r="X896" s="62"/>
      <c r="Y896" s="93"/>
      <c r="Z896" s="94"/>
      <c r="AA896" s="74"/>
      <c r="AB896" s="75"/>
      <c r="AC896" s="75"/>
      <c r="AD896" s="76"/>
      <c r="AE896" s="77"/>
      <c r="AF896" s="75"/>
      <c r="AG896" s="78"/>
      <c r="AH896" s="79"/>
      <c r="AI896" s="74"/>
      <c r="AJ896" s="75"/>
      <c r="AK896" s="75"/>
      <c r="AL896" s="80">
        <f t="shared" si="180"/>
        <v>0</v>
      </c>
      <c r="AM896" s="74"/>
      <c r="AN896" s="74"/>
      <c r="AO896" s="81" t="str">
        <f t="shared" si="181"/>
        <v/>
      </c>
      <c r="AP896" s="82"/>
      <c r="AQ896" s="75"/>
      <c r="AR896" s="75"/>
      <c r="AS896" s="80">
        <f t="shared" si="182"/>
        <v>0</v>
      </c>
      <c r="AT896" s="74"/>
      <c r="AU896" s="75"/>
      <c r="AV896" s="75"/>
      <c r="AW896" s="75"/>
      <c r="AX896" s="80">
        <f t="shared" si="183"/>
        <v>0</v>
      </c>
      <c r="AY896" s="81" t="str">
        <f t="shared" si="184"/>
        <v/>
      </c>
      <c r="AZ896" s="83" t="str">
        <f t="shared" si="185"/>
        <v/>
      </c>
      <c r="BA896" s="80" t="str">
        <f t="shared" si="186"/>
        <v/>
      </c>
      <c r="BB896" s="84">
        <f t="shared" si="187"/>
        <v>0</v>
      </c>
      <c r="BC896" s="85" t="str">
        <f t="shared" si="188"/>
        <v/>
      </c>
      <c r="BD896" s="86" t="str">
        <f t="shared" si="189"/>
        <v/>
      </c>
      <c r="BE896" s="84">
        <f t="shared" si="190"/>
        <v>0</v>
      </c>
      <c r="BF896" s="87" t="str">
        <f t="shared" si="191"/>
        <v/>
      </c>
      <c r="BG896" s="88" t="str">
        <f t="shared" si="192"/>
        <v/>
      </c>
      <c r="BH896" s="89" t="str">
        <f t="shared" si="193"/>
        <v/>
      </c>
      <c r="BI896" s="90" t="str">
        <f t="shared" si="194"/>
        <v/>
      </c>
      <c r="BJ896" s="90" t="str">
        <f t="shared" si="195"/>
        <v/>
      </c>
      <c r="BK896" s="91">
        <f t="shared" si="196"/>
        <v>0</v>
      </c>
      <c r="BL896" s="92">
        <f t="shared" si="197"/>
        <v>0</v>
      </c>
      <c r="BM896" s="95"/>
    </row>
    <row r="897" spans="1:65">
      <c r="A897" s="61">
        <f t="shared" si="198"/>
        <v>0</v>
      </c>
      <c r="B897" s="62"/>
      <c r="C897" s="62"/>
      <c r="D897" s="63"/>
      <c r="E897" s="64"/>
      <c r="F897" s="64"/>
      <c r="G897" s="65"/>
      <c r="H897" s="66" t="str">
        <f t="shared" si="175"/>
        <v/>
      </c>
      <c r="I897" s="67" t="str">
        <f t="shared" si="176"/>
        <v/>
      </c>
      <c r="J897" s="68" t="str">
        <f t="shared" si="177"/>
        <v/>
      </c>
      <c r="K897" s="69" t="str">
        <f t="shared" si="178"/>
        <v/>
      </c>
      <c r="L897" s="70" t="str">
        <f t="shared" si="179"/>
        <v/>
      </c>
      <c r="M897" s="71"/>
      <c r="N897" s="71"/>
      <c r="O897" s="71"/>
      <c r="P897" s="71"/>
      <c r="Q897" s="61"/>
      <c r="R897" s="63"/>
      <c r="S897" s="72"/>
      <c r="T897" s="61"/>
      <c r="U897" s="73"/>
      <c r="V897" s="62"/>
      <c r="W897" s="62"/>
      <c r="X897" s="62"/>
      <c r="Y897" s="93"/>
      <c r="Z897" s="94"/>
      <c r="AA897" s="74"/>
      <c r="AB897" s="75"/>
      <c r="AC897" s="75"/>
      <c r="AD897" s="76"/>
      <c r="AE897" s="77"/>
      <c r="AF897" s="75"/>
      <c r="AG897" s="78"/>
      <c r="AH897" s="79"/>
      <c r="AI897" s="74"/>
      <c r="AJ897" s="75"/>
      <c r="AK897" s="75"/>
      <c r="AL897" s="80">
        <f t="shared" si="180"/>
        <v>0</v>
      </c>
      <c r="AM897" s="74"/>
      <c r="AN897" s="74"/>
      <c r="AO897" s="81" t="str">
        <f t="shared" si="181"/>
        <v/>
      </c>
      <c r="AP897" s="82"/>
      <c r="AQ897" s="75"/>
      <c r="AR897" s="75"/>
      <c r="AS897" s="80">
        <f t="shared" si="182"/>
        <v>0</v>
      </c>
      <c r="AT897" s="74"/>
      <c r="AU897" s="75"/>
      <c r="AV897" s="75"/>
      <c r="AW897" s="75"/>
      <c r="AX897" s="80">
        <f t="shared" si="183"/>
        <v>0</v>
      </c>
      <c r="AY897" s="81" t="str">
        <f t="shared" si="184"/>
        <v/>
      </c>
      <c r="AZ897" s="83" t="str">
        <f t="shared" si="185"/>
        <v/>
      </c>
      <c r="BA897" s="80" t="str">
        <f t="shared" si="186"/>
        <v/>
      </c>
      <c r="BB897" s="84">
        <f t="shared" si="187"/>
        <v>0</v>
      </c>
      <c r="BC897" s="85" t="str">
        <f t="shared" si="188"/>
        <v/>
      </c>
      <c r="BD897" s="86" t="str">
        <f t="shared" si="189"/>
        <v/>
      </c>
      <c r="BE897" s="84">
        <f t="shared" si="190"/>
        <v>0</v>
      </c>
      <c r="BF897" s="87" t="str">
        <f t="shared" si="191"/>
        <v/>
      </c>
      <c r="BG897" s="88" t="str">
        <f t="shared" si="192"/>
        <v/>
      </c>
      <c r="BH897" s="89" t="str">
        <f t="shared" si="193"/>
        <v/>
      </c>
      <c r="BI897" s="90" t="str">
        <f t="shared" si="194"/>
        <v/>
      </c>
      <c r="BJ897" s="90" t="str">
        <f t="shared" si="195"/>
        <v/>
      </c>
      <c r="BK897" s="91">
        <f t="shared" si="196"/>
        <v>0</v>
      </c>
      <c r="BL897" s="92">
        <f t="shared" si="197"/>
        <v>0</v>
      </c>
      <c r="BM897" s="95"/>
    </row>
    <row r="898" spans="1:65">
      <c r="A898" s="61">
        <f t="shared" si="198"/>
        <v>0</v>
      </c>
      <c r="B898" s="62"/>
      <c r="C898" s="62"/>
      <c r="D898" s="63"/>
      <c r="E898" s="64"/>
      <c r="F898" s="64"/>
      <c r="G898" s="65"/>
      <c r="H898" s="66" t="str">
        <f t="shared" si="175"/>
        <v/>
      </c>
      <c r="I898" s="67" t="str">
        <f t="shared" si="176"/>
        <v/>
      </c>
      <c r="J898" s="68" t="str">
        <f t="shared" si="177"/>
        <v/>
      </c>
      <c r="K898" s="69" t="str">
        <f t="shared" si="178"/>
        <v/>
      </c>
      <c r="L898" s="70" t="str">
        <f t="shared" si="179"/>
        <v/>
      </c>
      <c r="M898" s="71"/>
      <c r="N898" s="71"/>
      <c r="O898" s="71"/>
      <c r="P898" s="71"/>
      <c r="Q898" s="61"/>
      <c r="R898" s="63"/>
      <c r="S898" s="72"/>
      <c r="T898" s="61"/>
      <c r="U898" s="73"/>
      <c r="V898" s="62"/>
      <c r="W898" s="62"/>
      <c r="X898" s="62"/>
      <c r="Y898" s="93"/>
      <c r="Z898" s="94"/>
      <c r="AA898" s="74"/>
      <c r="AB898" s="75"/>
      <c r="AC898" s="75"/>
      <c r="AD898" s="76"/>
      <c r="AE898" s="77"/>
      <c r="AF898" s="75"/>
      <c r="AG898" s="78"/>
      <c r="AH898" s="79"/>
      <c r="AI898" s="74"/>
      <c r="AJ898" s="75"/>
      <c r="AK898" s="75"/>
      <c r="AL898" s="80">
        <f t="shared" si="180"/>
        <v>0</v>
      </c>
      <c r="AM898" s="74"/>
      <c r="AN898" s="74"/>
      <c r="AO898" s="81" t="str">
        <f t="shared" si="181"/>
        <v/>
      </c>
      <c r="AP898" s="82"/>
      <c r="AQ898" s="75"/>
      <c r="AR898" s="75"/>
      <c r="AS898" s="80">
        <f t="shared" si="182"/>
        <v>0</v>
      </c>
      <c r="AT898" s="74"/>
      <c r="AU898" s="75"/>
      <c r="AV898" s="75"/>
      <c r="AW898" s="75"/>
      <c r="AX898" s="80">
        <f t="shared" si="183"/>
        <v>0</v>
      </c>
      <c r="AY898" s="81" t="str">
        <f t="shared" si="184"/>
        <v/>
      </c>
      <c r="AZ898" s="83" t="str">
        <f t="shared" si="185"/>
        <v/>
      </c>
      <c r="BA898" s="80" t="str">
        <f t="shared" si="186"/>
        <v/>
      </c>
      <c r="BB898" s="84">
        <f t="shared" si="187"/>
        <v>0</v>
      </c>
      <c r="BC898" s="85" t="str">
        <f t="shared" si="188"/>
        <v/>
      </c>
      <c r="BD898" s="86" t="str">
        <f t="shared" si="189"/>
        <v/>
      </c>
      <c r="BE898" s="84">
        <f t="shared" si="190"/>
        <v>0</v>
      </c>
      <c r="BF898" s="87" t="str">
        <f t="shared" si="191"/>
        <v/>
      </c>
      <c r="BG898" s="88" t="str">
        <f t="shared" si="192"/>
        <v/>
      </c>
      <c r="BH898" s="89" t="str">
        <f t="shared" si="193"/>
        <v/>
      </c>
      <c r="BI898" s="90" t="str">
        <f t="shared" si="194"/>
        <v/>
      </c>
      <c r="BJ898" s="90" t="str">
        <f t="shared" si="195"/>
        <v/>
      </c>
      <c r="BK898" s="91">
        <f t="shared" si="196"/>
        <v>0</v>
      </c>
      <c r="BL898" s="92">
        <f t="shared" si="197"/>
        <v>0</v>
      </c>
      <c r="BM898" s="95"/>
    </row>
    <row r="899" spans="1:65">
      <c r="A899" s="61">
        <f t="shared" si="198"/>
        <v>0</v>
      </c>
      <c r="B899" s="62"/>
      <c r="C899" s="62"/>
      <c r="D899" s="63"/>
      <c r="E899" s="64"/>
      <c r="F899" s="64"/>
      <c r="G899" s="65"/>
      <c r="H899" s="66" t="str">
        <f t="shared" si="175"/>
        <v/>
      </c>
      <c r="I899" s="67" t="str">
        <f t="shared" si="176"/>
        <v/>
      </c>
      <c r="J899" s="68" t="str">
        <f t="shared" si="177"/>
        <v/>
      </c>
      <c r="K899" s="69" t="str">
        <f t="shared" si="178"/>
        <v/>
      </c>
      <c r="L899" s="70" t="str">
        <f t="shared" si="179"/>
        <v/>
      </c>
      <c r="M899" s="71"/>
      <c r="N899" s="71"/>
      <c r="O899" s="71"/>
      <c r="P899" s="71"/>
      <c r="Q899" s="61"/>
      <c r="R899" s="63"/>
      <c r="S899" s="72"/>
      <c r="T899" s="61"/>
      <c r="U899" s="73"/>
      <c r="V899" s="62"/>
      <c r="W899" s="62"/>
      <c r="X899" s="62"/>
      <c r="Y899" s="93"/>
      <c r="Z899" s="94"/>
      <c r="AA899" s="74"/>
      <c r="AB899" s="75"/>
      <c r="AC899" s="75"/>
      <c r="AD899" s="76"/>
      <c r="AE899" s="77"/>
      <c r="AF899" s="75"/>
      <c r="AG899" s="78"/>
      <c r="AH899" s="79"/>
      <c r="AI899" s="74"/>
      <c r="AJ899" s="75"/>
      <c r="AK899" s="75"/>
      <c r="AL899" s="80">
        <f t="shared" si="180"/>
        <v>0</v>
      </c>
      <c r="AM899" s="74"/>
      <c r="AN899" s="74"/>
      <c r="AO899" s="81" t="str">
        <f t="shared" si="181"/>
        <v/>
      </c>
      <c r="AP899" s="82"/>
      <c r="AQ899" s="75"/>
      <c r="AR899" s="75"/>
      <c r="AS899" s="80">
        <f t="shared" si="182"/>
        <v>0</v>
      </c>
      <c r="AT899" s="74"/>
      <c r="AU899" s="75"/>
      <c r="AV899" s="75"/>
      <c r="AW899" s="75"/>
      <c r="AX899" s="80">
        <f t="shared" si="183"/>
        <v>0</v>
      </c>
      <c r="AY899" s="81" t="str">
        <f t="shared" si="184"/>
        <v/>
      </c>
      <c r="AZ899" s="83" t="str">
        <f t="shared" si="185"/>
        <v/>
      </c>
      <c r="BA899" s="80" t="str">
        <f t="shared" si="186"/>
        <v/>
      </c>
      <c r="BB899" s="84">
        <f t="shared" si="187"/>
        <v>0</v>
      </c>
      <c r="BC899" s="85" t="str">
        <f t="shared" si="188"/>
        <v/>
      </c>
      <c r="BD899" s="86" t="str">
        <f t="shared" si="189"/>
        <v/>
      </c>
      <c r="BE899" s="84">
        <f t="shared" si="190"/>
        <v>0</v>
      </c>
      <c r="BF899" s="87" t="str">
        <f t="shared" si="191"/>
        <v/>
      </c>
      <c r="BG899" s="88" t="str">
        <f t="shared" si="192"/>
        <v/>
      </c>
      <c r="BH899" s="89" t="str">
        <f t="shared" si="193"/>
        <v/>
      </c>
      <c r="BI899" s="90" t="str">
        <f t="shared" si="194"/>
        <v/>
      </c>
      <c r="BJ899" s="90" t="str">
        <f t="shared" si="195"/>
        <v/>
      </c>
      <c r="BK899" s="91">
        <f t="shared" si="196"/>
        <v>0</v>
      </c>
      <c r="BL899" s="92">
        <f t="shared" si="197"/>
        <v>0</v>
      </c>
      <c r="BM899" s="95"/>
    </row>
    <row r="900" spans="1:65">
      <c r="A900" s="61">
        <f t="shared" si="198"/>
        <v>0</v>
      </c>
      <c r="B900" s="62"/>
      <c r="C900" s="62"/>
      <c r="D900" s="63"/>
      <c r="E900" s="64"/>
      <c r="F900" s="64"/>
      <c r="G900" s="65"/>
      <c r="H900" s="66" t="str">
        <f t="shared" si="175"/>
        <v/>
      </c>
      <c r="I900" s="67" t="str">
        <f t="shared" si="176"/>
        <v/>
      </c>
      <c r="J900" s="68" t="str">
        <f t="shared" si="177"/>
        <v/>
      </c>
      <c r="K900" s="69" t="str">
        <f t="shared" si="178"/>
        <v/>
      </c>
      <c r="L900" s="70" t="str">
        <f t="shared" si="179"/>
        <v/>
      </c>
      <c r="M900" s="71"/>
      <c r="N900" s="71"/>
      <c r="O900" s="71"/>
      <c r="P900" s="71"/>
      <c r="Q900" s="61"/>
      <c r="R900" s="63"/>
      <c r="S900" s="72"/>
      <c r="T900" s="61"/>
      <c r="U900" s="73"/>
      <c r="V900" s="62"/>
      <c r="W900" s="62"/>
      <c r="X900" s="62"/>
      <c r="Y900" s="93"/>
      <c r="Z900" s="94"/>
      <c r="AA900" s="74"/>
      <c r="AB900" s="75"/>
      <c r="AC900" s="75"/>
      <c r="AD900" s="76"/>
      <c r="AE900" s="77"/>
      <c r="AF900" s="75"/>
      <c r="AG900" s="78"/>
      <c r="AH900" s="79"/>
      <c r="AI900" s="74"/>
      <c r="AJ900" s="75"/>
      <c r="AK900" s="75"/>
      <c r="AL900" s="80">
        <f t="shared" si="180"/>
        <v>0</v>
      </c>
      <c r="AM900" s="74"/>
      <c r="AN900" s="74"/>
      <c r="AO900" s="81" t="str">
        <f t="shared" si="181"/>
        <v/>
      </c>
      <c r="AP900" s="82"/>
      <c r="AQ900" s="75"/>
      <c r="AR900" s="75"/>
      <c r="AS900" s="80">
        <f t="shared" si="182"/>
        <v>0</v>
      </c>
      <c r="AT900" s="74"/>
      <c r="AU900" s="75"/>
      <c r="AV900" s="75"/>
      <c r="AW900" s="75"/>
      <c r="AX900" s="80">
        <f t="shared" si="183"/>
        <v>0</v>
      </c>
      <c r="AY900" s="81" t="str">
        <f t="shared" si="184"/>
        <v/>
      </c>
      <c r="AZ900" s="83" t="str">
        <f t="shared" si="185"/>
        <v/>
      </c>
      <c r="BA900" s="80" t="str">
        <f t="shared" si="186"/>
        <v/>
      </c>
      <c r="BB900" s="84">
        <f t="shared" si="187"/>
        <v>0</v>
      </c>
      <c r="BC900" s="85" t="str">
        <f t="shared" si="188"/>
        <v/>
      </c>
      <c r="BD900" s="86" t="str">
        <f t="shared" si="189"/>
        <v/>
      </c>
      <c r="BE900" s="84">
        <f t="shared" si="190"/>
        <v>0</v>
      </c>
      <c r="BF900" s="87" t="str">
        <f t="shared" si="191"/>
        <v/>
      </c>
      <c r="BG900" s="88" t="str">
        <f t="shared" si="192"/>
        <v/>
      </c>
      <c r="BH900" s="89" t="str">
        <f t="shared" si="193"/>
        <v/>
      </c>
      <c r="BI900" s="90" t="str">
        <f t="shared" si="194"/>
        <v/>
      </c>
      <c r="BJ900" s="90" t="str">
        <f t="shared" si="195"/>
        <v/>
      </c>
      <c r="BK900" s="91">
        <f t="shared" si="196"/>
        <v>0</v>
      </c>
      <c r="BL900" s="92">
        <f t="shared" si="197"/>
        <v>0</v>
      </c>
      <c r="BM900" s="95"/>
    </row>
    <row r="901" spans="1:65">
      <c r="A901" s="61">
        <f t="shared" si="198"/>
        <v>0</v>
      </c>
      <c r="B901" s="62"/>
      <c r="C901" s="62"/>
      <c r="D901" s="63"/>
      <c r="E901" s="64"/>
      <c r="F901" s="64"/>
      <c r="G901" s="65"/>
      <c r="H901" s="66" t="str">
        <f t="shared" si="175"/>
        <v/>
      </c>
      <c r="I901" s="67" t="str">
        <f t="shared" si="176"/>
        <v/>
      </c>
      <c r="J901" s="68" t="str">
        <f t="shared" si="177"/>
        <v/>
      </c>
      <c r="K901" s="69" t="str">
        <f t="shared" si="178"/>
        <v/>
      </c>
      <c r="L901" s="70" t="str">
        <f t="shared" si="179"/>
        <v/>
      </c>
      <c r="M901" s="71"/>
      <c r="N901" s="71"/>
      <c r="O901" s="71"/>
      <c r="P901" s="71"/>
      <c r="Q901" s="61"/>
      <c r="R901" s="63"/>
      <c r="S901" s="72"/>
      <c r="T901" s="61"/>
      <c r="U901" s="73"/>
      <c r="V901" s="62"/>
      <c r="W901" s="62"/>
      <c r="X901" s="62"/>
      <c r="Y901" s="93"/>
      <c r="Z901" s="94"/>
      <c r="AA901" s="74"/>
      <c r="AB901" s="75"/>
      <c r="AC901" s="75"/>
      <c r="AD901" s="76"/>
      <c r="AE901" s="77"/>
      <c r="AF901" s="75"/>
      <c r="AG901" s="78"/>
      <c r="AH901" s="79"/>
      <c r="AI901" s="74"/>
      <c r="AJ901" s="75"/>
      <c r="AK901" s="75"/>
      <c r="AL901" s="80">
        <f t="shared" si="180"/>
        <v>0</v>
      </c>
      <c r="AM901" s="74"/>
      <c r="AN901" s="74"/>
      <c r="AO901" s="81" t="str">
        <f t="shared" si="181"/>
        <v/>
      </c>
      <c r="AP901" s="82"/>
      <c r="AQ901" s="75"/>
      <c r="AR901" s="75"/>
      <c r="AS901" s="80">
        <f t="shared" si="182"/>
        <v>0</v>
      </c>
      <c r="AT901" s="74"/>
      <c r="AU901" s="75"/>
      <c r="AV901" s="75"/>
      <c r="AW901" s="75"/>
      <c r="AX901" s="80">
        <f t="shared" si="183"/>
        <v>0</v>
      </c>
      <c r="AY901" s="81" t="str">
        <f t="shared" si="184"/>
        <v/>
      </c>
      <c r="AZ901" s="83" t="str">
        <f t="shared" si="185"/>
        <v/>
      </c>
      <c r="BA901" s="80" t="str">
        <f t="shared" si="186"/>
        <v/>
      </c>
      <c r="BB901" s="84">
        <f t="shared" si="187"/>
        <v>0</v>
      </c>
      <c r="BC901" s="85" t="str">
        <f t="shared" si="188"/>
        <v/>
      </c>
      <c r="BD901" s="86" t="str">
        <f t="shared" si="189"/>
        <v/>
      </c>
      <c r="BE901" s="84">
        <f t="shared" si="190"/>
        <v>0</v>
      </c>
      <c r="BF901" s="87" t="str">
        <f t="shared" si="191"/>
        <v/>
      </c>
      <c r="BG901" s="88" t="str">
        <f t="shared" si="192"/>
        <v/>
      </c>
      <c r="BH901" s="89" t="str">
        <f t="shared" si="193"/>
        <v/>
      </c>
      <c r="BI901" s="90" t="str">
        <f t="shared" si="194"/>
        <v/>
      </c>
      <c r="BJ901" s="90" t="str">
        <f t="shared" si="195"/>
        <v/>
      </c>
      <c r="BK901" s="91">
        <f t="shared" si="196"/>
        <v>0</v>
      </c>
      <c r="BL901" s="92">
        <f t="shared" si="197"/>
        <v>0</v>
      </c>
      <c r="BM901" s="95"/>
    </row>
    <row r="902" spans="1:65">
      <c r="A902" s="61">
        <f t="shared" si="198"/>
        <v>0</v>
      </c>
      <c r="B902" s="62"/>
      <c r="C902" s="62"/>
      <c r="D902" s="63"/>
      <c r="E902" s="64"/>
      <c r="F902" s="64"/>
      <c r="G902" s="65"/>
      <c r="H902" s="66" t="str">
        <f t="shared" si="175"/>
        <v/>
      </c>
      <c r="I902" s="67" t="str">
        <f t="shared" si="176"/>
        <v/>
      </c>
      <c r="J902" s="68" t="str">
        <f t="shared" si="177"/>
        <v/>
      </c>
      <c r="K902" s="69" t="str">
        <f t="shared" si="178"/>
        <v/>
      </c>
      <c r="L902" s="70" t="str">
        <f t="shared" si="179"/>
        <v/>
      </c>
      <c r="M902" s="71"/>
      <c r="N902" s="71"/>
      <c r="O902" s="71"/>
      <c r="P902" s="71"/>
      <c r="Q902" s="61"/>
      <c r="R902" s="63"/>
      <c r="S902" s="72"/>
      <c r="T902" s="61"/>
      <c r="U902" s="73"/>
      <c r="V902" s="62"/>
      <c r="W902" s="62"/>
      <c r="X902" s="62"/>
      <c r="Y902" s="93"/>
      <c r="Z902" s="94"/>
      <c r="AA902" s="74"/>
      <c r="AB902" s="75"/>
      <c r="AC902" s="75"/>
      <c r="AD902" s="76"/>
      <c r="AE902" s="77"/>
      <c r="AF902" s="75"/>
      <c r="AG902" s="78"/>
      <c r="AH902" s="79"/>
      <c r="AI902" s="74"/>
      <c r="AJ902" s="75"/>
      <c r="AK902" s="75"/>
      <c r="AL902" s="80">
        <f t="shared" si="180"/>
        <v>0</v>
      </c>
      <c r="AM902" s="74"/>
      <c r="AN902" s="74"/>
      <c r="AO902" s="81" t="str">
        <f t="shared" si="181"/>
        <v/>
      </c>
      <c r="AP902" s="82"/>
      <c r="AQ902" s="75"/>
      <c r="AR902" s="75"/>
      <c r="AS902" s="80">
        <f t="shared" si="182"/>
        <v>0</v>
      </c>
      <c r="AT902" s="74"/>
      <c r="AU902" s="75"/>
      <c r="AV902" s="75"/>
      <c r="AW902" s="75"/>
      <c r="AX902" s="80">
        <f t="shared" si="183"/>
        <v>0</v>
      </c>
      <c r="AY902" s="81" t="str">
        <f t="shared" si="184"/>
        <v/>
      </c>
      <c r="AZ902" s="83" t="str">
        <f t="shared" si="185"/>
        <v/>
      </c>
      <c r="BA902" s="80" t="str">
        <f t="shared" si="186"/>
        <v/>
      </c>
      <c r="BB902" s="84">
        <f t="shared" si="187"/>
        <v>0</v>
      </c>
      <c r="BC902" s="85" t="str">
        <f t="shared" si="188"/>
        <v/>
      </c>
      <c r="BD902" s="86" t="str">
        <f t="shared" si="189"/>
        <v/>
      </c>
      <c r="BE902" s="84">
        <f t="shared" si="190"/>
        <v>0</v>
      </c>
      <c r="BF902" s="87" t="str">
        <f t="shared" si="191"/>
        <v/>
      </c>
      <c r="BG902" s="88" t="str">
        <f t="shared" si="192"/>
        <v/>
      </c>
      <c r="BH902" s="89" t="str">
        <f t="shared" si="193"/>
        <v/>
      </c>
      <c r="BI902" s="90" t="str">
        <f t="shared" si="194"/>
        <v/>
      </c>
      <c r="BJ902" s="90" t="str">
        <f t="shared" si="195"/>
        <v/>
      </c>
      <c r="BK902" s="91">
        <f t="shared" si="196"/>
        <v>0</v>
      </c>
      <c r="BL902" s="92">
        <f t="shared" si="197"/>
        <v>0</v>
      </c>
      <c r="BM902" s="95"/>
    </row>
    <row r="903" spans="1:65">
      <c r="A903" s="61">
        <f t="shared" si="198"/>
        <v>0</v>
      </c>
      <c r="B903" s="62"/>
      <c r="C903" s="62"/>
      <c r="D903" s="63"/>
      <c r="E903" s="64"/>
      <c r="F903" s="64"/>
      <c r="G903" s="65"/>
      <c r="H903" s="66" t="str">
        <f t="shared" si="175"/>
        <v/>
      </c>
      <c r="I903" s="67" t="str">
        <f t="shared" si="176"/>
        <v/>
      </c>
      <c r="J903" s="68" t="str">
        <f t="shared" si="177"/>
        <v/>
      </c>
      <c r="K903" s="69" t="str">
        <f t="shared" si="178"/>
        <v/>
      </c>
      <c r="L903" s="70" t="str">
        <f t="shared" si="179"/>
        <v/>
      </c>
      <c r="M903" s="71"/>
      <c r="N903" s="71"/>
      <c r="O903" s="71"/>
      <c r="P903" s="71"/>
      <c r="Q903" s="61"/>
      <c r="R903" s="63"/>
      <c r="S903" s="72"/>
      <c r="T903" s="61"/>
      <c r="U903" s="73"/>
      <c r="V903" s="62"/>
      <c r="W903" s="62"/>
      <c r="X903" s="62"/>
      <c r="Y903" s="93"/>
      <c r="Z903" s="94"/>
      <c r="AA903" s="74"/>
      <c r="AB903" s="75"/>
      <c r="AC903" s="75"/>
      <c r="AD903" s="76"/>
      <c r="AE903" s="77"/>
      <c r="AF903" s="75"/>
      <c r="AG903" s="78"/>
      <c r="AH903" s="79"/>
      <c r="AI903" s="74"/>
      <c r="AJ903" s="75"/>
      <c r="AK903" s="75"/>
      <c r="AL903" s="80">
        <f t="shared" si="180"/>
        <v>0</v>
      </c>
      <c r="AM903" s="74"/>
      <c r="AN903" s="74"/>
      <c r="AO903" s="81" t="str">
        <f t="shared" si="181"/>
        <v/>
      </c>
      <c r="AP903" s="82"/>
      <c r="AQ903" s="75"/>
      <c r="AR903" s="75"/>
      <c r="AS903" s="80">
        <f t="shared" si="182"/>
        <v>0</v>
      </c>
      <c r="AT903" s="74"/>
      <c r="AU903" s="75"/>
      <c r="AV903" s="75"/>
      <c r="AW903" s="75"/>
      <c r="AX903" s="80">
        <f t="shared" si="183"/>
        <v>0</v>
      </c>
      <c r="AY903" s="81" t="str">
        <f t="shared" si="184"/>
        <v/>
      </c>
      <c r="AZ903" s="83" t="str">
        <f t="shared" si="185"/>
        <v/>
      </c>
      <c r="BA903" s="80" t="str">
        <f t="shared" si="186"/>
        <v/>
      </c>
      <c r="BB903" s="84">
        <f t="shared" si="187"/>
        <v>0</v>
      </c>
      <c r="BC903" s="85" t="str">
        <f t="shared" si="188"/>
        <v/>
      </c>
      <c r="BD903" s="86" t="str">
        <f t="shared" si="189"/>
        <v/>
      </c>
      <c r="BE903" s="84">
        <f t="shared" si="190"/>
        <v>0</v>
      </c>
      <c r="BF903" s="87" t="str">
        <f t="shared" si="191"/>
        <v/>
      </c>
      <c r="BG903" s="88" t="str">
        <f t="shared" si="192"/>
        <v/>
      </c>
      <c r="BH903" s="89" t="str">
        <f t="shared" si="193"/>
        <v/>
      </c>
      <c r="BI903" s="90" t="str">
        <f t="shared" si="194"/>
        <v/>
      </c>
      <c r="BJ903" s="90" t="str">
        <f t="shared" si="195"/>
        <v/>
      </c>
      <c r="BK903" s="91">
        <f t="shared" si="196"/>
        <v>0</v>
      </c>
      <c r="BL903" s="92">
        <f t="shared" si="197"/>
        <v>0</v>
      </c>
      <c r="BM903" s="95"/>
    </row>
    <row r="904" spans="1:65">
      <c r="A904" s="61">
        <f t="shared" si="198"/>
        <v>0</v>
      </c>
      <c r="B904" s="62"/>
      <c r="C904" s="62"/>
      <c r="D904" s="63"/>
      <c r="E904" s="64"/>
      <c r="F904" s="64"/>
      <c r="G904" s="65"/>
      <c r="H904" s="66" t="str">
        <f t="shared" ref="H904:H967" si="199">IF(F904="","",IF(F904="","",IF((F904-E904+1)&gt;360,"Most Recently 12 Months","Year To Date")))</f>
        <v/>
      </c>
      <c r="I904" s="67" t="str">
        <f t="shared" ref="I904:I967" si="200">IF(F904="","",ROUND((F904-E904+1)/(((365*3+366)/4)/12),0))</f>
        <v/>
      </c>
      <c r="J904" s="68" t="str">
        <f t="shared" ref="J904:J967" si="201">IF(F904="","",YEAR(F904))</f>
        <v/>
      </c>
      <c r="K904" s="69" t="str">
        <f t="shared" ref="K904:K967" si="202">IF(F904="","",CEILING(L904/3,1))</f>
        <v/>
      </c>
      <c r="L904" s="70" t="str">
        <f t="shared" ref="L904:L967" si="203">IF(F904="","",MONTH(F904))</f>
        <v/>
      </c>
      <c r="M904" s="71"/>
      <c r="N904" s="71"/>
      <c r="O904" s="71"/>
      <c r="P904" s="71"/>
      <c r="Q904" s="61"/>
      <c r="R904" s="63"/>
      <c r="S904" s="72"/>
      <c r="T904" s="61"/>
      <c r="U904" s="73"/>
      <c r="V904" s="62"/>
      <c r="W904" s="62"/>
      <c r="X904" s="62"/>
      <c r="Y904" s="93"/>
      <c r="Z904" s="94"/>
      <c r="AA904" s="74"/>
      <c r="AB904" s="75"/>
      <c r="AC904" s="75"/>
      <c r="AD904" s="76"/>
      <c r="AE904" s="77"/>
      <c r="AF904" s="75"/>
      <c r="AG904" s="78"/>
      <c r="AH904" s="79"/>
      <c r="AI904" s="74"/>
      <c r="AJ904" s="75"/>
      <c r="AK904" s="75"/>
      <c r="AL904" s="80">
        <f t="shared" ref="AL904:AL967" si="204">SUM(AI904:AK904)</f>
        <v>0</v>
      </c>
      <c r="AM904" s="74"/>
      <c r="AN904" s="74"/>
      <c r="AO904" s="81" t="str">
        <f t="shared" ref="AO904:AO967" si="205">IFERROR(AN904/AM904,"")</f>
        <v/>
      </c>
      <c r="AP904" s="82"/>
      <c r="AQ904" s="75"/>
      <c r="AR904" s="75"/>
      <c r="AS904" s="80">
        <f t="shared" ref="AS904:AS967" si="206">SUM(AQ904:AR904)</f>
        <v>0</v>
      </c>
      <c r="AT904" s="74"/>
      <c r="AU904" s="75"/>
      <c r="AV904" s="75"/>
      <c r="AW904" s="75"/>
      <c r="AX904" s="80">
        <f t="shared" ref="AX904:AX967" si="207">SUM(AT904:AW904)</f>
        <v>0</v>
      </c>
      <c r="AY904" s="81" t="str">
        <f t="shared" ref="AY904:AY967" si="208">IFERROR(AP904/AF904,"")</f>
        <v/>
      </c>
      <c r="AZ904" s="83" t="str">
        <f t="shared" ref="AZ904:AZ967" si="209">IFERROR(AS904/AP904,"")</f>
        <v/>
      </c>
      <c r="BA904" s="80" t="str">
        <f t="shared" ref="BA904:BA967" si="210">IFERROR(AY904*AZ904,"")</f>
        <v/>
      </c>
      <c r="BB904" s="84">
        <f t="shared" ref="BB904:BB967" si="211">AG904-SUM(AL904,AS904:AU904,AW904)</f>
        <v>0</v>
      </c>
      <c r="BC904" s="85" t="str">
        <f t="shared" ref="BC904:BC967" si="212">IFERROR(BB904/AV904,"")</f>
        <v/>
      </c>
      <c r="BD904" s="86" t="str">
        <f t="shared" ref="BD904:BD967" si="213">IFERROR(BB904/AG904,"")</f>
        <v/>
      </c>
      <c r="BE904" s="84">
        <f t="shared" ref="BE904:BE967" si="214">AG904-SUM(AL904,AS904:AU904)</f>
        <v>0</v>
      </c>
      <c r="BF904" s="87" t="str">
        <f t="shared" ref="BF904:BF967" si="215">IFERROR(BE904/SUM(AV904:AW904),"")</f>
        <v/>
      </c>
      <c r="BG904" s="88" t="str">
        <f t="shared" ref="BG904:BG967" si="216">IFERROR(BE904/AG904,"")</f>
        <v/>
      </c>
      <c r="BH904" s="89" t="str">
        <f t="shared" ref="BH904:BH967" si="217">IFERROR(AS904/AG904,"")</f>
        <v/>
      </c>
      <c r="BI904" s="90" t="str">
        <f t="shared" ref="BI904:BI967" si="218">IFERROR(AL904/AG904,"")</f>
        <v/>
      </c>
      <c r="BJ904" s="90" t="str">
        <f t="shared" ref="BJ904:BJ967" si="219">IFERROR(AX904/AG904,"")</f>
        <v/>
      </c>
      <c r="BK904" s="91">
        <f t="shared" ref="BK904:BK967" si="220">SUM(BH904:BJ904)</f>
        <v>0</v>
      </c>
      <c r="BL904" s="92">
        <f t="shared" ref="BL904:BL967" si="221">AG904-SUM(AL904,AS904,AX904)</f>
        <v>0</v>
      </c>
      <c r="BM904" s="95"/>
    </row>
    <row r="905" spans="1:65">
      <c r="A905" s="61">
        <f t="shared" si="198"/>
        <v>0</v>
      </c>
      <c r="B905" s="62"/>
      <c r="C905" s="62"/>
      <c r="D905" s="63"/>
      <c r="E905" s="64"/>
      <c r="F905" s="64"/>
      <c r="G905" s="65"/>
      <c r="H905" s="66" t="str">
        <f t="shared" si="199"/>
        <v/>
      </c>
      <c r="I905" s="67" t="str">
        <f t="shared" si="200"/>
        <v/>
      </c>
      <c r="J905" s="68" t="str">
        <f t="shared" si="201"/>
        <v/>
      </c>
      <c r="K905" s="69" t="str">
        <f t="shared" si="202"/>
        <v/>
      </c>
      <c r="L905" s="70" t="str">
        <f t="shared" si="203"/>
        <v/>
      </c>
      <c r="M905" s="71"/>
      <c r="N905" s="71"/>
      <c r="O905" s="71"/>
      <c r="P905" s="71"/>
      <c r="Q905" s="61"/>
      <c r="R905" s="63"/>
      <c r="S905" s="72"/>
      <c r="T905" s="61"/>
      <c r="U905" s="73"/>
      <c r="V905" s="62"/>
      <c r="W905" s="62"/>
      <c r="X905" s="62"/>
      <c r="Y905" s="93"/>
      <c r="Z905" s="94"/>
      <c r="AA905" s="74"/>
      <c r="AB905" s="75"/>
      <c r="AC905" s="75"/>
      <c r="AD905" s="76"/>
      <c r="AE905" s="77"/>
      <c r="AF905" s="75"/>
      <c r="AG905" s="78"/>
      <c r="AH905" s="79"/>
      <c r="AI905" s="74"/>
      <c r="AJ905" s="75"/>
      <c r="AK905" s="75"/>
      <c r="AL905" s="80">
        <f t="shared" si="204"/>
        <v>0</v>
      </c>
      <c r="AM905" s="74"/>
      <c r="AN905" s="74"/>
      <c r="AO905" s="81" t="str">
        <f t="shared" si="205"/>
        <v/>
      </c>
      <c r="AP905" s="82"/>
      <c r="AQ905" s="75"/>
      <c r="AR905" s="75"/>
      <c r="AS905" s="80">
        <f t="shared" si="206"/>
        <v>0</v>
      </c>
      <c r="AT905" s="74"/>
      <c r="AU905" s="75"/>
      <c r="AV905" s="75"/>
      <c r="AW905" s="75"/>
      <c r="AX905" s="80">
        <f t="shared" si="207"/>
        <v>0</v>
      </c>
      <c r="AY905" s="81" t="str">
        <f t="shared" si="208"/>
        <v/>
      </c>
      <c r="AZ905" s="83" t="str">
        <f t="shared" si="209"/>
        <v/>
      </c>
      <c r="BA905" s="80" t="str">
        <f t="shared" si="210"/>
        <v/>
      </c>
      <c r="BB905" s="84">
        <f t="shared" si="211"/>
        <v>0</v>
      </c>
      <c r="BC905" s="85" t="str">
        <f t="shared" si="212"/>
        <v/>
      </c>
      <c r="BD905" s="86" t="str">
        <f t="shared" si="213"/>
        <v/>
      </c>
      <c r="BE905" s="84">
        <f t="shared" si="214"/>
        <v>0</v>
      </c>
      <c r="BF905" s="87" t="str">
        <f t="shared" si="215"/>
        <v/>
      </c>
      <c r="BG905" s="88" t="str">
        <f t="shared" si="216"/>
        <v/>
      </c>
      <c r="BH905" s="89" t="str">
        <f t="shared" si="217"/>
        <v/>
      </c>
      <c r="BI905" s="90" t="str">
        <f t="shared" si="218"/>
        <v/>
      </c>
      <c r="BJ905" s="90" t="str">
        <f t="shared" si="219"/>
        <v/>
      </c>
      <c r="BK905" s="91">
        <f t="shared" si="220"/>
        <v>0</v>
      </c>
      <c r="BL905" s="92">
        <f t="shared" si="221"/>
        <v>0</v>
      </c>
      <c r="BM905" s="95"/>
    </row>
    <row r="906" spans="1:65">
      <c r="A906" s="61">
        <f t="shared" si="198"/>
        <v>0</v>
      </c>
      <c r="B906" s="62"/>
      <c r="C906" s="62"/>
      <c r="D906" s="63"/>
      <c r="E906" s="64"/>
      <c r="F906" s="64"/>
      <c r="G906" s="65"/>
      <c r="H906" s="66" t="str">
        <f t="shared" si="199"/>
        <v/>
      </c>
      <c r="I906" s="67" t="str">
        <f t="shared" si="200"/>
        <v/>
      </c>
      <c r="J906" s="68" t="str">
        <f t="shared" si="201"/>
        <v/>
      </c>
      <c r="K906" s="69" t="str">
        <f t="shared" si="202"/>
        <v/>
      </c>
      <c r="L906" s="70" t="str">
        <f t="shared" si="203"/>
        <v/>
      </c>
      <c r="M906" s="71"/>
      <c r="N906" s="71"/>
      <c r="O906" s="71"/>
      <c r="P906" s="71"/>
      <c r="Q906" s="61"/>
      <c r="R906" s="63"/>
      <c r="S906" s="72"/>
      <c r="T906" s="61"/>
      <c r="U906" s="73"/>
      <c r="V906" s="62"/>
      <c r="W906" s="62"/>
      <c r="X906" s="62"/>
      <c r="Y906" s="93"/>
      <c r="Z906" s="94"/>
      <c r="AA906" s="74"/>
      <c r="AB906" s="75"/>
      <c r="AC906" s="75"/>
      <c r="AD906" s="76"/>
      <c r="AE906" s="77"/>
      <c r="AF906" s="75"/>
      <c r="AG906" s="78"/>
      <c r="AH906" s="79"/>
      <c r="AI906" s="74"/>
      <c r="AJ906" s="75"/>
      <c r="AK906" s="75"/>
      <c r="AL906" s="80">
        <f t="shared" si="204"/>
        <v>0</v>
      </c>
      <c r="AM906" s="74"/>
      <c r="AN906" s="74"/>
      <c r="AO906" s="81" t="str">
        <f t="shared" si="205"/>
        <v/>
      </c>
      <c r="AP906" s="82"/>
      <c r="AQ906" s="75"/>
      <c r="AR906" s="75"/>
      <c r="AS906" s="80">
        <f t="shared" si="206"/>
        <v>0</v>
      </c>
      <c r="AT906" s="74"/>
      <c r="AU906" s="75"/>
      <c r="AV906" s="75"/>
      <c r="AW906" s="75"/>
      <c r="AX906" s="80">
        <f t="shared" si="207"/>
        <v>0</v>
      </c>
      <c r="AY906" s="81" t="str">
        <f t="shared" si="208"/>
        <v/>
      </c>
      <c r="AZ906" s="83" t="str">
        <f t="shared" si="209"/>
        <v/>
      </c>
      <c r="BA906" s="80" t="str">
        <f t="shared" si="210"/>
        <v/>
      </c>
      <c r="BB906" s="84">
        <f t="shared" si="211"/>
        <v>0</v>
      </c>
      <c r="BC906" s="85" t="str">
        <f t="shared" si="212"/>
        <v/>
      </c>
      <c r="BD906" s="86" t="str">
        <f t="shared" si="213"/>
        <v/>
      </c>
      <c r="BE906" s="84">
        <f t="shared" si="214"/>
        <v>0</v>
      </c>
      <c r="BF906" s="87" t="str">
        <f t="shared" si="215"/>
        <v/>
      </c>
      <c r="BG906" s="88" t="str">
        <f t="shared" si="216"/>
        <v/>
      </c>
      <c r="BH906" s="89" t="str">
        <f t="shared" si="217"/>
        <v/>
      </c>
      <c r="BI906" s="90" t="str">
        <f t="shared" si="218"/>
        <v/>
      </c>
      <c r="BJ906" s="90" t="str">
        <f t="shared" si="219"/>
        <v/>
      </c>
      <c r="BK906" s="91">
        <f t="shared" si="220"/>
        <v>0</v>
      </c>
      <c r="BL906" s="92">
        <f t="shared" si="221"/>
        <v>0</v>
      </c>
      <c r="BM906" s="95"/>
    </row>
    <row r="907" spans="1:65">
      <c r="A907" s="61">
        <f t="shared" si="198"/>
        <v>0</v>
      </c>
      <c r="B907" s="62"/>
      <c r="C907" s="62"/>
      <c r="D907" s="63"/>
      <c r="E907" s="64"/>
      <c r="F907" s="64"/>
      <c r="G907" s="65"/>
      <c r="H907" s="66" t="str">
        <f t="shared" si="199"/>
        <v/>
      </c>
      <c r="I907" s="67" t="str">
        <f t="shared" si="200"/>
        <v/>
      </c>
      <c r="J907" s="68" t="str">
        <f t="shared" si="201"/>
        <v/>
      </c>
      <c r="K907" s="69" t="str">
        <f t="shared" si="202"/>
        <v/>
      </c>
      <c r="L907" s="70" t="str">
        <f t="shared" si="203"/>
        <v/>
      </c>
      <c r="M907" s="71"/>
      <c r="N907" s="71"/>
      <c r="O907" s="71"/>
      <c r="P907" s="71"/>
      <c r="Q907" s="61"/>
      <c r="R907" s="63"/>
      <c r="S907" s="72"/>
      <c r="T907" s="61"/>
      <c r="U907" s="73"/>
      <c r="V907" s="62"/>
      <c r="W907" s="62"/>
      <c r="X907" s="62"/>
      <c r="Y907" s="93"/>
      <c r="Z907" s="94"/>
      <c r="AA907" s="74"/>
      <c r="AB907" s="75"/>
      <c r="AC907" s="75"/>
      <c r="AD907" s="76"/>
      <c r="AE907" s="77"/>
      <c r="AF907" s="75"/>
      <c r="AG907" s="78"/>
      <c r="AH907" s="79"/>
      <c r="AI907" s="74"/>
      <c r="AJ907" s="75"/>
      <c r="AK907" s="75"/>
      <c r="AL907" s="80">
        <f t="shared" si="204"/>
        <v>0</v>
      </c>
      <c r="AM907" s="74"/>
      <c r="AN907" s="74"/>
      <c r="AO907" s="81" t="str">
        <f t="shared" si="205"/>
        <v/>
      </c>
      <c r="AP907" s="82"/>
      <c r="AQ907" s="75"/>
      <c r="AR907" s="75"/>
      <c r="AS907" s="80">
        <f t="shared" si="206"/>
        <v>0</v>
      </c>
      <c r="AT907" s="74"/>
      <c r="AU907" s="75"/>
      <c r="AV907" s="75"/>
      <c r="AW907" s="75"/>
      <c r="AX907" s="80">
        <f t="shared" si="207"/>
        <v>0</v>
      </c>
      <c r="AY907" s="81" t="str">
        <f t="shared" si="208"/>
        <v/>
      </c>
      <c r="AZ907" s="83" t="str">
        <f t="shared" si="209"/>
        <v/>
      </c>
      <c r="BA907" s="80" t="str">
        <f t="shared" si="210"/>
        <v/>
      </c>
      <c r="BB907" s="84">
        <f t="shared" si="211"/>
        <v>0</v>
      </c>
      <c r="BC907" s="85" t="str">
        <f t="shared" si="212"/>
        <v/>
      </c>
      <c r="BD907" s="86" t="str">
        <f t="shared" si="213"/>
        <v/>
      </c>
      <c r="BE907" s="84">
        <f t="shared" si="214"/>
        <v>0</v>
      </c>
      <c r="BF907" s="87" t="str">
        <f t="shared" si="215"/>
        <v/>
      </c>
      <c r="BG907" s="88" t="str">
        <f t="shared" si="216"/>
        <v/>
      </c>
      <c r="BH907" s="89" t="str">
        <f t="shared" si="217"/>
        <v/>
      </c>
      <c r="BI907" s="90" t="str">
        <f t="shared" si="218"/>
        <v/>
      </c>
      <c r="BJ907" s="90" t="str">
        <f t="shared" si="219"/>
        <v/>
      </c>
      <c r="BK907" s="91">
        <f t="shared" si="220"/>
        <v>0</v>
      </c>
      <c r="BL907" s="92">
        <f t="shared" si="221"/>
        <v>0</v>
      </c>
      <c r="BM907" s="95"/>
    </row>
    <row r="908" spans="1:65">
      <c r="A908" s="61">
        <f t="shared" si="198"/>
        <v>0</v>
      </c>
      <c r="B908" s="62"/>
      <c r="C908" s="62"/>
      <c r="D908" s="63"/>
      <c r="E908" s="64"/>
      <c r="F908" s="64"/>
      <c r="G908" s="65"/>
      <c r="H908" s="66" t="str">
        <f t="shared" si="199"/>
        <v/>
      </c>
      <c r="I908" s="67" t="str">
        <f t="shared" si="200"/>
        <v/>
      </c>
      <c r="J908" s="68" t="str">
        <f t="shared" si="201"/>
        <v/>
      </c>
      <c r="K908" s="69" t="str">
        <f t="shared" si="202"/>
        <v/>
      </c>
      <c r="L908" s="70" t="str">
        <f t="shared" si="203"/>
        <v/>
      </c>
      <c r="M908" s="71"/>
      <c r="N908" s="71"/>
      <c r="O908" s="71"/>
      <c r="P908" s="71"/>
      <c r="Q908" s="61"/>
      <c r="R908" s="63"/>
      <c r="S908" s="72"/>
      <c r="T908" s="61"/>
      <c r="U908" s="73"/>
      <c r="V908" s="62"/>
      <c r="W908" s="62"/>
      <c r="X908" s="62"/>
      <c r="Y908" s="93"/>
      <c r="Z908" s="94"/>
      <c r="AA908" s="74"/>
      <c r="AB908" s="75"/>
      <c r="AC908" s="75"/>
      <c r="AD908" s="76"/>
      <c r="AE908" s="77"/>
      <c r="AF908" s="75"/>
      <c r="AG908" s="78"/>
      <c r="AH908" s="79"/>
      <c r="AI908" s="74"/>
      <c r="AJ908" s="75"/>
      <c r="AK908" s="75"/>
      <c r="AL908" s="80">
        <f t="shared" si="204"/>
        <v>0</v>
      </c>
      <c r="AM908" s="74"/>
      <c r="AN908" s="74"/>
      <c r="AO908" s="81" t="str">
        <f t="shared" si="205"/>
        <v/>
      </c>
      <c r="AP908" s="82"/>
      <c r="AQ908" s="75"/>
      <c r="AR908" s="75"/>
      <c r="AS908" s="80">
        <f t="shared" si="206"/>
        <v>0</v>
      </c>
      <c r="AT908" s="74"/>
      <c r="AU908" s="75"/>
      <c r="AV908" s="75"/>
      <c r="AW908" s="75"/>
      <c r="AX908" s="80">
        <f t="shared" si="207"/>
        <v>0</v>
      </c>
      <c r="AY908" s="81" t="str">
        <f t="shared" si="208"/>
        <v/>
      </c>
      <c r="AZ908" s="83" t="str">
        <f t="shared" si="209"/>
        <v/>
      </c>
      <c r="BA908" s="80" t="str">
        <f t="shared" si="210"/>
        <v/>
      </c>
      <c r="BB908" s="84">
        <f t="shared" si="211"/>
        <v>0</v>
      </c>
      <c r="BC908" s="85" t="str">
        <f t="shared" si="212"/>
        <v/>
      </c>
      <c r="BD908" s="86" t="str">
        <f t="shared" si="213"/>
        <v/>
      </c>
      <c r="BE908" s="84">
        <f t="shared" si="214"/>
        <v>0</v>
      </c>
      <c r="BF908" s="87" t="str">
        <f t="shared" si="215"/>
        <v/>
      </c>
      <c r="BG908" s="88" t="str">
        <f t="shared" si="216"/>
        <v/>
      </c>
      <c r="BH908" s="89" t="str">
        <f t="shared" si="217"/>
        <v/>
      </c>
      <c r="BI908" s="90" t="str">
        <f t="shared" si="218"/>
        <v/>
      </c>
      <c r="BJ908" s="90" t="str">
        <f t="shared" si="219"/>
        <v/>
      </c>
      <c r="BK908" s="91">
        <f t="shared" si="220"/>
        <v>0</v>
      </c>
      <c r="BL908" s="92">
        <f t="shared" si="221"/>
        <v>0</v>
      </c>
      <c r="BM908" s="95"/>
    </row>
    <row r="909" spans="1:65">
      <c r="A909" s="61">
        <f t="shared" si="198"/>
        <v>0</v>
      </c>
      <c r="B909" s="62"/>
      <c r="C909" s="62"/>
      <c r="D909" s="63"/>
      <c r="E909" s="64"/>
      <c r="F909" s="64"/>
      <c r="G909" s="65"/>
      <c r="H909" s="66" t="str">
        <f t="shared" si="199"/>
        <v/>
      </c>
      <c r="I909" s="67" t="str">
        <f t="shared" si="200"/>
        <v/>
      </c>
      <c r="J909" s="68" t="str">
        <f t="shared" si="201"/>
        <v/>
      </c>
      <c r="K909" s="69" t="str">
        <f t="shared" si="202"/>
        <v/>
      </c>
      <c r="L909" s="70" t="str">
        <f t="shared" si="203"/>
        <v/>
      </c>
      <c r="M909" s="71"/>
      <c r="N909" s="71"/>
      <c r="O909" s="71"/>
      <c r="P909" s="71"/>
      <c r="Q909" s="61"/>
      <c r="R909" s="63"/>
      <c r="S909" s="72"/>
      <c r="T909" s="61"/>
      <c r="U909" s="73"/>
      <c r="V909" s="62"/>
      <c r="W909" s="62"/>
      <c r="X909" s="62"/>
      <c r="Y909" s="93"/>
      <c r="Z909" s="94"/>
      <c r="AA909" s="74"/>
      <c r="AB909" s="75"/>
      <c r="AC909" s="75"/>
      <c r="AD909" s="76"/>
      <c r="AE909" s="77"/>
      <c r="AF909" s="75"/>
      <c r="AG909" s="78"/>
      <c r="AH909" s="79"/>
      <c r="AI909" s="74"/>
      <c r="AJ909" s="75"/>
      <c r="AK909" s="75"/>
      <c r="AL909" s="80">
        <f t="shared" si="204"/>
        <v>0</v>
      </c>
      <c r="AM909" s="74"/>
      <c r="AN909" s="74"/>
      <c r="AO909" s="81" t="str">
        <f t="shared" si="205"/>
        <v/>
      </c>
      <c r="AP909" s="82"/>
      <c r="AQ909" s="75"/>
      <c r="AR909" s="75"/>
      <c r="AS909" s="80">
        <f t="shared" si="206"/>
        <v>0</v>
      </c>
      <c r="AT909" s="74"/>
      <c r="AU909" s="75"/>
      <c r="AV909" s="75"/>
      <c r="AW909" s="75"/>
      <c r="AX909" s="80">
        <f t="shared" si="207"/>
        <v>0</v>
      </c>
      <c r="AY909" s="81" t="str">
        <f t="shared" si="208"/>
        <v/>
      </c>
      <c r="AZ909" s="83" t="str">
        <f t="shared" si="209"/>
        <v/>
      </c>
      <c r="BA909" s="80" t="str">
        <f t="shared" si="210"/>
        <v/>
      </c>
      <c r="BB909" s="84">
        <f t="shared" si="211"/>
        <v>0</v>
      </c>
      <c r="BC909" s="85" t="str">
        <f t="shared" si="212"/>
        <v/>
      </c>
      <c r="BD909" s="86" t="str">
        <f t="shared" si="213"/>
        <v/>
      </c>
      <c r="BE909" s="84">
        <f t="shared" si="214"/>
        <v>0</v>
      </c>
      <c r="BF909" s="87" t="str">
        <f t="shared" si="215"/>
        <v/>
      </c>
      <c r="BG909" s="88" t="str">
        <f t="shared" si="216"/>
        <v/>
      </c>
      <c r="BH909" s="89" t="str">
        <f t="shared" si="217"/>
        <v/>
      </c>
      <c r="BI909" s="90" t="str">
        <f t="shared" si="218"/>
        <v/>
      </c>
      <c r="BJ909" s="90" t="str">
        <f t="shared" si="219"/>
        <v/>
      </c>
      <c r="BK909" s="91">
        <f t="shared" si="220"/>
        <v>0</v>
      </c>
      <c r="BL909" s="92">
        <f t="shared" si="221"/>
        <v>0</v>
      </c>
      <c r="BM909" s="95"/>
    </row>
    <row r="910" spans="1:65">
      <c r="A910" s="61">
        <f t="shared" si="198"/>
        <v>0</v>
      </c>
      <c r="B910" s="62"/>
      <c r="C910" s="62"/>
      <c r="D910" s="63"/>
      <c r="E910" s="64"/>
      <c r="F910" s="64"/>
      <c r="G910" s="65"/>
      <c r="H910" s="66" t="str">
        <f t="shared" si="199"/>
        <v/>
      </c>
      <c r="I910" s="67" t="str">
        <f t="shared" si="200"/>
        <v/>
      </c>
      <c r="J910" s="68" t="str">
        <f t="shared" si="201"/>
        <v/>
      </c>
      <c r="K910" s="69" t="str">
        <f t="shared" si="202"/>
        <v/>
      </c>
      <c r="L910" s="70" t="str">
        <f t="shared" si="203"/>
        <v/>
      </c>
      <c r="M910" s="71"/>
      <c r="N910" s="71"/>
      <c r="O910" s="71"/>
      <c r="P910" s="71"/>
      <c r="Q910" s="61"/>
      <c r="R910" s="63"/>
      <c r="S910" s="72"/>
      <c r="T910" s="61"/>
      <c r="U910" s="73"/>
      <c r="V910" s="62"/>
      <c r="W910" s="62"/>
      <c r="X910" s="62"/>
      <c r="Y910" s="93"/>
      <c r="Z910" s="94"/>
      <c r="AA910" s="74"/>
      <c r="AB910" s="75"/>
      <c r="AC910" s="75"/>
      <c r="AD910" s="76"/>
      <c r="AE910" s="77"/>
      <c r="AF910" s="75"/>
      <c r="AG910" s="78"/>
      <c r="AH910" s="79"/>
      <c r="AI910" s="74"/>
      <c r="AJ910" s="75"/>
      <c r="AK910" s="75"/>
      <c r="AL910" s="80">
        <f t="shared" si="204"/>
        <v>0</v>
      </c>
      <c r="AM910" s="74"/>
      <c r="AN910" s="74"/>
      <c r="AO910" s="81" t="str">
        <f t="shared" si="205"/>
        <v/>
      </c>
      <c r="AP910" s="82"/>
      <c r="AQ910" s="75"/>
      <c r="AR910" s="75"/>
      <c r="AS910" s="80">
        <f t="shared" si="206"/>
        <v>0</v>
      </c>
      <c r="AT910" s="74"/>
      <c r="AU910" s="75"/>
      <c r="AV910" s="75"/>
      <c r="AW910" s="75"/>
      <c r="AX910" s="80">
        <f t="shared" si="207"/>
        <v>0</v>
      </c>
      <c r="AY910" s="81" t="str">
        <f t="shared" si="208"/>
        <v/>
      </c>
      <c r="AZ910" s="83" t="str">
        <f t="shared" si="209"/>
        <v/>
      </c>
      <c r="BA910" s="80" t="str">
        <f t="shared" si="210"/>
        <v/>
      </c>
      <c r="BB910" s="84">
        <f t="shared" si="211"/>
        <v>0</v>
      </c>
      <c r="BC910" s="85" t="str">
        <f t="shared" si="212"/>
        <v/>
      </c>
      <c r="BD910" s="86" t="str">
        <f t="shared" si="213"/>
        <v/>
      </c>
      <c r="BE910" s="84">
        <f t="shared" si="214"/>
        <v>0</v>
      </c>
      <c r="BF910" s="87" t="str">
        <f t="shared" si="215"/>
        <v/>
      </c>
      <c r="BG910" s="88" t="str">
        <f t="shared" si="216"/>
        <v/>
      </c>
      <c r="BH910" s="89" t="str">
        <f t="shared" si="217"/>
        <v/>
      </c>
      <c r="BI910" s="90" t="str">
        <f t="shared" si="218"/>
        <v/>
      </c>
      <c r="BJ910" s="90" t="str">
        <f t="shared" si="219"/>
        <v/>
      </c>
      <c r="BK910" s="91">
        <f t="shared" si="220"/>
        <v>0</v>
      </c>
      <c r="BL910" s="92">
        <f t="shared" si="221"/>
        <v>0</v>
      </c>
      <c r="BM910" s="95"/>
    </row>
    <row r="911" spans="1:65">
      <c r="A911" s="61">
        <f t="shared" si="198"/>
        <v>0</v>
      </c>
      <c r="B911" s="62"/>
      <c r="C911" s="62"/>
      <c r="D911" s="63"/>
      <c r="E911" s="64"/>
      <c r="F911" s="64"/>
      <c r="G911" s="65"/>
      <c r="H911" s="66" t="str">
        <f t="shared" si="199"/>
        <v/>
      </c>
      <c r="I911" s="67" t="str">
        <f t="shared" si="200"/>
        <v/>
      </c>
      <c r="J911" s="68" t="str">
        <f t="shared" si="201"/>
        <v/>
      </c>
      <c r="K911" s="69" t="str">
        <f t="shared" si="202"/>
        <v/>
      </c>
      <c r="L911" s="70" t="str">
        <f t="shared" si="203"/>
        <v/>
      </c>
      <c r="M911" s="71"/>
      <c r="N911" s="71"/>
      <c r="O911" s="71"/>
      <c r="P911" s="71"/>
      <c r="Q911" s="61"/>
      <c r="R911" s="63"/>
      <c r="S911" s="72"/>
      <c r="T911" s="61"/>
      <c r="U911" s="73"/>
      <c r="V911" s="62"/>
      <c r="W911" s="62"/>
      <c r="X911" s="62"/>
      <c r="Y911" s="93"/>
      <c r="Z911" s="94"/>
      <c r="AA911" s="74"/>
      <c r="AB911" s="75"/>
      <c r="AC911" s="75"/>
      <c r="AD911" s="76"/>
      <c r="AE911" s="77"/>
      <c r="AF911" s="75"/>
      <c r="AG911" s="78"/>
      <c r="AH911" s="79"/>
      <c r="AI911" s="74"/>
      <c r="AJ911" s="75"/>
      <c r="AK911" s="75"/>
      <c r="AL911" s="80">
        <f t="shared" si="204"/>
        <v>0</v>
      </c>
      <c r="AM911" s="74"/>
      <c r="AN911" s="74"/>
      <c r="AO911" s="81" t="str">
        <f t="shared" si="205"/>
        <v/>
      </c>
      <c r="AP911" s="82"/>
      <c r="AQ911" s="75"/>
      <c r="AR911" s="75"/>
      <c r="AS911" s="80">
        <f t="shared" si="206"/>
        <v>0</v>
      </c>
      <c r="AT911" s="74"/>
      <c r="AU911" s="75"/>
      <c r="AV911" s="75"/>
      <c r="AW911" s="75"/>
      <c r="AX911" s="80">
        <f t="shared" si="207"/>
        <v>0</v>
      </c>
      <c r="AY911" s="81" t="str">
        <f t="shared" si="208"/>
        <v/>
      </c>
      <c r="AZ911" s="83" t="str">
        <f t="shared" si="209"/>
        <v/>
      </c>
      <c r="BA911" s="80" t="str">
        <f t="shared" si="210"/>
        <v/>
      </c>
      <c r="BB911" s="84">
        <f t="shared" si="211"/>
        <v>0</v>
      </c>
      <c r="BC911" s="85" t="str">
        <f t="shared" si="212"/>
        <v/>
      </c>
      <c r="BD911" s="86" t="str">
        <f t="shared" si="213"/>
        <v/>
      </c>
      <c r="BE911" s="84">
        <f t="shared" si="214"/>
        <v>0</v>
      </c>
      <c r="BF911" s="87" t="str">
        <f t="shared" si="215"/>
        <v/>
      </c>
      <c r="BG911" s="88" t="str">
        <f t="shared" si="216"/>
        <v/>
      </c>
      <c r="BH911" s="89" t="str">
        <f t="shared" si="217"/>
        <v/>
      </c>
      <c r="BI911" s="90" t="str">
        <f t="shared" si="218"/>
        <v/>
      </c>
      <c r="BJ911" s="90" t="str">
        <f t="shared" si="219"/>
        <v/>
      </c>
      <c r="BK911" s="91">
        <f t="shared" si="220"/>
        <v>0</v>
      </c>
      <c r="BL911" s="92">
        <f t="shared" si="221"/>
        <v>0</v>
      </c>
      <c r="BM911" s="95"/>
    </row>
    <row r="912" spans="1:65">
      <c r="A912" s="61">
        <f t="shared" si="198"/>
        <v>0</v>
      </c>
      <c r="B912" s="62"/>
      <c r="C912" s="62"/>
      <c r="D912" s="63"/>
      <c r="E912" s="64"/>
      <c r="F912" s="64"/>
      <c r="G912" s="65"/>
      <c r="H912" s="66" t="str">
        <f t="shared" si="199"/>
        <v/>
      </c>
      <c r="I912" s="67" t="str">
        <f t="shared" si="200"/>
        <v/>
      </c>
      <c r="J912" s="68" t="str">
        <f t="shared" si="201"/>
        <v/>
      </c>
      <c r="K912" s="69" t="str">
        <f t="shared" si="202"/>
        <v/>
      </c>
      <c r="L912" s="70" t="str">
        <f t="shared" si="203"/>
        <v/>
      </c>
      <c r="M912" s="71"/>
      <c r="N912" s="71"/>
      <c r="O912" s="71"/>
      <c r="P912" s="71"/>
      <c r="Q912" s="61"/>
      <c r="R912" s="63"/>
      <c r="S912" s="72"/>
      <c r="T912" s="61"/>
      <c r="U912" s="73"/>
      <c r="V912" s="62"/>
      <c r="W912" s="62"/>
      <c r="X912" s="62"/>
      <c r="Y912" s="93"/>
      <c r="Z912" s="94"/>
      <c r="AA912" s="74"/>
      <c r="AB912" s="75"/>
      <c r="AC912" s="75"/>
      <c r="AD912" s="76"/>
      <c r="AE912" s="77"/>
      <c r="AF912" s="75"/>
      <c r="AG912" s="78"/>
      <c r="AH912" s="79"/>
      <c r="AI912" s="74"/>
      <c r="AJ912" s="75"/>
      <c r="AK912" s="75"/>
      <c r="AL912" s="80">
        <f t="shared" si="204"/>
        <v>0</v>
      </c>
      <c r="AM912" s="74"/>
      <c r="AN912" s="74"/>
      <c r="AO912" s="81" t="str">
        <f t="shared" si="205"/>
        <v/>
      </c>
      <c r="AP912" s="82"/>
      <c r="AQ912" s="75"/>
      <c r="AR912" s="75"/>
      <c r="AS912" s="80">
        <f t="shared" si="206"/>
        <v>0</v>
      </c>
      <c r="AT912" s="74"/>
      <c r="AU912" s="75"/>
      <c r="AV912" s="75"/>
      <c r="AW912" s="75"/>
      <c r="AX912" s="80">
        <f t="shared" si="207"/>
        <v>0</v>
      </c>
      <c r="AY912" s="81" t="str">
        <f t="shared" si="208"/>
        <v/>
      </c>
      <c r="AZ912" s="83" t="str">
        <f t="shared" si="209"/>
        <v/>
      </c>
      <c r="BA912" s="80" t="str">
        <f t="shared" si="210"/>
        <v/>
      </c>
      <c r="BB912" s="84">
        <f t="shared" si="211"/>
        <v>0</v>
      </c>
      <c r="BC912" s="85" t="str">
        <f t="shared" si="212"/>
        <v/>
      </c>
      <c r="BD912" s="86" t="str">
        <f t="shared" si="213"/>
        <v/>
      </c>
      <c r="BE912" s="84">
        <f t="shared" si="214"/>
        <v>0</v>
      </c>
      <c r="BF912" s="87" t="str">
        <f t="shared" si="215"/>
        <v/>
      </c>
      <c r="BG912" s="88" t="str">
        <f t="shared" si="216"/>
        <v/>
      </c>
      <c r="BH912" s="89" t="str">
        <f t="shared" si="217"/>
        <v/>
      </c>
      <c r="BI912" s="90" t="str">
        <f t="shared" si="218"/>
        <v/>
      </c>
      <c r="BJ912" s="90" t="str">
        <f t="shared" si="219"/>
        <v/>
      </c>
      <c r="BK912" s="91">
        <f t="shared" si="220"/>
        <v>0</v>
      </c>
      <c r="BL912" s="92">
        <f t="shared" si="221"/>
        <v>0</v>
      </c>
      <c r="BM912" s="95"/>
    </row>
    <row r="913" spans="1:65">
      <c r="A913" s="61">
        <f t="shared" si="198"/>
        <v>0</v>
      </c>
      <c r="B913" s="62"/>
      <c r="C913" s="62"/>
      <c r="D913" s="63"/>
      <c r="E913" s="64"/>
      <c r="F913" s="64"/>
      <c r="G913" s="65"/>
      <c r="H913" s="66" t="str">
        <f t="shared" si="199"/>
        <v/>
      </c>
      <c r="I913" s="67" t="str">
        <f t="shared" si="200"/>
        <v/>
      </c>
      <c r="J913" s="68" t="str">
        <f t="shared" si="201"/>
        <v/>
      </c>
      <c r="K913" s="69" t="str">
        <f t="shared" si="202"/>
        <v/>
      </c>
      <c r="L913" s="70" t="str">
        <f t="shared" si="203"/>
        <v/>
      </c>
      <c r="M913" s="71"/>
      <c r="N913" s="71"/>
      <c r="O913" s="71"/>
      <c r="P913" s="71"/>
      <c r="Q913" s="61"/>
      <c r="R913" s="63"/>
      <c r="S913" s="72"/>
      <c r="T913" s="61"/>
      <c r="U913" s="73"/>
      <c r="V913" s="62"/>
      <c r="W913" s="62"/>
      <c r="X913" s="62"/>
      <c r="Y913" s="93"/>
      <c r="Z913" s="94"/>
      <c r="AA913" s="74"/>
      <c r="AB913" s="75"/>
      <c r="AC913" s="75"/>
      <c r="AD913" s="76"/>
      <c r="AE913" s="77"/>
      <c r="AF913" s="75"/>
      <c r="AG913" s="78"/>
      <c r="AH913" s="79"/>
      <c r="AI913" s="74"/>
      <c r="AJ913" s="75"/>
      <c r="AK913" s="75"/>
      <c r="AL913" s="80">
        <f t="shared" si="204"/>
        <v>0</v>
      </c>
      <c r="AM913" s="74"/>
      <c r="AN913" s="74"/>
      <c r="AO913" s="81" t="str">
        <f t="shared" si="205"/>
        <v/>
      </c>
      <c r="AP913" s="82"/>
      <c r="AQ913" s="75"/>
      <c r="AR913" s="75"/>
      <c r="AS913" s="80">
        <f t="shared" si="206"/>
        <v>0</v>
      </c>
      <c r="AT913" s="74"/>
      <c r="AU913" s="75"/>
      <c r="AV913" s="75"/>
      <c r="AW913" s="75"/>
      <c r="AX913" s="80">
        <f t="shared" si="207"/>
        <v>0</v>
      </c>
      <c r="AY913" s="81" t="str">
        <f t="shared" si="208"/>
        <v/>
      </c>
      <c r="AZ913" s="83" t="str">
        <f t="shared" si="209"/>
        <v/>
      </c>
      <c r="BA913" s="80" t="str">
        <f t="shared" si="210"/>
        <v/>
      </c>
      <c r="BB913" s="84">
        <f t="shared" si="211"/>
        <v>0</v>
      </c>
      <c r="BC913" s="85" t="str">
        <f t="shared" si="212"/>
        <v/>
      </c>
      <c r="BD913" s="86" t="str">
        <f t="shared" si="213"/>
        <v/>
      </c>
      <c r="BE913" s="84">
        <f t="shared" si="214"/>
        <v>0</v>
      </c>
      <c r="BF913" s="87" t="str">
        <f t="shared" si="215"/>
        <v/>
      </c>
      <c r="BG913" s="88" t="str">
        <f t="shared" si="216"/>
        <v/>
      </c>
      <c r="BH913" s="89" t="str">
        <f t="shared" si="217"/>
        <v/>
      </c>
      <c r="BI913" s="90" t="str">
        <f t="shared" si="218"/>
        <v/>
      </c>
      <c r="BJ913" s="90" t="str">
        <f t="shared" si="219"/>
        <v/>
      </c>
      <c r="BK913" s="91">
        <f t="shared" si="220"/>
        <v>0</v>
      </c>
      <c r="BL913" s="92">
        <f t="shared" si="221"/>
        <v>0</v>
      </c>
      <c r="BM913" s="95"/>
    </row>
    <row r="914" spans="1:65">
      <c r="A914" s="61">
        <f t="shared" si="198"/>
        <v>0</v>
      </c>
      <c r="B914" s="62"/>
      <c r="C914" s="62"/>
      <c r="D914" s="63"/>
      <c r="E914" s="64"/>
      <c r="F914" s="64"/>
      <c r="G914" s="65"/>
      <c r="H914" s="66" t="str">
        <f t="shared" si="199"/>
        <v/>
      </c>
      <c r="I914" s="67" t="str">
        <f t="shared" si="200"/>
        <v/>
      </c>
      <c r="J914" s="68" t="str">
        <f t="shared" si="201"/>
        <v/>
      </c>
      <c r="K914" s="69" t="str">
        <f t="shared" si="202"/>
        <v/>
      </c>
      <c r="L914" s="70" t="str">
        <f t="shared" si="203"/>
        <v/>
      </c>
      <c r="M914" s="71"/>
      <c r="N914" s="71"/>
      <c r="O914" s="71"/>
      <c r="P914" s="71"/>
      <c r="Q914" s="61"/>
      <c r="R914" s="63"/>
      <c r="S914" s="72"/>
      <c r="T914" s="61"/>
      <c r="U914" s="73"/>
      <c r="V914" s="62"/>
      <c r="W914" s="62"/>
      <c r="X914" s="62"/>
      <c r="Y914" s="93"/>
      <c r="Z914" s="94"/>
      <c r="AA914" s="74"/>
      <c r="AB914" s="75"/>
      <c r="AC914" s="75"/>
      <c r="AD914" s="76"/>
      <c r="AE914" s="77"/>
      <c r="AF914" s="75"/>
      <c r="AG914" s="78"/>
      <c r="AH914" s="79"/>
      <c r="AI914" s="74"/>
      <c r="AJ914" s="75"/>
      <c r="AK914" s="75"/>
      <c r="AL914" s="80">
        <f t="shared" si="204"/>
        <v>0</v>
      </c>
      <c r="AM914" s="74"/>
      <c r="AN914" s="74"/>
      <c r="AO914" s="81" t="str">
        <f t="shared" si="205"/>
        <v/>
      </c>
      <c r="AP914" s="82"/>
      <c r="AQ914" s="75"/>
      <c r="AR914" s="75"/>
      <c r="AS914" s="80">
        <f t="shared" si="206"/>
        <v>0</v>
      </c>
      <c r="AT914" s="74"/>
      <c r="AU914" s="75"/>
      <c r="AV914" s="75"/>
      <c r="AW914" s="75"/>
      <c r="AX914" s="80">
        <f t="shared" si="207"/>
        <v>0</v>
      </c>
      <c r="AY914" s="81" t="str">
        <f t="shared" si="208"/>
        <v/>
      </c>
      <c r="AZ914" s="83" t="str">
        <f t="shared" si="209"/>
        <v/>
      </c>
      <c r="BA914" s="80" t="str">
        <f t="shared" si="210"/>
        <v/>
      </c>
      <c r="BB914" s="84">
        <f t="shared" si="211"/>
        <v>0</v>
      </c>
      <c r="BC914" s="85" t="str">
        <f t="shared" si="212"/>
        <v/>
      </c>
      <c r="BD914" s="86" t="str">
        <f t="shared" si="213"/>
        <v/>
      </c>
      <c r="BE914" s="84">
        <f t="shared" si="214"/>
        <v>0</v>
      </c>
      <c r="BF914" s="87" t="str">
        <f t="shared" si="215"/>
        <v/>
      </c>
      <c r="BG914" s="88" t="str">
        <f t="shared" si="216"/>
        <v/>
      </c>
      <c r="BH914" s="89" t="str">
        <f t="shared" si="217"/>
        <v/>
      </c>
      <c r="BI914" s="90" t="str">
        <f t="shared" si="218"/>
        <v/>
      </c>
      <c r="BJ914" s="90" t="str">
        <f t="shared" si="219"/>
        <v/>
      </c>
      <c r="BK914" s="91">
        <f t="shared" si="220"/>
        <v>0</v>
      </c>
      <c r="BL914" s="92">
        <f t="shared" si="221"/>
        <v>0</v>
      </c>
      <c r="BM914" s="95"/>
    </row>
    <row r="915" spans="1:65">
      <c r="A915" s="61">
        <f t="shared" si="198"/>
        <v>0</v>
      </c>
      <c r="B915" s="62"/>
      <c r="C915" s="62"/>
      <c r="D915" s="63"/>
      <c r="E915" s="64"/>
      <c r="F915" s="64"/>
      <c r="G915" s="65"/>
      <c r="H915" s="66" t="str">
        <f t="shared" si="199"/>
        <v/>
      </c>
      <c r="I915" s="67" t="str">
        <f t="shared" si="200"/>
        <v/>
      </c>
      <c r="J915" s="68" t="str">
        <f t="shared" si="201"/>
        <v/>
      </c>
      <c r="K915" s="69" t="str">
        <f t="shared" si="202"/>
        <v/>
      </c>
      <c r="L915" s="70" t="str">
        <f t="shared" si="203"/>
        <v/>
      </c>
      <c r="M915" s="71"/>
      <c r="N915" s="71"/>
      <c r="O915" s="71"/>
      <c r="P915" s="71"/>
      <c r="Q915" s="61"/>
      <c r="R915" s="63"/>
      <c r="S915" s="72"/>
      <c r="T915" s="61"/>
      <c r="U915" s="73"/>
      <c r="V915" s="62"/>
      <c r="W915" s="62"/>
      <c r="X915" s="62"/>
      <c r="Y915" s="93"/>
      <c r="Z915" s="94"/>
      <c r="AA915" s="74"/>
      <c r="AB915" s="75"/>
      <c r="AC915" s="75"/>
      <c r="AD915" s="76"/>
      <c r="AE915" s="77"/>
      <c r="AF915" s="75"/>
      <c r="AG915" s="78"/>
      <c r="AH915" s="79"/>
      <c r="AI915" s="74"/>
      <c r="AJ915" s="75"/>
      <c r="AK915" s="75"/>
      <c r="AL915" s="80">
        <f t="shared" si="204"/>
        <v>0</v>
      </c>
      <c r="AM915" s="74"/>
      <c r="AN915" s="74"/>
      <c r="AO915" s="81" t="str">
        <f t="shared" si="205"/>
        <v/>
      </c>
      <c r="AP915" s="82"/>
      <c r="AQ915" s="75"/>
      <c r="AR915" s="75"/>
      <c r="AS915" s="80">
        <f t="shared" si="206"/>
        <v>0</v>
      </c>
      <c r="AT915" s="74"/>
      <c r="AU915" s="75"/>
      <c r="AV915" s="75"/>
      <c r="AW915" s="75"/>
      <c r="AX915" s="80">
        <f t="shared" si="207"/>
        <v>0</v>
      </c>
      <c r="AY915" s="81" t="str">
        <f t="shared" si="208"/>
        <v/>
      </c>
      <c r="AZ915" s="83" t="str">
        <f t="shared" si="209"/>
        <v/>
      </c>
      <c r="BA915" s="80" t="str">
        <f t="shared" si="210"/>
        <v/>
      </c>
      <c r="BB915" s="84">
        <f t="shared" si="211"/>
        <v>0</v>
      </c>
      <c r="BC915" s="85" t="str">
        <f t="shared" si="212"/>
        <v/>
      </c>
      <c r="BD915" s="86" t="str">
        <f t="shared" si="213"/>
        <v/>
      </c>
      <c r="BE915" s="84">
        <f t="shared" si="214"/>
        <v>0</v>
      </c>
      <c r="BF915" s="87" t="str">
        <f t="shared" si="215"/>
        <v/>
      </c>
      <c r="BG915" s="88" t="str">
        <f t="shared" si="216"/>
        <v/>
      </c>
      <c r="BH915" s="89" t="str">
        <f t="shared" si="217"/>
        <v/>
      </c>
      <c r="BI915" s="90" t="str">
        <f t="shared" si="218"/>
        <v/>
      </c>
      <c r="BJ915" s="90" t="str">
        <f t="shared" si="219"/>
        <v/>
      </c>
      <c r="BK915" s="91">
        <f t="shared" si="220"/>
        <v>0</v>
      </c>
      <c r="BL915" s="92">
        <f t="shared" si="221"/>
        <v>0</v>
      </c>
      <c r="BM915" s="95"/>
    </row>
    <row r="916" spans="1:65">
      <c r="A916" s="61">
        <f t="shared" si="198"/>
        <v>0</v>
      </c>
      <c r="B916" s="62"/>
      <c r="C916" s="62"/>
      <c r="D916" s="63"/>
      <c r="E916" s="64"/>
      <c r="F916" s="64"/>
      <c r="G916" s="65"/>
      <c r="H916" s="66" t="str">
        <f t="shared" si="199"/>
        <v/>
      </c>
      <c r="I916" s="67" t="str">
        <f t="shared" si="200"/>
        <v/>
      </c>
      <c r="J916" s="68" t="str">
        <f t="shared" si="201"/>
        <v/>
      </c>
      <c r="K916" s="69" t="str">
        <f t="shared" si="202"/>
        <v/>
      </c>
      <c r="L916" s="70" t="str">
        <f t="shared" si="203"/>
        <v/>
      </c>
      <c r="M916" s="71"/>
      <c r="N916" s="71"/>
      <c r="O916" s="71"/>
      <c r="P916" s="71"/>
      <c r="Q916" s="61"/>
      <c r="R916" s="63"/>
      <c r="S916" s="72"/>
      <c r="T916" s="61"/>
      <c r="U916" s="73"/>
      <c r="V916" s="62"/>
      <c r="W916" s="62"/>
      <c r="X916" s="62"/>
      <c r="Y916" s="93"/>
      <c r="Z916" s="94"/>
      <c r="AA916" s="74"/>
      <c r="AB916" s="75"/>
      <c r="AC916" s="75"/>
      <c r="AD916" s="76"/>
      <c r="AE916" s="77"/>
      <c r="AF916" s="75"/>
      <c r="AG916" s="78"/>
      <c r="AH916" s="79"/>
      <c r="AI916" s="74"/>
      <c r="AJ916" s="75"/>
      <c r="AK916" s="75"/>
      <c r="AL916" s="80">
        <f t="shared" si="204"/>
        <v>0</v>
      </c>
      <c r="AM916" s="74"/>
      <c r="AN916" s="74"/>
      <c r="AO916" s="81" t="str">
        <f t="shared" si="205"/>
        <v/>
      </c>
      <c r="AP916" s="82"/>
      <c r="AQ916" s="75"/>
      <c r="AR916" s="75"/>
      <c r="AS916" s="80">
        <f t="shared" si="206"/>
        <v>0</v>
      </c>
      <c r="AT916" s="74"/>
      <c r="AU916" s="75"/>
      <c r="AV916" s="75"/>
      <c r="AW916" s="75"/>
      <c r="AX916" s="80">
        <f t="shared" si="207"/>
        <v>0</v>
      </c>
      <c r="AY916" s="81" t="str">
        <f t="shared" si="208"/>
        <v/>
      </c>
      <c r="AZ916" s="83" t="str">
        <f t="shared" si="209"/>
        <v/>
      </c>
      <c r="BA916" s="80" t="str">
        <f t="shared" si="210"/>
        <v/>
      </c>
      <c r="BB916" s="84">
        <f t="shared" si="211"/>
        <v>0</v>
      </c>
      <c r="BC916" s="85" t="str">
        <f t="shared" si="212"/>
        <v/>
      </c>
      <c r="BD916" s="86" t="str">
        <f t="shared" si="213"/>
        <v/>
      </c>
      <c r="BE916" s="84">
        <f t="shared" si="214"/>
        <v>0</v>
      </c>
      <c r="BF916" s="87" t="str">
        <f t="shared" si="215"/>
        <v/>
      </c>
      <c r="BG916" s="88" t="str">
        <f t="shared" si="216"/>
        <v/>
      </c>
      <c r="BH916" s="89" t="str">
        <f t="shared" si="217"/>
        <v/>
      </c>
      <c r="BI916" s="90" t="str">
        <f t="shared" si="218"/>
        <v/>
      </c>
      <c r="BJ916" s="90" t="str">
        <f t="shared" si="219"/>
        <v/>
      </c>
      <c r="BK916" s="91">
        <f t="shared" si="220"/>
        <v>0</v>
      </c>
      <c r="BL916" s="92">
        <f t="shared" si="221"/>
        <v>0</v>
      </c>
      <c r="BM916" s="95"/>
    </row>
    <row r="917" spans="1:65">
      <c r="A917" s="61">
        <f t="shared" si="198"/>
        <v>0</v>
      </c>
      <c r="B917" s="62"/>
      <c r="C917" s="62"/>
      <c r="D917" s="63"/>
      <c r="E917" s="64"/>
      <c r="F917" s="64"/>
      <c r="G917" s="65"/>
      <c r="H917" s="66" t="str">
        <f t="shared" si="199"/>
        <v/>
      </c>
      <c r="I917" s="67" t="str">
        <f t="shared" si="200"/>
        <v/>
      </c>
      <c r="J917" s="68" t="str">
        <f t="shared" si="201"/>
        <v/>
      </c>
      <c r="K917" s="69" t="str">
        <f t="shared" si="202"/>
        <v/>
      </c>
      <c r="L917" s="70" t="str">
        <f t="shared" si="203"/>
        <v/>
      </c>
      <c r="M917" s="71"/>
      <c r="N917" s="71"/>
      <c r="O917" s="71"/>
      <c r="P917" s="71"/>
      <c r="Q917" s="61"/>
      <c r="R917" s="63"/>
      <c r="S917" s="72"/>
      <c r="T917" s="61"/>
      <c r="U917" s="73"/>
      <c r="V917" s="62"/>
      <c r="W917" s="62"/>
      <c r="X917" s="62"/>
      <c r="Y917" s="93"/>
      <c r="Z917" s="94"/>
      <c r="AA917" s="74"/>
      <c r="AB917" s="75"/>
      <c r="AC917" s="75"/>
      <c r="AD917" s="76"/>
      <c r="AE917" s="77"/>
      <c r="AF917" s="75"/>
      <c r="AG917" s="78"/>
      <c r="AH917" s="79"/>
      <c r="AI917" s="74"/>
      <c r="AJ917" s="75"/>
      <c r="AK917" s="75"/>
      <c r="AL917" s="80">
        <f t="shared" si="204"/>
        <v>0</v>
      </c>
      <c r="AM917" s="74"/>
      <c r="AN917" s="74"/>
      <c r="AO917" s="81" t="str">
        <f t="shared" si="205"/>
        <v/>
      </c>
      <c r="AP917" s="82"/>
      <c r="AQ917" s="75"/>
      <c r="AR917" s="75"/>
      <c r="AS917" s="80">
        <f t="shared" si="206"/>
        <v>0</v>
      </c>
      <c r="AT917" s="74"/>
      <c r="AU917" s="75"/>
      <c r="AV917" s="75"/>
      <c r="AW917" s="75"/>
      <c r="AX917" s="80">
        <f t="shared" si="207"/>
        <v>0</v>
      </c>
      <c r="AY917" s="81" t="str">
        <f t="shared" si="208"/>
        <v/>
      </c>
      <c r="AZ917" s="83" t="str">
        <f t="shared" si="209"/>
        <v/>
      </c>
      <c r="BA917" s="80" t="str">
        <f t="shared" si="210"/>
        <v/>
      </c>
      <c r="BB917" s="84">
        <f t="shared" si="211"/>
        <v>0</v>
      </c>
      <c r="BC917" s="85" t="str">
        <f t="shared" si="212"/>
        <v/>
      </c>
      <c r="BD917" s="86" t="str">
        <f t="shared" si="213"/>
        <v/>
      </c>
      <c r="BE917" s="84">
        <f t="shared" si="214"/>
        <v>0</v>
      </c>
      <c r="BF917" s="87" t="str">
        <f t="shared" si="215"/>
        <v/>
      </c>
      <c r="BG917" s="88" t="str">
        <f t="shared" si="216"/>
        <v/>
      </c>
      <c r="BH917" s="89" t="str">
        <f t="shared" si="217"/>
        <v/>
      </c>
      <c r="BI917" s="90" t="str">
        <f t="shared" si="218"/>
        <v/>
      </c>
      <c r="BJ917" s="90" t="str">
        <f t="shared" si="219"/>
        <v/>
      </c>
      <c r="BK917" s="91">
        <f t="shared" si="220"/>
        <v>0</v>
      </c>
      <c r="BL917" s="92">
        <f t="shared" si="221"/>
        <v>0</v>
      </c>
      <c r="BM917" s="95"/>
    </row>
    <row r="918" spans="1:65">
      <c r="A918" s="61">
        <f t="shared" si="198"/>
        <v>0</v>
      </c>
      <c r="B918" s="62"/>
      <c r="C918" s="62"/>
      <c r="D918" s="63"/>
      <c r="E918" s="64"/>
      <c r="F918" s="64"/>
      <c r="G918" s="65"/>
      <c r="H918" s="66" t="str">
        <f t="shared" si="199"/>
        <v/>
      </c>
      <c r="I918" s="67" t="str">
        <f t="shared" si="200"/>
        <v/>
      </c>
      <c r="J918" s="68" t="str">
        <f t="shared" si="201"/>
        <v/>
      </c>
      <c r="K918" s="69" t="str">
        <f t="shared" si="202"/>
        <v/>
      </c>
      <c r="L918" s="70" t="str">
        <f t="shared" si="203"/>
        <v/>
      </c>
      <c r="M918" s="71"/>
      <c r="N918" s="71"/>
      <c r="O918" s="71"/>
      <c r="P918" s="71"/>
      <c r="Q918" s="61"/>
      <c r="R918" s="63"/>
      <c r="S918" s="72"/>
      <c r="T918" s="61"/>
      <c r="U918" s="73"/>
      <c r="V918" s="62"/>
      <c r="W918" s="62"/>
      <c r="X918" s="62"/>
      <c r="Y918" s="93"/>
      <c r="Z918" s="94"/>
      <c r="AA918" s="74"/>
      <c r="AB918" s="75"/>
      <c r="AC918" s="75"/>
      <c r="AD918" s="76"/>
      <c r="AE918" s="77"/>
      <c r="AF918" s="75"/>
      <c r="AG918" s="78"/>
      <c r="AH918" s="79"/>
      <c r="AI918" s="74"/>
      <c r="AJ918" s="75"/>
      <c r="AK918" s="75"/>
      <c r="AL918" s="80">
        <f t="shared" si="204"/>
        <v>0</v>
      </c>
      <c r="AM918" s="74"/>
      <c r="AN918" s="74"/>
      <c r="AO918" s="81" t="str">
        <f t="shared" si="205"/>
        <v/>
      </c>
      <c r="AP918" s="82"/>
      <c r="AQ918" s="75"/>
      <c r="AR918" s="75"/>
      <c r="AS918" s="80">
        <f t="shared" si="206"/>
        <v>0</v>
      </c>
      <c r="AT918" s="74"/>
      <c r="AU918" s="75"/>
      <c r="AV918" s="75"/>
      <c r="AW918" s="75"/>
      <c r="AX918" s="80">
        <f t="shared" si="207"/>
        <v>0</v>
      </c>
      <c r="AY918" s="81" t="str">
        <f t="shared" si="208"/>
        <v/>
      </c>
      <c r="AZ918" s="83" t="str">
        <f t="shared" si="209"/>
        <v/>
      </c>
      <c r="BA918" s="80" t="str">
        <f t="shared" si="210"/>
        <v/>
      </c>
      <c r="BB918" s="84">
        <f t="shared" si="211"/>
        <v>0</v>
      </c>
      <c r="BC918" s="85" t="str">
        <f t="shared" si="212"/>
        <v/>
      </c>
      <c r="BD918" s="86" t="str">
        <f t="shared" si="213"/>
        <v/>
      </c>
      <c r="BE918" s="84">
        <f t="shared" si="214"/>
        <v>0</v>
      </c>
      <c r="BF918" s="87" t="str">
        <f t="shared" si="215"/>
        <v/>
      </c>
      <c r="BG918" s="88" t="str">
        <f t="shared" si="216"/>
        <v/>
      </c>
      <c r="BH918" s="89" t="str">
        <f t="shared" si="217"/>
        <v/>
      </c>
      <c r="BI918" s="90" t="str">
        <f t="shared" si="218"/>
        <v/>
      </c>
      <c r="BJ918" s="90" t="str">
        <f t="shared" si="219"/>
        <v/>
      </c>
      <c r="BK918" s="91">
        <f t="shared" si="220"/>
        <v>0</v>
      </c>
      <c r="BL918" s="92">
        <f t="shared" si="221"/>
        <v>0</v>
      </c>
      <c r="BM918" s="95"/>
    </row>
    <row r="919" spans="1:65">
      <c r="A919" s="61">
        <f t="shared" si="198"/>
        <v>0</v>
      </c>
      <c r="B919" s="62"/>
      <c r="C919" s="62"/>
      <c r="D919" s="63"/>
      <c r="E919" s="64"/>
      <c r="F919" s="64"/>
      <c r="G919" s="65"/>
      <c r="H919" s="66" t="str">
        <f t="shared" si="199"/>
        <v/>
      </c>
      <c r="I919" s="67" t="str">
        <f t="shared" si="200"/>
        <v/>
      </c>
      <c r="J919" s="68" t="str">
        <f t="shared" si="201"/>
        <v/>
      </c>
      <c r="K919" s="69" t="str">
        <f t="shared" si="202"/>
        <v/>
      </c>
      <c r="L919" s="70" t="str">
        <f t="shared" si="203"/>
        <v/>
      </c>
      <c r="M919" s="71"/>
      <c r="N919" s="71"/>
      <c r="O919" s="71"/>
      <c r="P919" s="71"/>
      <c r="Q919" s="61"/>
      <c r="R919" s="63"/>
      <c r="S919" s="72"/>
      <c r="T919" s="61"/>
      <c r="U919" s="73"/>
      <c r="V919" s="62"/>
      <c r="W919" s="62"/>
      <c r="X919" s="62"/>
      <c r="Y919" s="93"/>
      <c r="Z919" s="94"/>
      <c r="AA919" s="74"/>
      <c r="AB919" s="75"/>
      <c r="AC919" s="75"/>
      <c r="AD919" s="76"/>
      <c r="AE919" s="77"/>
      <c r="AF919" s="75"/>
      <c r="AG919" s="78"/>
      <c r="AH919" s="79"/>
      <c r="AI919" s="74"/>
      <c r="AJ919" s="75"/>
      <c r="AK919" s="75"/>
      <c r="AL919" s="80">
        <f t="shared" si="204"/>
        <v>0</v>
      </c>
      <c r="AM919" s="74"/>
      <c r="AN919" s="74"/>
      <c r="AO919" s="81" t="str">
        <f t="shared" si="205"/>
        <v/>
      </c>
      <c r="AP919" s="82"/>
      <c r="AQ919" s="75"/>
      <c r="AR919" s="75"/>
      <c r="AS919" s="80">
        <f t="shared" si="206"/>
        <v>0</v>
      </c>
      <c r="AT919" s="74"/>
      <c r="AU919" s="75"/>
      <c r="AV919" s="75"/>
      <c r="AW919" s="75"/>
      <c r="AX919" s="80">
        <f t="shared" si="207"/>
        <v>0</v>
      </c>
      <c r="AY919" s="81" t="str">
        <f t="shared" si="208"/>
        <v/>
      </c>
      <c r="AZ919" s="83" t="str">
        <f t="shared" si="209"/>
        <v/>
      </c>
      <c r="BA919" s="80" t="str">
        <f t="shared" si="210"/>
        <v/>
      </c>
      <c r="BB919" s="84">
        <f t="shared" si="211"/>
        <v>0</v>
      </c>
      <c r="BC919" s="85" t="str">
        <f t="shared" si="212"/>
        <v/>
      </c>
      <c r="BD919" s="86" t="str">
        <f t="shared" si="213"/>
        <v/>
      </c>
      <c r="BE919" s="84">
        <f t="shared" si="214"/>
        <v>0</v>
      </c>
      <c r="BF919" s="87" t="str">
        <f t="shared" si="215"/>
        <v/>
      </c>
      <c r="BG919" s="88" t="str">
        <f t="shared" si="216"/>
        <v/>
      </c>
      <c r="BH919" s="89" t="str">
        <f t="shared" si="217"/>
        <v/>
      </c>
      <c r="BI919" s="90" t="str">
        <f t="shared" si="218"/>
        <v/>
      </c>
      <c r="BJ919" s="90" t="str">
        <f t="shared" si="219"/>
        <v/>
      </c>
      <c r="BK919" s="91">
        <f t="shared" si="220"/>
        <v>0</v>
      </c>
      <c r="BL919" s="92">
        <f t="shared" si="221"/>
        <v>0</v>
      </c>
      <c r="BM919" s="95"/>
    </row>
    <row r="920" spans="1:65">
      <c r="A920" s="61">
        <f t="shared" si="198"/>
        <v>0</v>
      </c>
      <c r="B920" s="62"/>
      <c r="C920" s="62"/>
      <c r="D920" s="63"/>
      <c r="E920" s="64"/>
      <c r="F920" s="64"/>
      <c r="G920" s="65"/>
      <c r="H920" s="66" t="str">
        <f t="shared" si="199"/>
        <v/>
      </c>
      <c r="I920" s="67" t="str">
        <f t="shared" si="200"/>
        <v/>
      </c>
      <c r="J920" s="68" t="str">
        <f t="shared" si="201"/>
        <v/>
      </c>
      <c r="K920" s="69" t="str">
        <f t="shared" si="202"/>
        <v/>
      </c>
      <c r="L920" s="70" t="str">
        <f t="shared" si="203"/>
        <v/>
      </c>
      <c r="M920" s="71"/>
      <c r="N920" s="71"/>
      <c r="O920" s="71"/>
      <c r="P920" s="71"/>
      <c r="Q920" s="61"/>
      <c r="R920" s="63"/>
      <c r="S920" s="72"/>
      <c r="T920" s="61"/>
      <c r="U920" s="73"/>
      <c r="V920" s="62"/>
      <c r="W920" s="62"/>
      <c r="X920" s="62"/>
      <c r="Y920" s="93"/>
      <c r="Z920" s="94"/>
      <c r="AA920" s="74"/>
      <c r="AB920" s="75"/>
      <c r="AC920" s="75"/>
      <c r="AD920" s="76"/>
      <c r="AE920" s="77"/>
      <c r="AF920" s="75"/>
      <c r="AG920" s="78"/>
      <c r="AH920" s="79"/>
      <c r="AI920" s="74"/>
      <c r="AJ920" s="75"/>
      <c r="AK920" s="75"/>
      <c r="AL920" s="80">
        <f t="shared" si="204"/>
        <v>0</v>
      </c>
      <c r="AM920" s="74"/>
      <c r="AN920" s="74"/>
      <c r="AO920" s="81" t="str">
        <f t="shared" si="205"/>
        <v/>
      </c>
      <c r="AP920" s="82"/>
      <c r="AQ920" s="75"/>
      <c r="AR920" s="75"/>
      <c r="AS920" s="80">
        <f t="shared" si="206"/>
        <v>0</v>
      </c>
      <c r="AT920" s="74"/>
      <c r="AU920" s="75"/>
      <c r="AV920" s="75"/>
      <c r="AW920" s="75"/>
      <c r="AX920" s="80">
        <f t="shared" si="207"/>
        <v>0</v>
      </c>
      <c r="AY920" s="81" t="str">
        <f t="shared" si="208"/>
        <v/>
      </c>
      <c r="AZ920" s="83" t="str">
        <f t="shared" si="209"/>
        <v/>
      </c>
      <c r="BA920" s="80" t="str">
        <f t="shared" si="210"/>
        <v/>
      </c>
      <c r="BB920" s="84">
        <f t="shared" si="211"/>
        <v>0</v>
      </c>
      <c r="BC920" s="85" t="str">
        <f t="shared" si="212"/>
        <v/>
      </c>
      <c r="BD920" s="86" t="str">
        <f t="shared" si="213"/>
        <v/>
      </c>
      <c r="BE920" s="84">
        <f t="shared" si="214"/>
        <v>0</v>
      </c>
      <c r="BF920" s="87" t="str">
        <f t="shared" si="215"/>
        <v/>
      </c>
      <c r="BG920" s="88" t="str">
        <f t="shared" si="216"/>
        <v/>
      </c>
      <c r="BH920" s="89" t="str">
        <f t="shared" si="217"/>
        <v/>
      </c>
      <c r="BI920" s="90" t="str">
        <f t="shared" si="218"/>
        <v/>
      </c>
      <c r="BJ920" s="90" t="str">
        <f t="shared" si="219"/>
        <v/>
      </c>
      <c r="BK920" s="91">
        <f t="shared" si="220"/>
        <v>0</v>
      </c>
      <c r="BL920" s="92">
        <f t="shared" si="221"/>
        <v>0</v>
      </c>
      <c r="BM920" s="95"/>
    </row>
    <row r="921" spans="1:65">
      <c r="A921" s="61">
        <f t="shared" si="198"/>
        <v>0</v>
      </c>
      <c r="B921" s="62"/>
      <c r="C921" s="62"/>
      <c r="D921" s="63"/>
      <c r="E921" s="64"/>
      <c r="F921" s="64"/>
      <c r="G921" s="65"/>
      <c r="H921" s="66" t="str">
        <f t="shared" si="199"/>
        <v/>
      </c>
      <c r="I921" s="67" t="str">
        <f t="shared" si="200"/>
        <v/>
      </c>
      <c r="J921" s="68" t="str">
        <f t="shared" si="201"/>
        <v/>
      </c>
      <c r="K921" s="69" t="str">
        <f t="shared" si="202"/>
        <v/>
      </c>
      <c r="L921" s="70" t="str">
        <f t="shared" si="203"/>
        <v/>
      </c>
      <c r="M921" s="71"/>
      <c r="N921" s="71"/>
      <c r="O921" s="71"/>
      <c r="P921" s="71"/>
      <c r="Q921" s="61"/>
      <c r="R921" s="63"/>
      <c r="S921" s="72"/>
      <c r="T921" s="61"/>
      <c r="U921" s="73"/>
      <c r="V921" s="62"/>
      <c r="W921" s="62"/>
      <c r="X921" s="62"/>
      <c r="Y921" s="93"/>
      <c r="Z921" s="94"/>
      <c r="AA921" s="74"/>
      <c r="AB921" s="75"/>
      <c r="AC921" s="75"/>
      <c r="AD921" s="76"/>
      <c r="AE921" s="77"/>
      <c r="AF921" s="75"/>
      <c r="AG921" s="78"/>
      <c r="AH921" s="79"/>
      <c r="AI921" s="74"/>
      <c r="AJ921" s="75"/>
      <c r="AK921" s="75"/>
      <c r="AL921" s="80">
        <f t="shared" si="204"/>
        <v>0</v>
      </c>
      <c r="AM921" s="74"/>
      <c r="AN921" s="74"/>
      <c r="AO921" s="81" t="str">
        <f t="shared" si="205"/>
        <v/>
      </c>
      <c r="AP921" s="82"/>
      <c r="AQ921" s="75"/>
      <c r="AR921" s="75"/>
      <c r="AS921" s="80">
        <f t="shared" si="206"/>
        <v>0</v>
      </c>
      <c r="AT921" s="74"/>
      <c r="AU921" s="75"/>
      <c r="AV921" s="75"/>
      <c r="AW921" s="75"/>
      <c r="AX921" s="80">
        <f t="shared" si="207"/>
        <v>0</v>
      </c>
      <c r="AY921" s="81" t="str">
        <f t="shared" si="208"/>
        <v/>
      </c>
      <c r="AZ921" s="83" t="str">
        <f t="shared" si="209"/>
        <v/>
      </c>
      <c r="BA921" s="80" t="str">
        <f t="shared" si="210"/>
        <v/>
      </c>
      <c r="BB921" s="84">
        <f t="shared" si="211"/>
        <v>0</v>
      </c>
      <c r="BC921" s="85" t="str">
        <f t="shared" si="212"/>
        <v/>
      </c>
      <c r="BD921" s="86" t="str">
        <f t="shared" si="213"/>
        <v/>
      </c>
      <c r="BE921" s="84">
        <f t="shared" si="214"/>
        <v>0</v>
      </c>
      <c r="BF921" s="87" t="str">
        <f t="shared" si="215"/>
        <v/>
      </c>
      <c r="BG921" s="88" t="str">
        <f t="shared" si="216"/>
        <v/>
      </c>
      <c r="BH921" s="89" t="str">
        <f t="shared" si="217"/>
        <v/>
      </c>
      <c r="BI921" s="90" t="str">
        <f t="shared" si="218"/>
        <v/>
      </c>
      <c r="BJ921" s="90" t="str">
        <f t="shared" si="219"/>
        <v/>
      </c>
      <c r="BK921" s="91">
        <f t="shared" si="220"/>
        <v>0</v>
      </c>
      <c r="BL921" s="92">
        <f t="shared" si="221"/>
        <v>0</v>
      </c>
      <c r="BM921" s="95"/>
    </row>
    <row r="922" spans="1:65">
      <c r="A922" s="61">
        <f t="shared" si="198"/>
        <v>0</v>
      </c>
      <c r="B922" s="62"/>
      <c r="C922" s="62"/>
      <c r="D922" s="63"/>
      <c r="E922" s="64"/>
      <c r="F922" s="64"/>
      <c r="G922" s="65"/>
      <c r="H922" s="66" t="str">
        <f t="shared" si="199"/>
        <v/>
      </c>
      <c r="I922" s="67" t="str">
        <f t="shared" si="200"/>
        <v/>
      </c>
      <c r="J922" s="68" t="str">
        <f t="shared" si="201"/>
        <v/>
      </c>
      <c r="K922" s="69" t="str">
        <f t="shared" si="202"/>
        <v/>
      </c>
      <c r="L922" s="70" t="str">
        <f t="shared" si="203"/>
        <v/>
      </c>
      <c r="M922" s="71"/>
      <c r="N922" s="71"/>
      <c r="O922" s="71"/>
      <c r="P922" s="71"/>
      <c r="Q922" s="61"/>
      <c r="R922" s="63"/>
      <c r="S922" s="72"/>
      <c r="T922" s="61"/>
      <c r="U922" s="73"/>
      <c r="V922" s="62"/>
      <c r="W922" s="62"/>
      <c r="X922" s="62"/>
      <c r="Y922" s="93"/>
      <c r="Z922" s="94"/>
      <c r="AA922" s="74"/>
      <c r="AB922" s="75"/>
      <c r="AC922" s="75"/>
      <c r="AD922" s="76"/>
      <c r="AE922" s="77"/>
      <c r="AF922" s="75"/>
      <c r="AG922" s="78"/>
      <c r="AH922" s="79"/>
      <c r="AI922" s="74"/>
      <c r="AJ922" s="75"/>
      <c r="AK922" s="75"/>
      <c r="AL922" s="80">
        <f t="shared" si="204"/>
        <v>0</v>
      </c>
      <c r="AM922" s="74"/>
      <c r="AN922" s="74"/>
      <c r="AO922" s="81" t="str">
        <f t="shared" si="205"/>
        <v/>
      </c>
      <c r="AP922" s="82"/>
      <c r="AQ922" s="75"/>
      <c r="AR922" s="75"/>
      <c r="AS922" s="80">
        <f t="shared" si="206"/>
        <v>0</v>
      </c>
      <c r="AT922" s="74"/>
      <c r="AU922" s="75"/>
      <c r="AV922" s="75"/>
      <c r="AW922" s="75"/>
      <c r="AX922" s="80">
        <f t="shared" si="207"/>
        <v>0</v>
      </c>
      <c r="AY922" s="81" t="str">
        <f t="shared" si="208"/>
        <v/>
      </c>
      <c r="AZ922" s="83" t="str">
        <f t="shared" si="209"/>
        <v/>
      </c>
      <c r="BA922" s="80" t="str">
        <f t="shared" si="210"/>
        <v/>
      </c>
      <c r="BB922" s="84">
        <f t="shared" si="211"/>
        <v>0</v>
      </c>
      <c r="BC922" s="85" t="str">
        <f t="shared" si="212"/>
        <v/>
      </c>
      <c r="BD922" s="86" t="str">
        <f t="shared" si="213"/>
        <v/>
      </c>
      <c r="BE922" s="84">
        <f t="shared" si="214"/>
        <v>0</v>
      </c>
      <c r="BF922" s="87" t="str">
        <f t="shared" si="215"/>
        <v/>
      </c>
      <c r="BG922" s="88" t="str">
        <f t="shared" si="216"/>
        <v/>
      </c>
      <c r="BH922" s="89" t="str">
        <f t="shared" si="217"/>
        <v/>
      </c>
      <c r="BI922" s="90" t="str">
        <f t="shared" si="218"/>
        <v/>
      </c>
      <c r="BJ922" s="90" t="str">
        <f t="shared" si="219"/>
        <v/>
      </c>
      <c r="BK922" s="91">
        <f t="shared" si="220"/>
        <v>0</v>
      </c>
      <c r="BL922" s="92">
        <f t="shared" si="221"/>
        <v>0</v>
      </c>
      <c r="BM922" s="95"/>
    </row>
    <row r="923" spans="1:65">
      <c r="A923" s="61">
        <f t="shared" si="198"/>
        <v>0</v>
      </c>
      <c r="B923" s="62"/>
      <c r="C923" s="62"/>
      <c r="D923" s="63"/>
      <c r="E923" s="64"/>
      <c r="F923" s="64"/>
      <c r="G923" s="65"/>
      <c r="H923" s="66" t="str">
        <f t="shared" si="199"/>
        <v/>
      </c>
      <c r="I923" s="67" t="str">
        <f t="shared" si="200"/>
        <v/>
      </c>
      <c r="J923" s="68" t="str">
        <f t="shared" si="201"/>
        <v/>
      </c>
      <c r="K923" s="69" t="str">
        <f t="shared" si="202"/>
        <v/>
      </c>
      <c r="L923" s="70" t="str">
        <f t="shared" si="203"/>
        <v/>
      </c>
      <c r="M923" s="71"/>
      <c r="N923" s="71"/>
      <c r="O923" s="71"/>
      <c r="P923" s="71"/>
      <c r="Q923" s="61"/>
      <c r="R923" s="63"/>
      <c r="S923" s="72"/>
      <c r="T923" s="61"/>
      <c r="U923" s="73"/>
      <c r="V923" s="62"/>
      <c r="W923" s="62"/>
      <c r="X923" s="62"/>
      <c r="Y923" s="93"/>
      <c r="Z923" s="94"/>
      <c r="AA923" s="74"/>
      <c r="AB923" s="75"/>
      <c r="AC923" s="75"/>
      <c r="AD923" s="76"/>
      <c r="AE923" s="77"/>
      <c r="AF923" s="75"/>
      <c r="AG923" s="78"/>
      <c r="AH923" s="79"/>
      <c r="AI923" s="74"/>
      <c r="AJ923" s="75"/>
      <c r="AK923" s="75"/>
      <c r="AL923" s="80">
        <f t="shared" si="204"/>
        <v>0</v>
      </c>
      <c r="AM923" s="74"/>
      <c r="AN923" s="74"/>
      <c r="AO923" s="81" t="str">
        <f t="shared" si="205"/>
        <v/>
      </c>
      <c r="AP923" s="82"/>
      <c r="AQ923" s="75"/>
      <c r="AR923" s="75"/>
      <c r="AS923" s="80">
        <f t="shared" si="206"/>
        <v>0</v>
      </c>
      <c r="AT923" s="74"/>
      <c r="AU923" s="75"/>
      <c r="AV923" s="75"/>
      <c r="AW923" s="75"/>
      <c r="AX923" s="80">
        <f t="shared" si="207"/>
        <v>0</v>
      </c>
      <c r="AY923" s="81" t="str">
        <f t="shared" si="208"/>
        <v/>
      </c>
      <c r="AZ923" s="83" t="str">
        <f t="shared" si="209"/>
        <v/>
      </c>
      <c r="BA923" s="80" t="str">
        <f t="shared" si="210"/>
        <v/>
      </c>
      <c r="BB923" s="84">
        <f t="shared" si="211"/>
        <v>0</v>
      </c>
      <c r="BC923" s="85" t="str">
        <f t="shared" si="212"/>
        <v/>
      </c>
      <c r="BD923" s="86" t="str">
        <f t="shared" si="213"/>
        <v/>
      </c>
      <c r="BE923" s="84">
        <f t="shared" si="214"/>
        <v>0</v>
      </c>
      <c r="BF923" s="87" t="str">
        <f t="shared" si="215"/>
        <v/>
      </c>
      <c r="BG923" s="88" t="str">
        <f t="shared" si="216"/>
        <v/>
      </c>
      <c r="BH923" s="89" t="str">
        <f t="shared" si="217"/>
        <v/>
      </c>
      <c r="BI923" s="90" t="str">
        <f t="shared" si="218"/>
        <v/>
      </c>
      <c r="BJ923" s="90" t="str">
        <f t="shared" si="219"/>
        <v/>
      </c>
      <c r="BK923" s="91">
        <f t="shared" si="220"/>
        <v>0</v>
      </c>
      <c r="BL923" s="92">
        <f t="shared" si="221"/>
        <v>0</v>
      </c>
      <c r="BM923" s="95"/>
    </row>
    <row r="924" spans="1:65">
      <c r="A924" s="61">
        <f t="shared" si="198"/>
        <v>0</v>
      </c>
      <c r="B924" s="62"/>
      <c r="C924" s="62"/>
      <c r="D924" s="63"/>
      <c r="E924" s="64"/>
      <c r="F924" s="64"/>
      <c r="G924" s="65"/>
      <c r="H924" s="66" t="str">
        <f t="shared" si="199"/>
        <v/>
      </c>
      <c r="I924" s="67" t="str">
        <f t="shared" si="200"/>
        <v/>
      </c>
      <c r="J924" s="68" t="str">
        <f t="shared" si="201"/>
        <v/>
      </c>
      <c r="K924" s="69" t="str">
        <f t="shared" si="202"/>
        <v/>
      </c>
      <c r="L924" s="70" t="str">
        <f t="shared" si="203"/>
        <v/>
      </c>
      <c r="M924" s="71"/>
      <c r="N924" s="71"/>
      <c r="O924" s="71"/>
      <c r="P924" s="71"/>
      <c r="Q924" s="61"/>
      <c r="R924" s="63"/>
      <c r="S924" s="72"/>
      <c r="T924" s="61"/>
      <c r="U924" s="73"/>
      <c r="V924" s="62"/>
      <c r="W924" s="62"/>
      <c r="X924" s="62"/>
      <c r="Y924" s="93"/>
      <c r="Z924" s="94"/>
      <c r="AA924" s="74"/>
      <c r="AB924" s="75"/>
      <c r="AC924" s="75"/>
      <c r="AD924" s="76"/>
      <c r="AE924" s="77"/>
      <c r="AF924" s="75"/>
      <c r="AG924" s="78"/>
      <c r="AH924" s="79"/>
      <c r="AI924" s="74"/>
      <c r="AJ924" s="75"/>
      <c r="AK924" s="75"/>
      <c r="AL924" s="80">
        <f t="shared" si="204"/>
        <v>0</v>
      </c>
      <c r="AM924" s="74"/>
      <c r="AN924" s="74"/>
      <c r="AO924" s="81" t="str">
        <f t="shared" si="205"/>
        <v/>
      </c>
      <c r="AP924" s="82"/>
      <c r="AQ924" s="75"/>
      <c r="AR924" s="75"/>
      <c r="AS924" s="80">
        <f t="shared" si="206"/>
        <v>0</v>
      </c>
      <c r="AT924" s="74"/>
      <c r="AU924" s="75"/>
      <c r="AV924" s="75"/>
      <c r="AW924" s="75"/>
      <c r="AX924" s="80">
        <f t="shared" si="207"/>
        <v>0</v>
      </c>
      <c r="AY924" s="81" t="str">
        <f t="shared" si="208"/>
        <v/>
      </c>
      <c r="AZ924" s="83" t="str">
        <f t="shared" si="209"/>
        <v/>
      </c>
      <c r="BA924" s="80" t="str">
        <f t="shared" si="210"/>
        <v/>
      </c>
      <c r="BB924" s="84">
        <f t="shared" si="211"/>
        <v>0</v>
      </c>
      <c r="BC924" s="85" t="str">
        <f t="shared" si="212"/>
        <v/>
      </c>
      <c r="BD924" s="86" t="str">
        <f t="shared" si="213"/>
        <v/>
      </c>
      <c r="BE924" s="84">
        <f t="shared" si="214"/>
        <v>0</v>
      </c>
      <c r="BF924" s="87" t="str">
        <f t="shared" si="215"/>
        <v/>
      </c>
      <c r="BG924" s="88" t="str">
        <f t="shared" si="216"/>
        <v/>
      </c>
      <c r="BH924" s="89" t="str">
        <f t="shared" si="217"/>
        <v/>
      </c>
      <c r="BI924" s="90" t="str">
        <f t="shared" si="218"/>
        <v/>
      </c>
      <c r="BJ924" s="90" t="str">
        <f t="shared" si="219"/>
        <v/>
      </c>
      <c r="BK924" s="91">
        <f t="shared" si="220"/>
        <v>0</v>
      </c>
      <c r="BL924" s="92">
        <f t="shared" si="221"/>
        <v>0</v>
      </c>
      <c r="BM924" s="95"/>
    </row>
    <row r="925" spans="1:65">
      <c r="A925" s="61">
        <f t="shared" si="198"/>
        <v>0</v>
      </c>
      <c r="B925" s="62"/>
      <c r="C925" s="62"/>
      <c r="D925" s="63"/>
      <c r="E925" s="64"/>
      <c r="F925" s="64"/>
      <c r="G925" s="65"/>
      <c r="H925" s="66" t="str">
        <f t="shared" si="199"/>
        <v/>
      </c>
      <c r="I925" s="67" t="str">
        <f t="shared" si="200"/>
        <v/>
      </c>
      <c r="J925" s="68" t="str">
        <f t="shared" si="201"/>
        <v/>
      </c>
      <c r="K925" s="69" t="str">
        <f t="shared" si="202"/>
        <v/>
      </c>
      <c r="L925" s="70" t="str">
        <f t="shared" si="203"/>
        <v/>
      </c>
      <c r="M925" s="71"/>
      <c r="N925" s="71"/>
      <c r="O925" s="71"/>
      <c r="P925" s="71"/>
      <c r="Q925" s="61"/>
      <c r="R925" s="63"/>
      <c r="S925" s="72"/>
      <c r="T925" s="61"/>
      <c r="U925" s="73"/>
      <c r="V925" s="62"/>
      <c r="W925" s="62"/>
      <c r="X925" s="62"/>
      <c r="Y925" s="93"/>
      <c r="Z925" s="94"/>
      <c r="AA925" s="74"/>
      <c r="AB925" s="75"/>
      <c r="AC925" s="75"/>
      <c r="AD925" s="76"/>
      <c r="AE925" s="77"/>
      <c r="AF925" s="75"/>
      <c r="AG925" s="78"/>
      <c r="AH925" s="79"/>
      <c r="AI925" s="74"/>
      <c r="AJ925" s="75"/>
      <c r="AK925" s="75"/>
      <c r="AL925" s="80">
        <f t="shared" si="204"/>
        <v>0</v>
      </c>
      <c r="AM925" s="74"/>
      <c r="AN925" s="74"/>
      <c r="AO925" s="81" t="str">
        <f t="shared" si="205"/>
        <v/>
      </c>
      <c r="AP925" s="82"/>
      <c r="AQ925" s="75"/>
      <c r="AR925" s="75"/>
      <c r="AS925" s="80">
        <f t="shared" si="206"/>
        <v>0</v>
      </c>
      <c r="AT925" s="74"/>
      <c r="AU925" s="75"/>
      <c r="AV925" s="75"/>
      <c r="AW925" s="75"/>
      <c r="AX925" s="80">
        <f t="shared" si="207"/>
        <v>0</v>
      </c>
      <c r="AY925" s="81" t="str">
        <f t="shared" si="208"/>
        <v/>
      </c>
      <c r="AZ925" s="83" t="str">
        <f t="shared" si="209"/>
        <v/>
      </c>
      <c r="BA925" s="80" t="str">
        <f t="shared" si="210"/>
        <v/>
      </c>
      <c r="BB925" s="84">
        <f t="shared" si="211"/>
        <v>0</v>
      </c>
      <c r="BC925" s="85" t="str">
        <f t="shared" si="212"/>
        <v/>
      </c>
      <c r="BD925" s="86" t="str">
        <f t="shared" si="213"/>
        <v/>
      </c>
      <c r="BE925" s="84">
        <f t="shared" si="214"/>
        <v>0</v>
      </c>
      <c r="BF925" s="87" t="str">
        <f t="shared" si="215"/>
        <v/>
      </c>
      <c r="BG925" s="88" t="str">
        <f t="shared" si="216"/>
        <v/>
      </c>
      <c r="BH925" s="89" t="str">
        <f t="shared" si="217"/>
        <v/>
      </c>
      <c r="BI925" s="90" t="str">
        <f t="shared" si="218"/>
        <v/>
      </c>
      <c r="BJ925" s="90" t="str">
        <f t="shared" si="219"/>
        <v/>
      </c>
      <c r="BK925" s="91">
        <f t="shared" si="220"/>
        <v>0</v>
      </c>
      <c r="BL925" s="92">
        <f t="shared" si="221"/>
        <v>0</v>
      </c>
      <c r="BM925" s="95"/>
    </row>
    <row r="926" spans="1:65">
      <c r="A926" s="61">
        <f t="shared" si="198"/>
        <v>0</v>
      </c>
      <c r="B926" s="62"/>
      <c r="C926" s="62"/>
      <c r="D926" s="63"/>
      <c r="E926" s="64"/>
      <c r="F926" s="64"/>
      <c r="G926" s="65"/>
      <c r="H926" s="66" t="str">
        <f t="shared" si="199"/>
        <v/>
      </c>
      <c r="I926" s="67" t="str">
        <f t="shared" si="200"/>
        <v/>
      </c>
      <c r="J926" s="68" t="str">
        <f t="shared" si="201"/>
        <v/>
      </c>
      <c r="K926" s="69" t="str">
        <f t="shared" si="202"/>
        <v/>
      </c>
      <c r="L926" s="70" t="str">
        <f t="shared" si="203"/>
        <v/>
      </c>
      <c r="M926" s="71"/>
      <c r="N926" s="71"/>
      <c r="O926" s="71"/>
      <c r="P926" s="71"/>
      <c r="Q926" s="61"/>
      <c r="R926" s="63"/>
      <c r="S926" s="72"/>
      <c r="T926" s="61"/>
      <c r="U926" s="73"/>
      <c r="V926" s="62"/>
      <c r="W926" s="62"/>
      <c r="X926" s="62"/>
      <c r="Y926" s="93"/>
      <c r="Z926" s="94"/>
      <c r="AA926" s="74"/>
      <c r="AB926" s="75"/>
      <c r="AC926" s="75"/>
      <c r="AD926" s="76"/>
      <c r="AE926" s="77"/>
      <c r="AF926" s="75"/>
      <c r="AG926" s="78"/>
      <c r="AH926" s="79"/>
      <c r="AI926" s="74"/>
      <c r="AJ926" s="75"/>
      <c r="AK926" s="75"/>
      <c r="AL926" s="80">
        <f t="shared" si="204"/>
        <v>0</v>
      </c>
      <c r="AM926" s="74"/>
      <c r="AN926" s="74"/>
      <c r="AO926" s="81" t="str">
        <f t="shared" si="205"/>
        <v/>
      </c>
      <c r="AP926" s="82"/>
      <c r="AQ926" s="75"/>
      <c r="AR926" s="75"/>
      <c r="AS926" s="80">
        <f t="shared" si="206"/>
        <v>0</v>
      </c>
      <c r="AT926" s="74"/>
      <c r="AU926" s="75"/>
      <c r="AV926" s="75"/>
      <c r="AW926" s="75"/>
      <c r="AX926" s="80">
        <f t="shared" si="207"/>
        <v>0</v>
      </c>
      <c r="AY926" s="81" t="str">
        <f t="shared" si="208"/>
        <v/>
      </c>
      <c r="AZ926" s="83" t="str">
        <f t="shared" si="209"/>
        <v/>
      </c>
      <c r="BA926" s="80" t="str">
        <f t="shared" si="210"/>
        <v/>
      </c>
      <c r="BB926" s="84">
        <f t="shared" si="211"/>
        <v>0</v>
      </c>
      <c r="BC926" s="85" t="str">
        <f t="shared" si="212"/>
        <v/>
      </c>
      <c r="BD926" s="86" t="str">
        <f t="shared" si="213"/>
        <v/>
      </c>
      <c r="BE926" s="84">
        <f t="shared" si="214"/>
        <v>0</v>
      </c>
      <c r="BF926" s="87" t="str">
        <f t="shared" si="215"/>
        <v/>
      </c>
      <c r="BG926" s="88" t="str">
        <f t="shared" si="216"/>
        <v/>
      </c>
      <c r="BH926" s="89" t="str">
        <f t="shared" si="217"/>
        <v/>
      </c>
      <c r="BI926" s="90" t="str">
        <f t="shared" si="218"/>
        <v/>
      </c>
      <c r="BJ926" s="90" t="str">
        <f t="shared" si="219"/>
        <v/>
      </c>
      <c r="BK926" s="91">
        <f t="shared" si="220"/>
        <v>0</v>
      </c>
      <c r="BL926" s="92">
        <f t="shared" si="221"/>
        <v>0</v>
      </c>
      <c r="BM926" s="95"/>
    </row>
    <row r="927" spans="1:65">
      <c r="A927" s="61">
        <f t="shared" si="198"/>
        <v>0</v>
      </c>
      <c r="B927" s="62"/>
      <c r="C927" s="62"/>
      <c r="D927" s="63"/>
      <c r="E927" s="64"/>
      <c r="F927" s="64"/>
      <c r="G927" s="65"/>
      <c r="H927" s="66" t="str">
        <f t="shared" si="199"/>
        <v/>
      </c>
      <c r="I927" s="67" t="str">
        <f t="shared" si="200"/>
        <v/>
      </c>
      <c r="J927" s="68" t="str">
        <f t="shared" si="201"/>
        <v/>
      </c>
      <c r="K927" s="69" t="str">
        <f t="shared" si="202"/>
        <v/>
      </c>
      <c r="L927" s="70" t="str">
        <f t="shared" si="203"/>
        <v/>
      </c>
      <c r="M927" s="71"/>
      <c r="N927" s="71"/>
      <c r="O927" s="71"/>
      <c r="P927" s="71"/>
      <c r="Q927" s="61"/>
      <c r="R927" s="63"/>
      <c r="S927" s="72"/>
      <c r="T927" s="61"/>
      <c r="U927" s="73"/>
      <c r="V927" s="62"/>
      <c r="W927" s="62"/>
      <c r="X927" s="62"/>
      <c r="Y927" s="93"/>
      <c r="Z927" s="94"/>
      <c r="AA927" s="74"/>
      <c r="AB927" s="75"/>
      <c r="AC927" s="75"/>
      <c r="AD927" s="76"/>
      <c r="AE927" s="77"/>
      <c r="AF927" s="75"/>
      <c r="AG927" s="78"/>
      <c r="AH927" s="79"/>
      <c r="AI927" s="74"/>
      <c r="AJ927" s="75"/>
      <c r="AK927" s="75"/>
      <c r="AL927" s="80">
        <f t="shared" si="204"/>
        <v>0</v>
      </c>
      <c r="AM927" s="74"/>
      <c r="AN927" s="74"/>
      <c r="AO927" s="81" t="str">
        <f t="shared" si="205"/>
        <v/>
      </c>
      <c r="AP927" s="82"/>
      <c r="AQ927" s="75"/>
      <c r="AR927" s="75"/>
      <c r="AS927" s="80">
        <f t="shared" si="206"/>
        <v>0</v>
      </c>
      <c r="AT927" s="74"/>
      <c r="AU927" s="75"/>
      <c r="AV927" s="75"/>
      <c r="AW927" s="75"/>
      <c r="AX927" s="80">
        <f t="shared" si="207"/>
        <v>0</v>
      </c>
      <c r="AY927" s="81" t="str">
        <f t="shared" si="208"/>
        <v/>
      </c>
      <c r="AZ927" s="83" t="str">
        <f t="shared" si="209"/>
        <v/>
      </c>
      <c r="BA927" s="80" t="str">
        <f t="shared" si="210"/>
        <v/>
      </c>
      <c r="BB927" s="84">
        <f t="shared" si="211"/>
        <v>0</v>
      </c>
      <c r="BC927" s="85" t="str">
        <f t="shared" si="212"/>
        <v/>
      </c>
      <c r="BD927" s="86" t="str">
        <f t="shared" si="213"/>
        <v/>
      </c>
      <c r="BE927" s="84">
        <f t="shared" si="214"/>
        <v>0</v>
      </c>
      <c r="BF927" s="87" t="str">
        <f t="shared" si="215"/>
        <v/>
      </c>
      <c r="BG927" s="88" t="str">
        <f t="shared" si="216"/>
        <v/>
      </c>
      <c r="BH927" s="89" t="str">
        <f t="shared" si="217"/>
        <v/>
      </c>
      <c r="BI927" s="90" t="str">
        <f t="shared" si="218"/>
        <v/>
      </c>
      <c r="BJ927" s="90" t="str">
        <f t="shared" si="219"/>
        <v/>
      </c>
      <c r="BK927" s="91">
        <f t="shared" si="220"/>
        <v>0</v>
      </c>
      <c r="BL927" s="92">
        <f t="shared" si="221"/>
        <v>0</v>
      </c>
      <c r="BM927" s="95"/>
    </row>
    <row r="928" spans="1:65">
      <c r="A928" s="61">
        <f t="shared" si="198"/>
        <v>0</v>
      </c>
      <c r="B928" s="62"/>
      <c r="C928" s="62"/>
      <c r="D928" s="63"/>
      <c r="E928" s="64"/>
      <c r="F928" s="64"/>
      <c r="G928" s="65"/>
      <c r="H928" s="66" t="str">
        <f t="shared" si="199"/>
        <v/>
      </c>
      <c r="I928" s="67" t="str">
        <f t="shared" si="200"/>
        <v/>
      </c>
      <c r="J928" s="68" t="str">
        <f t="shared" si="201"/>
        <v/>
      </c>
      <c r="K928" s="69" t="str">
        <f t="shared" si="202"/>
        <v/>
      </c>
      <c r="L928" s="70" t="str">
        <f t="shared" si="203"/>
        <v/>
      </c>
      <c r="M928" s="71"/>
      <c r="N928" s="71"/>
      <c r="O928" s="71"/>
      <c r="P928" s="71"/>
      <c r="Q928" s="61"/>
      <c r="R928" s="63"/>
      <c r="S928" s="72"/>
      <c r="T928" s="61"/>
      <c r="U928" s="73"/>
      <c r="V928" s="62"/>
      <c r="W928" s="62"/>
      <c r="X928" s="62"/>
      <c r="Y928" s="93"/>
      <c r="Z928" s="94"/>
      <c r="AA928" s="74"/>
      <c r="AB928" s="75"/>
      <c r="AC928" s="75"/>
      <c r="AD928" s="76"/>
      <c r="AE928" s="77"/>
      <c r="AF928" s="75"/>
      <c r="AG928" s="78"/>
      <c r="AH928" s="79"/>
      <c r="AI928" s="74"/>
      <c r="AJ928" s="75"/>
      <c r="AK928" s="75"/>
      <c r="AL928" s="80">
        <f t="shared" si="204"/>
        <v>0</v>
      </c>
      <c r="AM928" s="74"/>
      <c r="AN928" s="74"/>
      <c r="AO928" s="81" t="str">
        <f t="shared" si="205"/>
        <v/>
      </c>
      <c r="AP928" s="82"/>
      <c r="AQ928" s="75"/>
      <c r="AR928" s="75"/>
      <c r="AS928" s="80">
        <f t="shared" si="206"/>
        <v>0</v>
      </c>
      <c r="AT928" s="74"/>
      <c r="AU928" s="75"/>
      <c r="AV928" s="75"/>
      <c r="AW928" s="75"/>
      <c r="AX928" s="80">
        <f t="shared" si="207"/>
        <v>0</v>
      </c>
      <c r="AY928" s="81" t="str">
        <f t="shared" si="208"/>
        <v/>
      </c>
      <c r="AZ928" s="83" t="str">
        <f t="shared" si="209"/>
        <v/>
      </c>
      <c r="BA928" s="80" t="str">
        <f t="shared" si="210"/>
        <v/>
      </c>
      <c r="BB928" s="84">
        <f t="shared" si="211"/>
        <v>0</v>
      </c>
      <c r="BC928" s="85" t="str">
        <f t="shared" si="212"/>
        <v/>
      </c>
      <c r="BD928" s="86" t="str">
        <f t="shared" si="213"/>
        <v/>
      </c>
      <c r="BE928" s="84">
        <f t="shared" si="214"/>
        <v>0</v>
      </c>
      <c r="BF928" s="87" t="str">
        <f t="shared" si="215"/>
        <v/>
      </c>
      <c r="BG928" s="88" t="str">
        <f t="shared" si="216"/>
        <v/>
      </c>
      <c r="BH928" s="89" t="str">
        <f t="shared" si="217"/>
        <v/>
      </c>
      <c r="BI928" s="90" t="str">
        <f t="shared" si="218"/>
        <v/>
      </c>
      <c r="BJ928" s="90" t="str">
        <f t="shared" si="219"/>
        <v/>
      </c>
      <c r="BK928" s="91">
        <f t="shared" si="220"/>
        <v>0</v>
      </c>
      <c r="BL928" s="92">
        <f t="shared" si="221"/>
        <v>0</v>
      </c>
      <c r="BM928" s="95"/>
    </row>
    <row r="929" spans="1:65">
      <c r="A929" s="61">
        <f t="shared" si="198"/>
        <v>0</v>
      </c>
      <c r="B929" s="62"/>
      <c r="C929" s="62"/>
      <c r="D929" s="63"/>
      <c r="E929" s="64"/>
      <c r="F929" s="64"/>
      <c r="G929" s="65"/>
      <c r="H929" s="66" t="str">
        <f t="shared" si="199"/>
        <v/>
      </c>
      <c r="I929" s="67" t="str">
        <f t="shared" si="200"/>
        <v/>
      </c>
      <c r="J929" s="68" t="str">
        <f t="shared" si="201"/>
        <v/>
      </c>
      <c r="K929" s="69" t="str">
        <f t="shared" si="202"/>
        <v/>
      </c>
      <c r="L929" s="70" t="str">
        <f t="shared" si="203"/>
        <v/>
      </c>
      <c r="M929" s="71"/>
      <c r="N929" s="71"/>
      <c r="O929" s="71"/>
      <c r="P929" s="71"/>
      <c r="Q929" s="61"/>
      <c r="R929" s="63"/>
      <c r="S929" s="72"/>
      <c r="T929" s="61"/>
      <c r="U929" s="73"/>
      <c r="V929" s="62"/>
      <c r="W929" s="62"/>
      <c r="X929" s="62"/>
      <c r="Y929" s="93"/>
      <c r="Z929" s="94"/>
      <c r="AA929" s="74"/>
      <c r="AB929" s="75"/>
      <c r="AC929" s="75"/>
      <c r="AD929" s="76"/>
      <c r="AE929" s="77"/>
      <c r="AF929" s="75"/>
      <c r="AG929" s="78"/>
      <c r="AH929" s="79"/>
      <c r="AI929" s="74"/>
      <c r="AJ929" s="75"/>
      <c r="AK929" s="75"/>
      <c r="AL929" s="80">
        <f t="shared" si="204"/>
        <v>0</v>
      </c>
      <c r="AM929" s="74"/>
      <c r="AN929" s="74"/>
      <c r="AO929" s="81" t="str">
        <f t="shared" si="205"/>
        <v/>
      </c>
      <c r="AP929" s="82"/>
      <c r="AQ929" s="75"/>
      <c r="AR929" s="75"/>
      <c r="AS929" s="80">
        <f t="shared" si="206"/>
        <v>0</v>
      </c>
      <c r="AT929" s="74"/>
      <c r="AU929" s="75"/>
      <c r="AV929" s="75"/>
      <c r="AW929" s="75"/>
      <c r="AX929" s="80">
        <f t="shared" si="207"/>
        <v>0</v>
      </c>
      <c r="AY929" s="81" t="str">
        <f t="shared" si="208"/>
        <v/>
      </c>
      <c r="AZ929" s="83" t="str">
        <f t="shared" si="209"/>
        <v/>
      </c>
      <c r="BA929" s="80" t="str">
        <f t="shared" si="210"/>
        <v/>
      </c>
      <c r="BB929" s="84">
        <f t="shared" si="211"/>
        <v>0</v>
      </c>
      <c r="BC929" s="85" t="str">
        <f t="shared" si="212"/>
        <v/>
      </c>
      <c r="BD929" s="86" t="str">
        <f t="shared" si="213"/>
        <v/>
      </c>
      <c r="BE929" s="84">
        <f t="shared" si="214"/>
        <v>0</v>
      </c>
      <c r="BF929" s="87" t="str">
        <f t="shared" si="215"/>
        <v/>
      </c>
      <c r="BG929" s="88" t="str">
        <f t="shared" si="216"/>
        <v/>
      </c>
      <c r="BH929" s="89" t="str">
        <f t="shared" si="217"/>
        <v/>
      </c>
      <c r="BI929" s="90" t="str">
        <f t="shared" si="218"/>
        <v/>
      </c>
      <c r="BJ929" s="90" t="str">
        <f t="shared" si="219"/>
        <v/>
      </c>
      <c r="BK929" s="91">
        <f t="shared" si="220"/>
        <v>0</v>
      </c>
      <c r="BL929" s="92">
        <f t="shared" si="221"/>
        <v>0</v>
      </c>
      <c r="BM929" s="95"/>
    </row>
    <row r="930" spans="1:65">
      <c r="A930" s="61">
        <f t="shared" ref="A930:A993" si="222">B930</f>
        <v>0</v>
      </c>
      <c r="B930" s="62"/>
      <c r="C930" s="62"/>
      <c r="D930" s="63"/>
      <c r="E930" s="64"/>
      <c r="F930" s="64"/>
      <c r="G930" s="65"/>
      <c r="H930" s="66" t="str">
        <f t="shared" si="199"/>
        <v/>
      </c>
      <c r="I930" s="67" t="str">
        <f t="shared" si="200"/>
        <v/>
      </c>
      <c r="J930" s="68" t="str">
        <f t="shared" si="201"/>
        <v/>
      </c>
      <c r="K930" s="69" t="str">
        <f t="shared" si="202"/>
        <v/>
      </c>
      <c r="L930" s="70" t="str">
        <f t="shared" si="203"/>
        <v/>
      </c>
      <c r="M930" s="71"/>
      <c r="N930" s="71"/>
      <c r="O930" s="71"/>
      <c r="P930" s="71"/>
      <c r="Q930" s="61"/>
      <c r="R930" s="63"/>
      <c r="S930" s="72"/>
      <c r="T930" s="61"/>
      <c r="U930" s="73"/>
      <c r="V930" s="62"/>
      <c r="W930" s="62"/>
      <c r="X930" s="62"/>
      <c r="Y930" s="93"/>
      <c r="Z930" s="94"/>
      <c r="AA930" s="74"/>
      <c r="AB930" s="75"/>
      <c r="AC930" s="75"/>
      <c r="AD930" s="76"/>
      <c r="AE930" s="77"/>
      <c r="AF930" s="75"/>
      <c r="AG930" s="78"/>
      <c r="AH930" s="79"/>
      <c r="AI930" s="74"/>
      <c r="AJ930" s="75"/>
      <c r="AK930" s="75"/>
      <c r="AL930" s="80">
        <f t="shared" si="204"/>
        <v>0</v>
      </c>
      <c r="AM930" s="74"/>
      <c r="AN930" s="74"/>
      <c r="AO930" s="81" t="str">
        <f t="shared" si="205"/>
        <v/>
      </c>
      <c r="AP930" s="82"/>
      <c r="AQ930" s="75"/>
      <c r="AR930" s="75"/>
      <c r="AS930" s="80">
        <f t="shared" si="206"/>
        <v>0</v>
      </c>
      <c r="AT930" s="74"/>
      <c r="AU930" s="75"/>
      <c r="AV930" s="75"/>
      <c r="AW930" s="75"/>
      <c r="AX930" s="80">
        <f t="shared" si="207"/>
        <v>0</v>
      </c>
      <c r="AY930" s="81" t="str">
        <f t="shared" si="208"/>
        <v/>
      </c>
      <c r="AZ930" s="83" t="str">
        <f t="shared" si="209"/>
        <v/>
      </c>
      <c r="BA930" s="80" t="str">
        <f t="shared" si="210"/>
        <v/>
      </c>
      <c r="BB930" s="84">
        <f t="shared" si="211"/>
        <v>0</v>
      </c>
      <c r="BC930" s="85" t="str">
        <f t="shared" si="212"/>
        <v/>
      </c>
      <c r="BD930" s="86" t="str">
        <f t="shared" si="213"/>
        <v/>
      </c>
      <c r="BE930" s="84">
        <f t="shared" si="214"/>
        <v>0</v>
      </c>
      <c r="BF930" s="87" t="str">
        <f t="shared" si="215"/>
        <v/>
      </c>
      <c r="BG930" s="88" t="str">
        <f t="shared" si="216"/>
        <v/>
      </c>
      <c r="BH930" s="89" t="str">
        <f t="shared" si="217"/>
        <v/>
      </c>
      <c r="BI930" s="90" t="str">
        <f t="shared" si="218"/>
        <v/>
      </c>
      <c r="BJ930" s="90" t="str">
        <f t="shared" si="219"/>
        <v/>
      </c>
      <c r="BK930" s="91">
        <f t="shared" si="220"/>
        <v>0</v>
      </c>
      <c r="BL930" s="92">
        <f t="shared" si="221"/>
        <v>0</v>
      </c>
      <c r="BM930" s="95"/>
    </row>
    <row r="931" spans="1:65">
      <c r="A931" s="61">
        <f t="shared" si="222"/>
        <v>0</v>
      </c>
      <c r="B931" s="62"/>
      <c r="C931" s="62"/>
      <c r="D931" s="63"/>
      <c r="E931" s="64"/>
      <c r="F931" s="64"/>
      <c r="G931" s="65"/>
      <c r="H931" s="66" t="str">
        <f t="shared" si="199"/>
        <v/>
      </c>
      <c r="I931" s="67" t="str">
        <f t="shared" si="200"/>
        <v/>
      </c>
      <c r="J931" s="68" t="str">
        <f t="shared" si="201"/>
        <v/>
      </c>
      <c r="K931" s="69" t="str">
        <f t="shared" si="202"/>
        <v/>
      </c>
      <c r="L931" s="70" t="str">
        <f t="shared" si="203"/>
        <v/>
      </c>
      <c r="M931" s="71"/>
      <c r="N931" s="71"/>
      <c r="O931" s="71"/>
      <c r="P931" s="71"/>
      <c r="Q931" s="61"/>
      <c r="R931" s="63"/>
      <c r="S931" s="72"/>
      <c r="T931" s="61"/>
      <c r="U931" s="73"/>
      <c r="V931" s="62"/>
      <c r="W931" s="62"/>
      <c r="X931" s="62"/>
      <c r="Y931" s="93"/>
      <c r="Z931" s="94"/>
      <c r="AA931" s="74"/>
      <c r="AB931" s="75"/>
      <c r="AC931" s="75"/>
      <c r="AD931" s="76"/>
      <c r="AE931" s="77"/>
      <c r="AF931" s="75"/>
      <c r="AG931" s="78"/>
      <c r="AH931" s="79"/>
      <c r="AI931" s="74"/>
      <c r="AJ931" s="75"/>
      <c r="AK931" s="75"/>
      <c r="AL931" s="80">
        <f t="shared" si="204"/>
        <v>0</v>
      </c>
      <c r="AM931" s="74"/>
      <c r="AN931" s="74"/>
      <c r="AO931" s="81" t="str">
        <f t="shared" si="205"/>
        <v/>
      </c>
      <c r="AP931" s="82"/>
      <c r="AQ931" s="75"/>
      <c r="AR931" s="75"/>
      <c r="AS931" s="80">
        <f t="shared" si="206"/>
        <v>0</v>
      </c>
      <c r="AT931" s="74"/>
      <c r="AU931" s="75"/>
      <c r="AV931" s="75"/>
      <c r="AW931" s="75"/>
      <c r="AX931" s="80">
        <f t="shared" si="207"/>
        <v>0</v>
      </c>
      <c r="AY931" s="81" t="str">
        <f t="shared" si="208"/>
        <v/>
      </c>
      <c r="AZ931" s="83" t="str">
        <f t="shared" si="209"/>
        <v/>
      </c>
      <c r="BA931" s="80" t="str">
        <f t="shared" si="210"/>
        <v/>
      </c>
      <c r="BB931" s="84">
        <f t="shared" si="211"/>
        <v>0</v>
      </c>
      <c r="BC931" s="85" t="str">
        <f t="shared" si="212"/>
        <v/>
      </c>
      <c r="BD931" s="86" t="str">
        <f t="shared" si="213"/>
        <v/>
      </c>
      <c r="BE931" s="84">
        <f t="shared" si="214"/>
        <v>0</v>
      </c>
      <c r="BF931" s="87" t="str">
        <f t="shared" si="215"/>
        <v/>
      </c>
      <c r="BG931" s="88" t="str">
        <f t="shared" si="216"/>
        <v/>
      </c>
      <c r="BH931" s="89" t="str">
        <f t="shared" si="217"/>
        <v/>
      </c>
      <c r="BI931" s="90" t="str">
        <f t="shared" si="218"/>
        <v/>
      </c>
      <c r="BJ931" s="90" t="str">
        <f t="shared" si="219"/>
        <v/>
      </c>
      <c r="BK931" s="91">
        <f t="shared" si="220"/>
        <v>0</v>
      </c>
      <c r="BL931" s="92">
        <f t="shared" si="221"/>
        <v>0</v>
      </c>
      <c r="BM931" s="95"/>
    </row>
    <row r="932" spans="1:65">
      <c r="A932" s="61">
        <f t="shared" si="222"/>
        <v>0</v>
      </c>
      <c r="B932" s="62"/>
      <c r="C932" s="62"/>
      <c r="D932" s="63"/>
      <c r="E932" s="64"/>
      <c r="F932" s="64"/>
      <c r="G932" s="65"/>
      <c r="H932" s="66" t="str">
        <f t="shared" si="199"/>
        <v/>
      </c>
      <c r="I932" s="67" t="str">
        <f t="shared" si="200"/>
        <v/>
      </c>
      <c r="J932" s="68" t="str">
        <f t="shared" si="201"/>
        <v/>
      </c>
      <c r="K932" s="69" t="str">
        <f t="shared" si="202"/>
        <v/>
      </c>
      <c r="L932" s="70" t="str">
        <f t="shared" si="203"/>
        <v/>
      </c>
      <c r="M932" s="71"/>
      <c r="N932" s="71"/>
      <c r="O932" s="71"/>
      <c r="P932" s="71"/>
      <c r="Q932" s="61"/>
      <c r="R932" s="63"/>
      <c r="S932" s="72"/>
      <c r="T932" s="61"/>
      <c r="U932" s="73"/>
      <c r="V932" s="62"/>
      <c r="W932" s="62"/>
      <c r="X932" s="62"/>
      <c r="Y932" s="93"/>
      <c r="Z932" s="94"/>
      <c r="AA932" s="74"/>
      <c r="AB932" s="75"/>
      <c r="AC932" s="75"/>
      <c r="AD932" s="76"/>
      <c r="AE932" s="77"/>
      <c r="AF932" s="75"/>
      <c r="AG932" s="78"/>
      <c r="AH932" s="79"/>
      <c r="AI932" s="74"/>
      <c r="AJ932" s="75"/>
      <c r="AK932" s="75"/>
      <c r="AL932" s="80">
        <f t="shared" si="204"/>
        <v>0</v>
      </c>
      <c r="AM932" s="74"/>
      <c r="AN932" s="74"/>
      <c r="AO932" s="81" t="str">
        <f t="shared" si="205"/>
        <v/>
      </c>
      <c r="AP932" s="82"/>
      <c r="AQ932" s="75"/>
      <c r="AR932" s="75"/>
      <c r="AS932" s="80">
        <f t="shared" si="206"/>
        <v>0</v>
      </c>
      <c r="AT932" s="74"/>
      <c r="AU932" s="75"/>
      <c r="AV932" s="75"/>
      <c r="AW932" s="75"/>
      <c r="AX932" s="80">
        <f t="shared" si="207"/>
        <v>0</v>
      </c>
      <c r="AY932" s="81" t="str">
        <f t="shared" si="208"/>
        <v/>
      </c>
      <c r="AZ932" s="83" t="str">
        <f t="shared" si="209"/>
        <v/>
      </c>
      <c r="BA932" s="80" t="str">
        <f t="shared" si="210"/>
        <v/>
      </c>
      <c r="BB932" s="84">
        <f t="shared" si="211"/>
        <v>0</v>
      </c>
      <c r="BC932" s="85" t="str">
        <f t="shared" si="212"/>
        <v/>
      </c>
      <c r="BD932" s="86" t="str">
        <f t="shared" si="213"/>
        <v/>
      </c>
      <c r="BE932" s="84">
        <f t="shared" si="214"/>
        <v>0</v>
      </c>
      <c r="BF932" s="87" t="str">
        <f t="shared" si="215"/>
        <v/>
      </c>
      <c r="BG932" s="88" t="str">
        <f t="shared" si="216"/>
        <v/>
      </c>
      <c r="BH932" s="89" t="str">
        <f t="shared" si="217"/>
        <v/>
      </c>
      <c r="BI932" s="90" t="str">
        <f t="shared" si="218"/>
        <v/>
      </c>
      <c r="BJ932" s="90" t="str">
        <f t="shared" si="219"/>
        <v/>
      </c>
      <c r="BK932" s="91">
        <f t="shared" si="220"/>
        <v>0</v>
      </c>
      <c r="BL932" s="92">
        <f t="shared" si="221"/>
        <v>0</v>
      </c>
      <c r="BM932" s="95"/>
    </row>
    <row r="933" spans="1:65">
      <c r="A933" s="61">
        <f t="shared" si="222"/>
        <v>0</v>
      </c>
      <c r="B933" s="62"/>
      <c r="C933" s="62"/>
      <c r="D933" s="63"/>
      <c r="E933" s="64"/>
      <c r="F933" s="64"/>
      <c r="G933" s="65"/>
      <c r="H933" s="66" t="str">
        <f t="shared" si="199"/>
        <v/>
      </c>
      <c r="I933" s="67" t="str">
        <f t="shared" si="200"/>
        <v/>
      </c>
      <c r="J933" s="68" t="str">
        <f t="shared" si="201"/>
        <v/>
      </c>
      <c r="K933" s="69" t="str">
        <f t="shared" si="202"/>
        <v/>
      </c>
      <c r="L933" s="70" t="str">
        <f t="shared" si="203"/>
        <v/>
      </c>
      <c r="M933" s="71"/>
      <c r="N933" s="71"/>
      <c r="O933" s="71"/>
      <c r="P933" s="71"/>
      <c r="Q933" s="61"/>
      <c r="R933" s="63"/>
      <c r="S933" s="72"/>
      <c r="T933" s="61"/>
      <c r="U933" s="73"/>
      <c r="V933" s="62"/>
      <c r="W933" s="62"/>
      <c r="X933" s="62"/>
      <c r="Y933" s="93"/>
      <c r="Z933" s="94"/>
      <c r="AA933" s="74"/>
      <c r="AB933" s="75"/>
      <c r="AC933" s="75"/>
      <c r="AD933" s="76"/>
      <c r="AE933" s="77"/>
      <c r="AF933" s="75"/>
      <c r="AG933" s="78"/>
      <c r="AH933" s="79"/>
      <c r="AI933" s="74"/>
      <c r="AJ933" s="75"/>
      <c r="AK933" s="75"/>
      <c r="AL933" s="80">
        <f t="shared" si="204"/>
        <v>0</v>
      </c>
      <c r="AM933" s="74"/>
      <c r="AN933" s="74"/>
      <c r="AO933" s="81" t="str">
        <f t="shared" si="205"/>
        <v/>
      </c>
      <c r="AP933" s="82"/>
      <c r="AQ933" s="75"/>
      <c r="AR933" s="75"/>
      <c r="AS933" s="80">
        <f t="shared" si="206"/>
        <v>0</v>
      </c>
      <c r="AT933" s="74"/>
      <c r="AU933" s="75"/>
      <c r="AV933" s="75"/>
      <c r="AW933" s="75"/>
      <c r="AX933" s="80">
        <f t="shared" si="207"/>
        <v>0</v>
      </c>
      <c r="AY933" s="81" t="str">
        <f t="shared" si="208"/>
        <v/>
      </c>
      <c r="AZ933" s="83" t="str">
        <f t="shared" si="209"/>
        <v/>
      </c>
      <c r="BA933" s="80" t="str">
        <f t="shared" si="210"/>
        <v/>
      </c>
      <c r="BB933" s="84">
        <f t="shared" si="211"/>
        <v>0</v>
      </c>
      <c r="BC933" s="85" t="str">
        <f t="shared" si="212"/>
        <v/>
      </c>
      <c r="BD933" s="86" t="str">
        <f t="shared" si="213"/>
        <v/>
      </c>
      <c r="BE933" s="84">
        <f t="shared" si="214"/>
        <v>0</v>
      </c>
      <c r="BF933" s="87" t="str">
        <f t="shared" si="215"/>
        <v/>
      </c>
      <c r="BG933" s="88" t="str">
        <f t="shared" si="216"/>
        <v/>
      </c>
      <c r="BH933" s="89" t="str">
        <f t="shared" si="217"/>
        <v/>
      </c>
      <c r="BI933" s="90" t="str">
        <f t="shared" si="218"/>
        <v/>
      </c>
      <c r="BJ933" s="90" t="str">
        <f t="shared" si="219"/>
        <v/>
      </c>
      <c r="BK933" s="91">
        <f t="shared" si="220"/>
        <v>0</v>
      </c>
      <c r="BL933" s="92">
        <f t="shared" si="221"/>
        <v>0</v>
      </c>
      <c r="BM933" s="95"/>
    </row>
    <row r="934" spans="1:65">
      <c r="A934" s="61">
        <f t="shared" si="222"/>
        <v>0</v>
      </c>
      <c r="B934" s="62"/>
      <c r="C934" s="62"/>
      <c r="D934" s="63"/>
      <c r="E934" s="64"/>
      <c r="F934" s="64"/>
      <c r="G934" s="65"/>
      <c r="H934" s="66" t="str">
        <f t="shared" si="199"/>
        <v/>
      </c>
      <c r="I934" s="67" t="str">
        <f t="shared" si="200"/>
        <v/>
      </c>
      <c r="J934" s="68" t="str">
        <f t="shared" si="201"/>
        <v/>
      </c>
      <c r="K934" s="69" t="str">
        <f t="shared" si="202"/>
        <v/>
      </c>
      <c r="L934" s="70" t="str">
        <f t="shared" si="203"/>
        <v/>
      </c>
      <c r="M934" s="71"/>
      <c r="N934" s="71"/>
      <c r="O934" s="71"/>
      <c r="P934" s="71"/>
      <c r="Q934" s="61"/>
      <c r="R934" s="63"/>
      <c r="S934" s="72"/>
      <c r="T934" s="61"/>
      <c r="U934" s="73"/>
      <c r="V934" s="62"/>
      <c r="W934" s="62"/>
      <c r="X934" s="62"/>
      <c r="Y934" s="93"/>
      <c r="Z934" s="94"/>
      <c r="AA934" s="74"/>
      <c r="AB934" s="75"/>
      <c r="AC934" s="75"/>
      <c r="AD934" s="76"/>
      <c r="AE934" s="77"/>
      <c r="AF934" s="75"/>
      <c r="AG934" s="78"/>
      <c r="AH934" s="79"/>
      <c r="AI934" s="74"/>
      <c r="AJ934" s="75"/>
      <c r="AK934" s="75"/>
      <c r="AL934" s="80">
        <f t="shared" si="204"/>
        <v>0</v>
      </c>
      <c r="AM934" s="74"/>
      <c r="AN934" s="74"/>
      <c r="AO934" s="81" t="str">
        <f t="shared" si="205"/>
        <v/>
      </c>
      <c r="AP934" s="82"/>
      <c r="AQ934" s="75"/>
      <c r="AR934" s="75"/>
      <c r="AS934" s="80">
        <f t="shared" si="206"/>
        <v>0</v>
      </c>
      <c r="AT934" s="74"/>
      <c r="AU934" s="75"/>
      <c r="AV934" s="75"/>
      <c r="AW934" s="75"/>
      <c r="AX934" s="80">
        <f t="shared" si="207"/>
        <v>0</v>
      </c>
      <c r="AY934" s="81" t="str">
        <f t="shared" si="208"/>
        <v/>
      </c>
      <c r="AZ934" s="83" t="str">
        <f t="shared" si="209"/>
        <v/>
      </c>
      <c r="BA934" s="80" t="str">
        <f t="shared" si="210"/>
        <v/>
      </c>
      <c r="BB934" s="84">
        <f t="shared" si="211"/>
        <v>0</v>
      </c>
      <c r="BC934" s="85" t="str">
        <f t="shared" si="212"/>
        <v/>
      </c>
      <c r="BD934" s="86" t="str">
        <f t="shared" si="213"/>
        <v/>
      </c>
      <c r="BE934" s="84">
        <f t="shared" si="214"/>
        <v>0</v>
      </c>
      <c r="BF934" s="87" t="str">
        <f t="shared" si="215"/>
        <v/>
      </c>
      <c r="BG934" s="88" t="str">
        <f t="shared" si="216"/>
        <v/>
      </c>
      <c r="BH934" s="89" t="str">
        <f t="shared" si="217"/>
        <v/>
      </c>
      <c r="BI934" s="90" t="str">
        <f t="shared" si="218"/>
        <v/>
      </c>
      <c r="BJ934" s="90" t="str">
        <f t="shared" si="219"/>
        <v/>
      </c>
      <c r="BK934" s="91">
        <f t="shared" si="220"/>
        <v>0</v>
      </c>
      <c r="BL934" s="92">
        <f t="shared" si="221"/>
        <v>0</v>
      </c>
      <c r="BM934" s="95"/>
    </row>
    <row r="935" spans="1:65">
      <c r="A935" s="61">
        <f t="shared" si="222"/>
        <v>0</v>
      </c>
      <c r="B935" s="62"/>
      <c r="C935" s="62"/>
      <c r="D935" s="63"/>
      <c r="E935" s="64"/>
      <c r="F935" s="64"/>
      <c r="G935" s="65"/>
      <c r="H935" s="66" t="str">
        <f t="shared" si="199"/>
        <v/>
      </c>
      <c r="I935" s="67" t="str">
        <f t="shared" si="200"/>
        <v/>
      </c>
      <c r="J935" s="68" t="str">
        <f t="shared" si="201"/>
        <v/>
      </c>
      <c r="K935" s="69" t="str">
        <f t="shared" si="202"/>
        <v/>
      </c>
      <c r="L935" s="70" t="str">
        <f t="shared" si="203"/>
        <v/>
      </c>
      <c r="M935" s="71"/>
      <c r="N935" s="71"/>
      <c r="O935" s="71"/>
      <c r="P935" s="71"/>
      <c r="Q935" s="61"/>
      <c r="R935" s="63"/>
      <c r="S935" s="72"/>
      <c r="T935" s="61"/>
      <c r="U935" s="73"/>
      <c r="V935" s="62"/>
      <c r="W935" s="62"/>
      <c r="X935" s="62"/>
      <c r="Y935" s="93"/>
      <c r="Z935" s="94"/>
      <c r="AA935" s="74"/>
      <c r="AB935" s="75"/>
      <c r="AC935" s="75"/>
      <c r="AD935" s="76"/>
      <c r="AE935" s="77"/>
      <c r="AF935" s="75"/>
      <c r="AG935" s="78"/>
      <c r="AH935" s="79"/>
      <c r="AI935" s="74"/>
      <c r="AJ935" s="75"/>
      <c r="AK935" s="75"/>
      <c r="AL935" s="80">
        <f t="shared" si="204"/>
        <v>0</v>
      </c>
      <c r="AM935" s="74"/>
      <c r="AN935" s="74"/>
      <c r="AO935" s="81" t="str">
        <f t="shared" si="205"/>
        <v/>
      </c>
      <c r="AP935" s="82"/>
      <c r="AQ935" s="75"/>
      <c r="AR935" s="75"/>
      <c r="AS935" s="80">
        <f t="shared" si="206"/>
        <v>0</v>
      </c>
      <c r="AT935" s="74"/>
      <c r="AU935" s="75"/>
      <c r="AV935" s="75"/>
      <c r="AW935" s="75"/>
      <c r="AX935" s="80">
        <f t="shared" si="207"/>
        <v>0</v>
      </c>
      <c r="AY935" s="81" t="str">
        <f t="shared" si="208"/>
        <v/>
      </c>
      <c r="AZ935" s="83" t="str">
        <f t="shared" si="209"/>
        <v/>
      </c>
      <c r="BA935" s="80" t="str">
        <f t="shared" si="210"/>
        <v/>
      </c>
      <c r="BB935" s="84">
        <f t="shared" si="211"/>
        <v>0</v>
      </c>
      <c r="BC935" s="85" t="str">
        <f t="shared" si="212"/>
        <v/>
      </c>
      <c r="BD935" s="86" t="str">
        <f t="shared" si="213"/>
        <v/>
      </c>
      <c r="BE935" s="84">
        <f t="shared" si="214"/>
        <v>0</v>
      </c>
      <c r="BF935" s="87" t="str">
        <f t="shared" si="215"/>
        <v/>
      </c>
      <c r="BG935" s="88" t="str">
        <f t="shared" si="216"/>
        <v/>
      </c>
      <c r="BH935" s="89" t="str">
        <f t="shared" si="217"/>
        <v/>
      </c>
      <c r="BI935" s="90" t="str">
        <f t="shared" si="218"/>
        <v/>
      </c>
      <c r="BJ935" s="90" t="str">
        <f t="shared" si="219"/>
        <v/>
      </c>
      <c r="BK935" s="91">
        <f t="shared" si="220"/>
        <v>0</v>
      </c>
      <c r="BL935" s="92">
        <f t="shared" si="221"/>
        <v>0</v>
      </c>
      <c r="BM935" s="95"/>
    </row>
    <row r="936" spans="1:65">
      <c r="A936" s="61">
        <f t="shared" si="222"/>
        <v>0</v>
      </c>
      <c r="B936" s="62"/>
      <c r="C936" s="62"/>
      <c r="D936" s="63"/>
      <c r="E936" s="64"/>
      <c r="F936" s="64"/>
      <c r="G936" s="65"/>
      <c r="H936" s="66" t="str">
        <f t="shared" si="199"/>
        <v/>
      </c>
      <c r="I936" s="67" t="str">
        <f t="shared" si="200"/>
        <v/>
      </c>
      <c r="J936" s="68" t="str">
        <f t="shared" si="201"/>
        <v/>
      </c>
      <c r="K936" s="69" t="str">
        <f t="shared" si="202"/>
        <v/>
      </c>
      <c r="L936" s="70" t="str">
        <f t="shared" si="203"/>
        <v/>
      </c>
      <c r="M936" s="71"/>
      <c r="N936" s="71"/>
      <c r="O936" s="71"/>
      <c r="P936" s="71"/>
      <c r="Q936" s="61"/>
      <c r="R936" s="63"/>
      <c r="S936" s="72"/>
      <c r="T936" s="61"/>
      <c r="U936" s="73"/>
      <c r="V936" s="62"/>
      <c r="W936" s="62"/>
      <c r="X936" s="62"/>
      <c r="Y936" s="93"/>
      <c r="Z936" s="94"/>
      <c r="AA936" s="74"/>
      <c r="AB936" s="75"/>
      <c r="AC936" s="75"/>
      <c r="AD936" s="76"/>
      <c r="AE936" s="77"/>
      <c r="AF936" s="75"/>
      <c r="AG936" s="78"/>
      <c r="AH936" s="79"/>
      <c r="AI936" s="74"/>
      <c r="AJ936" s="75"/>
      <c r="AK936" s="75"/>
      <c r="AL936" s="80">
        <f t="shared" si="204"/>
        <v>0</v>
      </c>
      <c r="AM936" s="74"/>
      <c r="AN936" s="74"/>
      <c r="AO936" s="81" t="str">
        <f t="shared" si="205"/>
        <v/>
      </c>
      <c r="AP936" s="82"/>
      <c r="AQ936" s="75"/>
      <c r="AR936" s="75"/>
      <c r="AS936" s="80">
        <f t="shared" si="206"/>
        <v>0</v>
      </c>
      <c r="AT936" s="74"/>
      <c r="AU936" s="75"/>
      <c r="AV936" s="75"/>
      <c r="AW936" s="75"/>
      <c r="AX936" s="80">
        <f t="shared" si="207"/>
        <v>0</v>
      </c>
      <c r="AY936" s="81" t="str">
        <f t="shared" si="208"/>
        <v/>
      </c>
      <c r="AZ936" s="83" t="str">
        <f t="shared" si="209"/>
        <v/>
      </c>
      <c r="BA936" s="80" t="str">
        <f t="shared" si="210"/>
        <v/>
      </c>
      <c r="BB936" s="84">
        <f t="shared" si="211"/>
        <v>0</v>
      </c>
      <c r="BC936" s="85" t="str">
        <f t="shared" si="212"/>
        <v/>
      </c>
      <c r="BD936" s="86" t="str">
        <f t="shared" si="213"/>
        <v/>
      </c>
      <c r="BE936" s="84">
        <f t="shared" si="214"/>
        <v>0</v>
      </c>
      <c r="BF936" s="87" t="str">
        <f t="shared" si="215"/>
        <v/>
      </c>
      <c r="BG936" s="88" t="str">
        <f t="shared" si="216"/>
        <v/>
      </c>
      <c r="BH936" s="89" t="str">
        <f t="shared" si="217"/>
        <v/>
      </c>
      <c r="BI936" s="90" t="str">
        <f t="shared" si="218"/>
        <v/>
      </c>
      <c r="BJ936" s="90" t="str">
        <f t="shared" si="219"/>
        <v/>
      </c>
      <c r="BK936" s="91">
        <f t="shared" si="220"/>
        <v>0</v>
      </c>
      <c r="BL936" s="92">
        <f t="shared" si="221"/>
        <v>0</v>
      </c>
      <c r="BM936" s="95"/>
    </row>
    <row r="937" spans="1:65">
      <c r="A937" s="61">
        <f t="shared" si="222"/>
        <v>0</v>
      </c>
      <c r="B937" s="62"/>
      <c r="C937" s="62"/>
      <c r="D937" s="63"/>
      <c r="E937" s="64"/>
      <c r="F937" s="64"/>
      <c r="G937" s="65"/>
      <c r="H937" s="66" t="str">
        <f t="shared" si="199"/>
        <v/>
      </c>
      <c r="I937" s="67" t="str">
        <f t="shared" si="200"/>
        <v/>
      </c>
      <c r="J937" s="68" t="str">
        <f t="shared" si="201"/>
        <v/>
      </c>
      <c r="K937" s="69" t="str">
        <f t="shared" si="202"/>
        <v/>
      </c>
      <c r="L937" s="70" t="str">
        <f t="shared" si="203"/>
        <v/>
      </c>
      <c r="M937" s="71"/>
      <c r="N937" s="71"/>
      <c r="O937" s="71"/>
      <c r="P937" s="71"/>
      <c r="Q937" s="61"/>
      <c r="R937" s="63"/>
      <c r="S937" s="72"/>
      <c r="T937" s="61"/>
      <c r="U937" s="73"/>
      <c r="V937" s="62"/>
      <c r="W937" s="62"/>
      <c r="X937" s="62"/>
      <c r="Y937" s="93"/>
      <c r="Z937" s="94"/>
      <c r="AA937" s="74"/>
      <c r="AB937" s="75"/>
      <c r="AC937" s="75"/>
      <c r="AD937" s="76"/>
      <c r="AE937" s="77"/>
      <c r="AF937" s="75"/>
      <c r="AG937" s="78"/>
      <c r="AH937" s="79"/>
      <c r="AI937" s="74"/>
      <c r="AJ937" s="75"/>
      <c r="AK937" s="75"/>
      <c r="AL937" s="80">
        <f t="shared" si="204"/>
        <v>0</v>
      </c>
      <c r="AM937" s="74"/>
      <c r="AN937" s="74"/>
      <c r="AO937" s="81" t="str">
        <f t="shared" si="205"/>
        <v/>
      </c>
      <c r="AP937" s="82"/>
      <c r="AQ937" s="75"/>
      <c r="AR937" s="75"/>
      <c r="AS937" s="80">
        <f t="shared" si="206"/>
        <v>0</v>
      </c>
      <c r="AT937" s="74"/>
      <c r="AU937" s="75"/>
      <c r="AV937" s="75"/>
      <c r="AW937" s="75"/>
      <c r="AX937" s="80">
        <f t="shared" si="207"/>
        <v>0</v>
      </c>
      <c r="AY937" s="81" t="str">
        <f t="shared" si="208"/>
        <v/>
      </c>
      <c r="AZ937" s="83" t="str">
        <f t="shared" si="209"/>
        <v/>
      </c>
      <c r="BA937" s="80" t="str">
        <f t="shared" si="210"/>
        <v/>
      </c>
      <c r="BB937" s="84">
        <f t="shared" si="211"/>
        <v>0</v>
      </c>
      <c r="BC937" s="85" t="str">
        <f t="shared" si="212"/>
        <v/>
      </c>
      <c r="BD937" s="86" t="str">
        <f t="shared" si="213"/>
        <v/>
      </c>
      <c r="BE937" s="84">
        <f t="shared" si="214"/>
        <v>0</v>
      </c>
      <c r="BF937" s="87" t="str">
        <f t="shared" si="215"/>
        <v/>
      </c>
      <c r="BG937" s="88" t="str">
        <f t="shared" si="216"/>
        <v/>
      </c>
      <c r="BH937" s="89" t="str">
        <f t="shared" si="217"/>
        <v/>
      </c>
      <c r="BI937" s="90" t="str">
        <f t="shared" si="218"/>
        <v/>
      </c>
      <c r="BJ937" s="90" t="str">
        <f t="shared" si="219"/>
        <v/>
      </c>
      <c r="BK937" s="91">
        <f t="shared" si="220"/>
        <v>0</v>
      </c>
      <c r="BL937" s="92">
        <f t="shared" si="221"/>
        <v>0</v>
      </c>
      <c r="BM937" s="95"/>
    </row>
    <row r="938" spans="1:65">
      <c r="A938" s="61">
        <f t="shared" si="222"/>
        <v>0</v>
      </c>
      <c r="B938" s="62"/>
      <c r="C938" s="62"/>
      <c r="D938" s="63"/>
      <c r="E938" s="64"/>
      <c r="F938" s="64"/>
      <c r="G938" s="65"/>
      <c r="H938" s="66" t="str">
        <f t="shared" si="199"/>
        <v/>
      </c>
      <c r="I938" s="67" t="str">
        <f t="shared" si="200"/>
        <v/>
      </c>
      <c r="J938" s="68" t="str">
        <f t="shared" si="201"/>
        <v/>
      </c>
      <c r="K938" s="69" t="str">
        <f t="shared" si="202"/>
        <v/>
      </c>
      <c r="L938" s="70" t="str">
        <f t="shared" si="203"/>
        <v/>
      </c>
      <c r="M938" s="71"/>
      <c r="N938" s="71"/>
      <c r="O938" s="71"/>
      <c r="P938" s="71"/>
      <c r="Q938" s="61"/>
      <c r="R938" s="63"/>
      <c r="S938" s="72"/>
      <c r="T938" s="61"/>
      <c r="U938" s="73"/>
      <c r="V938" s="62"/>
      <c r="W938" s="62"/>
      <c r="X938" s="62"/>
      <c r="Y938" s="93"/>
      <c r="Z938" s="94"/>
      <c r="AA938" s="74"/>
      <c r="AB938" s="75"/>
      <c r="AC938" s="75"/>
      <c r="AD938" s="76"/>
      <c r="AE938" s="77"/>
      <c r="AF938" s="75"/>
      <c r="AG938" s="78"/>
      <c r="AH938" s="79"/>
      <c r="AI938" s="74"/>
      <c r="AJ938" s="75"/>
      <c r="AK938" s="75"/>
      <c r="AL938" s="80">
        <f t="shared" si="204"/>
        <v>0</v>
      </c>
      <c r="AM938" s="74"/>
      <c r="AN938" s="74"/>
      <c r="AO938" s="81" t="str">
        <f t="shared" si="205"/>
        <v/>
      </c>
      <c r="AP938" s="82"/>
      <c r="AQ938" s="75"/>
      <c r="AR938" s="75"/>
      <c r="AS938" s="80">
        <f t="shared" si="206"/>
        <v>0</v>
      </c>
      <c r="AT938" s="74"/>
      <c r="AU938" s="75"/>
      <c r="AV938" s="75"/>
      <c r="AW938" s="75"/>
      <c r="AX938" s="80">
        <f t="shared" si="207"/>
        <v>0</v>
      </c>
      <c r="AY938" s="81" t="str">
        <f t="shared" si="208"/>
        <v/>
      </c>
      <c r="AZ938" s="83" t="str">
        <f t="shared" si="209"/>
        <v/>
      </c>
      <c r="BA938" s="80" t="str">
        <f t="shared" si="210"/>
        <v/>
      </c>
      <c r="BB938" s="84">
        <f t="shared" si="211"/>
        <v>0</v>
      </c>
      <c r="BC938" s="85" t="str">
        <f t="shared" si="212"/>
        <v/>
      </c>
      <c r="BD938" s="86" t="str">
        <f t="shared" si="213"/>
        <v/>
      </c>
      <c r="BE938" s="84">
        <f t="shared" si="214"/>
        <v>0</v>
      </c>
      <c r="BF938" s="87" t="str">
        <f t="shared" si="215"/>
        <v/>
      </c>
      <c r="BG938" s="88" t="str">
        <f t="shared" si="216"/>
        <v/>
      </c>
      <c r="BH938" s="89" t="str">
        <f t="shared" si="217"/>
        <v/>
      </c>
      <c r="BI938" s="90" t="str">
        <f t="shared" si="218"/>
        <v/>
      </c>
      <c r="BJ938" s="90" t="str">
        <f t="shared" si="219"/>
        <v/>
      </c>
      <c r="BK938" s="91">
        <f t="shared" si="220"/>
        <v>0</v>
      </c>
      <c r="BL938" s="92">
        <f t="shared" si="221"/>
        <v>0</v>
      </c>
      <c r="BM938" s="95"/>
    </row>
    <row r="939" spans="1:65">
      <c r="A939" s="61">
        <f t="shared" si="222"/>
        <v>0</v>
      </c>
      <c r="B939" s="62"/>
      <c r="C939" s="62"/>
      <c r="D939" s="63"/>
      <c r="E939" s="64"/>
      <c r="F939" s="64"/>
      <c r="G939" s="65"/>
      <c r="H939" s="66" t="str">
        <f t="shared" si="199"/>
        <v/>
      </c>
      <c r="I939" s="67" t="str">
        <f t="shared" si="200"/>
        <v/>
      </c>
      <c r="J939" s="68" t="str">
        <f t="shared" si="201"/>
        <v/>
      </c>
      <c r="K939" s="69" t="str">
        <f t="shared" si="202"/>
        <v/>
      </c>
      <c r="L939" s="70" t="str">
        <f t="shared" si="203"/>
        <v/>
      </c>
      <c r="M939" s="71"/>
      <c r="N939" s="71"/>
      <c r="O939" s="71"/>
      <c r="P939" s="71"/>
      <c r="Q939" s="61"/>
      <c r="R939" s="63"/>
      <c r="S939" s="72"/>
      <c r="T939" s="61"/>
      <c r="U939" s="73"/>
      <c r="V939" s="62"/>
      <c r="W939" s="62"/>
      <c r="X939" s="62"/>
      <c r="Y939" s="93"/>
      <c r="Z939" s="94"/>
      <c r="AA939" s="74"/>
      <c r="AB939" s="75"/>
      <c r="AC939" s="75"/>
      <c r="AD939" s="76"/>
      <c r="AE939" s="77"/>
      <c r="AF939" s="75"/>
      <c r="AG939" s="78"/>
      <c r="AH939" s="79"/>
      <c r="AI939" s="74"/>
      <c r="AJ939" s="75"/>
      <c r="AK939" s="75"/>
      <c r="AL939" s="80">
        <f t="shared" si="204"/>
        <v>0</v>
      </c>
      <c r="AM939" s="74"/>
      <c r="AN939" s="74"/>
      <c r="AO939" s="81" t="str">
        <f t="shared" si="205"/>
        <v/>
      </c>
      <c r="AP939" s="82"/>
      <c r="AQ939" s="75"/>
      <c r="AR939" s="75"/>
      <c r="AS939" s="80">
        <f t="shared" si="206"/>
        <v>0</v>
      </c>
      <c r="AT939" s="74"/>
      <c r="AU939" s="75"/>
      <c r="AV939" s="75"/>
      <c r="AW939" s="75"/>
      <c r="AX939" s="80">
        <f t="shared" si="207"/>
        <v>0</v>
      </c>
      <c r="AY939" s="81" t="str">
        <f t="shared" si="208"/>
        <v/>
      </c>
      <c r="AZ939" s="83" t="str">
        <f t="shared" si="209"/>
        <v/>
      </c>
      <c r="BA939" s="80" t="str">
        <f t="shared" si="210"/>
        <v/>
      </c>
      <c r="BB939" s="84">
        <f t="shared" si="211"/>
        <v>0</v>
      </c>
      <c r="BC939" s="85" t="str">
        <f t="shared" si="212"/>
        <v/>
      </c>
      <c r="BD939" s="86" t="str">
        <f t="shared" si="213"/>
        <v/>
      </c>
      <c r="BE939" s="84">
        <f t="shared" si="214"/>
        <v>0</v>
      </c>
      <c r="BF939" s="87" t="str">
        <f t="shared" si="215"/>
        <v/>
      </c>
      <c r="BG939" s="88" t="str">
        <f t="shared" si="216"/>
        <v/>
      </c>
      <c r="BH939" s="89" t="str">
        <f t="shared" si="217"/>
        <v/>
      </c>
      <c r="BI939" s="90" t="str">
        <f t="shared" si="218"/>
        <v/>
      </c>
      <c r="BJ939" s="90" t="str">
        <f t="shared" si="219"/>
        <v/>
      </c>
      <c r="BK939" s="91">
        <f t="shared" si="220"/>
        <v>0</v>
      </c>
      <c r="BL939" s="92">
        <f t="shared" si="221"/>
        <v>0</v>
      </c>
      <c r="BM939" s="95"/>
    </row>
    <row r="940" spans="1:65">
      <c r="A940" s="61">
        <f t="shared" si="222"/>
        <v>0</v>
      </c>
      <c r="B940" s="62"/>
      <c r="C940" s="62"/>
      <c r="D940" s="63"/>
      <c r="E940" s="64"/>
      <c r="F940" s="64"/>
      <c r="G940" s="65"/>
      <c r="H940" s="66" t="str">
        <f t="shared" si="199"/>
        <v/>
      </c>
      <c r="I940" s="67" t="str">
        <f t="shared" si="200"/>
        <v/>
      </c>
      <c r="J940" s="68" t="str">
        <f t="shared" si="201"/>
        <v/>
      </c>
      <c r="K940" s="69" t="str">
        <f t="shared" si="202"/>
        <v/>
      </c>
      <c r="L940" s="70" t="str">
        <f t="shared" si="203"/>
        <v/>
      </c>
      <c r="M940" s="71"/>
      <c r="N940" s="71"/>
      <c r="O940" s="71"/>
      <c r="P940" s="71"/>
      <c r="Q940" s="61"/>
      <c r="R940" s="63"/>
      <c r="S940" s="72"/>
      <c r="T940" s="61"/>
      <c r="U940" s="73"/>
      <c r="V940" s="62"/>
      <c r="W940" s="62"/>
      <c r="X940" s="62"/>
      <c r="Y940" s="93"/>
      <c r="Z940" s="94"/>
      <c r="AA940" s="74"/>
      <c r="AB940" s="75"/>
      <c r="AC940" s="75"/>
      <c r="AD940" s="76"/>
      <c r="AE940" s="77"/>
      <c r="AF940" s="75"/>
      <c r="AG940" s="78"/>
      <c r="AH940" s="79"/>
      <c r="AI940" s="74"/>
      <c r="AJ940" s="75"/>
      <c r="AK940" s="75"/>
      <c r="AL940" s="80">
        <f t="shared" si="204"/>
        <v>0</v>
      </c>
      <c r="AM940" s="74"/>
      <c r="AN940" s="74"/>
      <c r="AO940" s="81" t="str">
        <f t="shared" si="205"/>
        <v/>
      </c>
      <c r="AP940" s="82"/>
      <c r="AQ940" s="75"/>
      <c r="AR940" s="75"/>
      <c r="AS940" s="80">
        <f t="shared" si="206"/>
        <v>0</v>
      </c>
      <c r="AT940" s="74"/>
      <c r="AU940" s="75"/>
      <c r="AV940" s="75"/>
      <c r="AW940" s="75"/>
      <c r="AX940" s="80">
        <f t="shared" si="207"/>
        <v>0</v>
      </c>
      <c r="AY940" s="81" t="str">
        <f t="shared" si="208"/>
        <v/>
      </c>
      <c r="AZ940" s="83" t="str">
        <f t="shared" si="209"/>
        <v/>
      </c>
      <c r="BA940" s="80" t="str">
        <f t="shared" si="210"/>
        <v/>
      </c>
      <c r="BB940" s="84">
        <f t="shared" si="211"/>
        <v>0</v>
      </c>
      <c r="BC940" s="85" t="str">
        <f t="shared" si="212"/>
        <v/>
      </c>
      <c r="BD940" s="86" t="str">
        <f t="shared" si="213"/>
        <v/>
      </c>
      <c r="BE940" s="84">
        <f t="shared" si="214"/>
        <v>0</v>
      </c>
      <c r="BF940" s="87" t="str">
        <f t="shared" si="215"/>
        <v/>
      </c>
      <c r="BG940" s="88" t="str">
        <f t="shared" si="216"/>
        <v/>
      </c>
      <c r="BH940" s="89" t="str">
        <f t="shared" si="217"/>
        <v/>
      </c>
      <c r="BI940" s="90" t="str">
        <f t="shared" si="218"/>
        <v/>
      </c>
      <c r="BJ940" s="90" t="str">
        <f t="shared" si="219"/>
        <v/>
      </c>
      <c r="BK940" s="91">
        <f t="shared" si="220"/>
        <v>0</v>
      </c>
      <c r="BL940" s="92">
        <f t="shared" si="221"/>
        <v>0</v>
      </c>
      <c r="BM940" s="95"/>
    </row>
    <row r="941" spans="1:65">
      <c r="A941" s="61">
        <f t="shared" si="222"/>
        <v>0</v>
      </c>
      <c r="B941" s="62"/>
      <c r="C941" s="62"/>
      <c r="D941" s="63"/>
      <c r="E941" s="64"/>
      <c r="F941" s="64"/>
      <c r="G941" s="65"/>
      <c r="H941" s="66" t="str">
        <f t="shared" si="199"/>
        <v/>
      </c>
      <c r="I941" s="67" t="str">
        <f t="shared" si="200"/>
        <v/>
      </c>
      <c r="J941" s="68" t="str">
        <f t="shared" si="201"/>
        <v/>
      </c>
      <c r="K941" s="69" t="str">
        <f t="shared" si="202"/>
        <v/>
      </c>
      <c r="L941" s="70" t="str">
        <f t="shared" si="203"/>
        <v/>
      </c>
      <c r="M941" s="71"/>
      <c r="N941" s="71"/>
      <c r="O941" s="71"/>
      <c r="P941" s="71"/>
      <c r="Q941" s="61"/>
      <c r="R941" s="63"/>
      <c r="S941" s="72"/>
      <c r="T941" s="61"/>
      <c r="U941" s="73"/>
      <c r="V941" s="62"/>
      <c r="W941" s="62"/>
      <c r="X941" s="62"/>
      <c r="Y941" s="93"/>
      <c r="Z941" s="94"/>
      <c r="AA941" s="74"/>
      <c r="AB941" s="75"/>
      <c r="AC941" s="75"/>
      <c r="AD941" s="76"/>
      <c r="AE941" s="77"/>
      <c r="AF941" s="75"/>
      <c r="AG941" s="78"/>
      <c r="AH941" s="79"/>
      <c r="AI941" s="74"/>
      <c r="AJ941" s="75"/>
      <c r="AK941" s="75"/>
      <c r="AL941" s="80">
        <f t="shared" si="204"/>
        <v>0</v>
      </c>
      <c r="AM941" s="74"/>
      <c r="AN941" s="74"/>
      <c r="AO941" s="81" t="str">
        <f t="shared" si="205"/>
        <v/>
      </c>
      <c r="AP941" s="82"/>
      <c r="AQ941" s="75"/>
      <c r="AR941" s="75"/>
      <c r="AS941" s="80">
        <f t="shared" si="206"/>
        <v>0</v>
      </c>
      <c r="AT941" s="74"/>
      <c r="AU941" s="75"/>
      <c r="AV941" s="75"/>
      <c r="AW941" s="75"/>
      <c r="AX941" s="80">
        <f t="shared" si="207"/>
        <v>0</v>
      </c>
      <c r="AY941" s="81" t="str">
        <f t="shared" si="208"/>
        <v/>
      </c>
      <c r="AZ941" s="83" t="str">
        <f t="shared" si="209"/>
        <v/>
      </c>
      <c r="BA941" s="80" t="str">
        <f t="shared" si="210"/>
        <v/>
      </c>
      <c r="BB941" s="84">
        <f t="shared" si="211"/>
        <v>0</v>
      </c>
      <c r="BC941" s="85" t="str">
        <f t="shared" si="212"/>
        <v/>
      </c>
      <c r="BD941" s="86" t="str">
        <f t="shared" si="213"/>
        <v/>
      </c>
      <c r="BE941" s="84">
        <f t="shared" si="214"/>
        <v>0</v>
      </c>
      <c r="BF941" s="87" t="str">
        <f t="shared" si="215"/>
        <v/>
      </c>
      <c r="BG941" s="88" t="str">
        <f t="shared" si="216"/>
        <v/>
      </c>
      <c r="BH941" s="89" t="str">
        <f t="shared" si="217"/>
        <v/>
      </c>
      <c r="BI941" s="90" t="str">
        <f t="shared" si="218"/>
        <v/>
      </c>
      <c r="BJ941" s="90" t="str">
        <f t="shared" si="219"/>
        <v/>
      </c>
      <c r="BK941" s="91">
        <f t="shared" si="220"/>
        <v>0</v>
      </c>
      <c r="BL941" s="92">
        <f t="shared" si="221"/>
        <v>0</v>
      </c>
      <c r="BM941" s="95"/>
    </row>
    <row r="942" spans="1:65">
      <c r="A942" s="61">
        <f t="shared" si="222"/>
        <v>0</v>
      </c>
      <c r="B942" s="62"/>
      <c r="C942" s="62"/>
      <c r="D942" s="63"/>
      <c r="E942" s="64"/>
      <c r="F942" s="64"/>
      <c r="G942" s="65"/>
      <c r="H942" s="66" t="str">
        <f t="shared" si="199"/>
        <v/>
      </c>
      <c r="I942" s="67" t="str">
        <f t="shared" si="200"/>
        <v/>
      </c>
      <c r="J942" s="68" t="str">
        <f t="shared" si="201"/>
        <v/>
      </c>
      <c r="K942" s="69" t="str">
        <f t="shared" si="202"/>
        <v/>
      </c>
      <c r="L942" s="70" t="str">
        <f t="shared" si="203"/>
        <v/>
      </c>
      <c r="M942" s="71"/>
      <c r="N942" s="71"/>
      <c r="O942" s="71"/>
      <c r="P942" s="71"/>
      <c r="Q942" s="61"/>
      <c r="R942" s="63"/>
      <c r="S942" s="72"/>
      <c r="T942" s="61"/>
      <c r="U942" s="73"/>
      <c r="V942" s="62"/>
      <c r="W942" s="62"/>
      <c r="X942" s="62"/>
      <c r="Y942" s="93"/>
      <c r="Z942" s="94"/>
      <c r="AA942" s="74"/>
      <c r="AB942" s="75"/>
      <c r="AC942" s="75"/>
      <c r="AD942" s="76"/>
      <c r="AE942" s="77"/>
      <c r="AF942" s="75"/>
      <c r="AG942" s="78"/>
      <c r="AH942" s="79"/>
      <c r="AI942" s="74"/>
      <c r="AJ942" s="75"/>
      <c r="AK942" s="75"/>
      <c r="AL942" s="80">
        <f t="shared" si="204"/>
        <v>0</v>
      </c>
      <c r="AM942" s="74"/>
      <c r="AN942" s="74"/>
      <c r="AO942" s="81" t="str">
        <f t="shared" si="205"/>
        <v/>
      </c>
      <c r="AP942" s="82"/>
      <c r="AQ942" s="75"/>
      <c r="AR942" s="75"/>
      <c r="AS942" s="80">
        <f t="shared" si="206"/>
        <v>0</v>
      </c>
      <c r="AT942" s="74"/>
      <c r="AU942" s="75"/>
      <c r="AV942" s="75"/>
      <c r="AW942" s="75"/>
      <c r="AX942" s="80">
        <f t="shared" si="207"/>
        <v>0</v>
      </c>
      <c r="AY942" s="81" t="str">
        <f t="shared" si="208"/>
        <v/>
      </c>
      <c r="AZ942" s="83" t="str">
        <f t="shared" si="209"/>
        <v/>
      </c>
      <c r="BA942" s="80" t="str">
        <f t="shared" si="210"/>
        <v/>
      </c>
      <c r="BB942" s="84">
        <f t="shared" si="211"/>
        <v>0</v>
      </c>
      <c r="BC942" s="85" t="str">
        <f t="shared" si="212"/>
        <v/>
      </c>
      <c r="BD942" s="86" t="str">
        <f t="shared" si="213"/>
        <v/>
      </c>
      <c r="BE942" s="84">
        <f t="shared" si="214"/>
        <v>0</v>
      </c>
      <c r="BF942" s="87" t="str">
        <f t="shared" si="215"/>
        <v/>
      </c>
      <c r="BG942" s="88" t="str">
        <f t="shared" si="216"/>
        <v/>
      </c>
      <c r="BH942" s="89" t="str">
        <f t="shared" si="217"/>
        <v/>
      </c>
      <c r="BI942" s="90" t="str">
        <f t="shared" si="218"/>
        <v/>
      </c>
      <c r="BJ942" s="90" t="str">
        <f t="shared" si="219"/>
        <v/>
      </c>
      <c r="BK942" s="91">
        <f t="shared" si="220"/>
        <v>0</v>
      </c>
      <c r="BL942" s="92">
        <f t="shared" si="221"/>
        <v>0</v>
      </c>
      <c r="BM942" s="95"/>
    </row>
    <row r="943" spans="1:65">
      <c r="A943" s="61">
        <f t="shared" si="222"/>
        <v>0</v>
      </c>
      <c r="B943" s="62"/>
      <c r="C943" s="62"/>
      <c r="D943" s="63"/>
      <c r="E943" s="64"/>
      <c r="F943" s="64"/>
      <c r="G943" s="65"/>
      <c r="H943" s="66" t="str">
        <f t="shared" si="199"/>
        <v/>
      </c>
      <c r="I943" s="67" t="str">
        <f t="shared" si="200"/>
        <v/>
      </c>
      <c r="J943" s="68" t="str">
        <f t="shared" si="201"/>
        <v/>
      </c>
      <c r="K943" s="69" t="str">
        <f t="shared" si="202"/>
        <v/>
      </c>
      <c r="L943" s="70" t="str">
        <f t="shared" si="203"/>
        <v/>
      </c>
      <c r="M943" s="71"/>
      <c r="N943" s="71"/>
      <c r="O943" s="71"/>
      <c r="P943" s="71"/>
      <c r="Q943" s="61"/>
      <c r="R943" s="63"/>
      <c r="S943" s="72"/>
      <c r="T943" s="61"/>
      <c r="U943" s="73"/>
      <c r="V943" s="62"/>
      <c r="W943" s="62"/>
      <c r="X943" s="62"/>
      <c r="Y943" s="93"/>
      <c r="Z943" s="94"/>
      <c r="AA943" s="74"/>
      <c r="AB943" s="75"/>
      <c r="AC943" s="75"/>
      <c r="AD943" s="76"/>
      <c r="AE943" s="77"/>
      <c r="AF943" s="75"/>
      <c r="AG943" s="78"/>
      <c r="AH943" s="79"/>
      <c r="AI943" s="74"/>
      <c r="AJ943" s="75"/>
      <c r="AK943" s="75"/>
      <c r="AL943" s="80">
        <f t="shared" si="204"/>
        <v>0</v>
      </c>
      <c r="AM943" s="74"/>
      <c r="AN943" s="74"/>
      <c r="AO943" s="81" t="str">
        <f t="shared" si="205"/>
        <v/>
      </c>
      <c r="AP943" s="82"/>
      <c r="AQ943" s="75"/>
      <c r="AR943" s="75"/>
      <c r="AS943" s="80">
        <f t="shared" si="206"/>
        <v>0</v>
      </c>
      <c r="AT943" s="74"/>
      <c r="AU943" s="75"/>
      <c r="AV943" s="75"/>
      <c r="AW943" s="75"/>
      <c r="AX943" s="80">
        <f t="shared" si="207"/>
        <v>0</v>
      </c>
      <c r="AY943" s="81" t="str">
        <f t="shared" si="208"/>
        <v/>
      </c>
      <c r="AZ943" s="83" t="str">
        <f t="shared" si="209"/>
        <v/>
      </c>
      <c r="BA943" s="80" t="str">
        <f t="shared" si="210"/>
        <v/>
      </c>
      <c r="BB943" s="84">
        <f t="shared" si="211"/>
        <v>0</v>
      </c>
      <c r="BC943" s="85" t="str">
        <f t="shared" si="212"/>
        <v/>
      </c>
      <c r="BD943" s="86" t="str">
        <f t="shared" si="213"/>
        <v/>
      </c>
      <c r="BE943" s="84">
        <f t="shared" si="214"/>
        <v>0</v>
      </c>
      <c r="BF943" s="87" t="str">
        <f t="shared" si="215"/>
        <v/>
      </c>
      <c r="BG943" s="88" t="str">
        <f t="shared" si="216"/>
        <v/>
      </c>
      <c r="BH943" s="89" t="str">
        <f t="shared" si="217"/>
        <v/>
      </c>
      <c r="BI943" s="90" t="str">
        <f t="shared" si="218"/>
        <v/>
      </c>
      <c r="BJ943" s="90" t="str">
        <f t="shared" si="219"/>
        <v/>
      </c>
      <c r="BK943" s="91">
        <f t="shared" si="220"/>
        <v>0</v>
      </c>
      <c r="BL943" s="92">
        <f t="shared" si="221"/>
        <v>0</v>
      </c>
      <c r="BM943" s="95"/>
    </row>
    <row r="944" spans="1:65">
      <c r="A944" s="61">
        <f t="shared" si="222"/>
        <v>0</v>
      </c>
      <c r="B944" s="62"/>
      <c r="C944" s="62"/>
      <c r="D944" s="63"/>
      <c r="E944" s="64"/>
      <c r="F944" s="64"/>
      <c r="G944" s="65"/>
      <c r="H944" s="66" t="str">
        <f t="shared" si="199"/>
        <v/>
      </c>
      <c r="I944" s="67" t="str">
        <f t="shared" si="200"/>
        <v/>
      </c>
      <c r="J944" s="68" t="str">
        <f t="shared" si="201"/>
        <v/>
      </c>
      <c r="K944" s="69" t="str">
        <f t="shared" si="202"/>
        <v/>
      </c>
      <c r="L944" s="70" t="str">
        <f t="shared" si="203"/>
        <v/>
      </c>
      <c r="M944" s="71"/>
      <c r="N944" s="71"/>
      <c r="O944" s="71"/>
      <c r="P944" s="71"/>
      <c r="Q944" s="61"/>
      <c r="R944" s="63"/>
      <c r="S944" s="72"/>
      <c r="T944" s="61"/>
      <c r="U944" s="73"/>
      <c r="V944" s="62"/>
      <c r="W944" s="62"/>
      <c r="X944" s="62"/>
      <c r="Y944" s="93"/>
      <c r="Z944" s="94"/>
      <c r="AA944" s="74"/>
      <c r="AB944" s="75"/>
      <c r="AC944" s="75"/>
      <c r="AD944" s="76"/>
      <c r="AE944" s="77"/>
      <c r="AF944" s="75"/>
      <c r="AG944" s="78"/>
      <c r="AH944" s="79"/>
      <c r="AI944" s="74"/>
      <c r="AJ944" s="75"/>
      <c r="AK944" s="75"/>
      <c r="AL944" s="80">
        <f t="shared" si="204"/>
        <v>0</v>
      </c>
      <c r="AM944" s="74"/>
      <c r="AN944" s="74"/>
      <c r="AO944" s="81" t="str">
        <f t="shared" si="205"/>
        <v/>
      </c>
      <c r="AP944" s="82"/>
      <c r="AQ944" s="75"/>
      <c r="AR944" s="75"/>
      <c r="AS944" s="80">
        <f t="shared" si="206"/>
        <v>0</v>
      </c>
      <c r="AT944" s="74"/>
      <c r="AU944" s="75"/>
      <c r="AV944" s="75"/>
      <c r="AW944" s="75"/>
      <c r="AX944" s="80">
        <f t="shared" si="207"/>
        <v>0</v>
      </c>
      <c r="AY944" s="81" t="str">
        <f t="shared" si="208"/>
        <v/>
      </c>
      <c r="AZ944" s="83" t="str">
        <f t="shared" si="209"/>
        <v/>
      </c>
      <c r="BA944" s="80" t="str">
        <f t="shared" si="210"/>
        <v/>
      </c>
      <c r="BB944" s="84">
        <f t="shared" si="211"/>
        <v>0</v>
      </c>
      <c r="BC944" s="85" t="str">
        <f t="shared" si="212"/>
        <v/>
      </c>
      <c r="BD944" s="86" t="str">
        <f t="shared" si="213"/>
        <v/>
      </c>
      <c r="BE944" s="84">
        <f t="shared" si="214"/>
        <v>0</v>
      </c>
      <c r="BF944" s="87" t="str">
        <f t="shared" si="215"/>
        <v/>
      </c>
      <c r="BG944" s="88" t="str">
        <f t="shared" si="216"/>
        <v/>
      </c>
      <c r="BH944" s="89" t="str">
        <f t="shared" si="217"/>
        <v/>
      </c>
      <c r="BI944" s="90" t="str">
        <f t="shared" si="218"/>
        <v/>
      </c>
      <c r="BJ944" s="90" t="str">
        <f t="shared" si="219"/>
        <v/>
      </c>
      <c r="BK944" s="91">
        <f t="shared" si="220"/>
        <v>0</v>
      </c>
      <c r="BL944" s="92">
        <f t="shared" si="221"/>
        <v>0</v>
      </c>
      <c r="BM944" s="95"/>
    </row>
    <row r="945" spans="1:65">
      <c r="A945" s="61">
        <f t="shared" si="222"/>
        <v>0</v>
      </c>
      <c r="B945" s="62"/>
      <c r="C945" s="62"/>
      <c r="D945" s="63"/>
      <c r="E945" s="64"/>
      <c r="F945" s="64"/>
      <c r="G945" s="65"/>
      <c r="H945" s="66" t="str">
        <f t="shared" si="199"/>
        <v/>
      </c>
      <c r="I945" s="67" t="str">
        <f t="shared" si="200"/>
        <v/>
      </c>
      <c r="J945" s="68" t="str">
        <f t="shared" si="201"/>
        <v/>
      </c>
      <c r="K945" s="69" t="str">
        <f t="shared" si="202"/>
        <v/>
      </c>
      <c r="L945" s="70" t="str">
        <f t="shared" si="203"/>
        <v/>
      </c>
      <c r="M945" s="71"/>
      <c r="N945" s="71"/>
      <c r="O945" s="71"/>
      <c r="P945" s="71"/>
      <c r="Q945" s="61"/>
      <c r="R945" s="63"/>
      <c r="S945" s="72"/>
      <c r="T945" s="61"/>
      <c r="U945" s="73"/>
      <c r="V945" s="62"/>
      <c r="W945" s="62"/>
      <c r="X945" s="62"/>
      <c r="Y945" s="93"/>
      <c r="Z945" s="94"/>
      <c r="AA945" s="74"/>
      <c r="AB945" s="75"/>
      <c r="AC945" s="75"/>
      <c r="AD945" s="76"/>
      <c r="AE945" s="77"/>
      <c r="AF945" s="75"/>
      <c r="AG945" s="78"/>
      <c r="AH945" s="79"/>
      <c r="AI945" s="74"/>
      <c r="AJ945" s="75"/>
      <c r="AK945" s="75"/>
      <c r="AL945" s="80">
        <f t="shared" si="204"/>
        <v>0</v>
      </c>
      <c r="AM945" s="74"/>
      <c r="AN945" s="74"/>
      <c r="AO945" s="81" t="str">
        <f t="shared" si="205"/>
        <v/>
      </c>
      <c r="AP945" s="82"/>
      <c r="AQ945" s="75"/>
      <c r="AR945" s="75"/>
      <c r="AS945" s="80">
        <f t="shared" si="206"/>
        <v>0</v>
      </c>
      <c r="AT945" s="74"/>
      <c r="AU945" s="75"/>
      <c r="AV945" s="75"/>
      <c r="AW945" s="75"/>
      <c r="AX945" s="80">
        <f t="shared" si="207"/>
        <v>0</v>
      </c>
      <c r="AY945" s="81" t="str">
        <f t="shared" si="208"/>
        <v/>
      </c>
      <c r="AZ945" s="83" t="str">
        <f t="shared" si="209"/>
        <v/>
      </c>
      <c r="BA945" s="80" t="str">
        <f t="shared" si="210"/>
        <v/>
      </c>
      <c r="BB945" s="84">
        <f t="shared" si="211"/>
        <v>0</v>
      </c>
      <c r="BC945" s="85" t="str">
        <f t="shared" si="212"/>
        <v/>
      </c>
      <c r="BD945" s="86" t="str">
        <f t="shared" si="213"/>
        <v/>
      </c>
      <c r="BE945" s="84">
        <f t="shared" si="214"/>
        <v>0</v>
      </c>
      <c r="BF945" s="87" t="str">
        <f t="shared" si="215"/>
        <v/>
      </c>
      <c r="BG945" s="88" t="str">
        <f t="shared" si="216"/>
        <v/>
      </c>
      <c r="BH945" s="89" t="str">
        <f t="shared" si="217"/>
        <v/>
      </c>
      <c r="BI945" s="90" t="str">
        <f t="shared" si="218"/>
        <v/>
      </c>
      <c r="BJ945" s="90" t="str">
        <f t="shared" si="219"/>
        <v/>
      </c>
      <c r="BK945" s="91">
        <f t="shared" si="220"/>
        <v>0</v>
      </c>
      <c r="BL945" s="92">
        <f t="shared" si="221"/>
        <v>0</v>
      </c>
      <c r="BM945" s="95"/>
    </row>
    <row r="946" spans="1:65">
      <c r="A946" s="61">
        <f t="shared" si="222"/>
        <v>0</v>
      </c>
      <c r="B946" s="62"/>
      <c r="C946" s="62"/>
      <c r="D946" s="63"/>
      <c r="E946" s="64"/>
      <c r="F946" s="64"/>
      <c r="G946" s="65"/>
      <c r="H946" s="66" t="str">
        <f t="shared" si="199"/>
        <v/>
      </c>
      <c r="I946" s="67" t="str">
        <f t="shared" si="200"/>
        <v/>
      </c>
      <c r="J946" s="68" t="str">
        <f t="shared" si="201"/>
        <v/>
      </c>
      <c r="K946" s="69" t="str">
        <f t="shared" si="202"/>
        <v/>
      </c>
      <c r="L946" s="70" t="str">
        <f t="shared" si="203"/>
        <v/>
      </c>
      <c r="M946" s="71"/>
      <c r="N946" s="71"/>
      <c r="O946" s="71"/>
      <c r="P946" s="71"/>
      <c r="Q946" s="61"/>
      <c r="R946" s="63"/>
      <c r="S946" s="72"/>
      <c r="T946" s="61"/>
      <c r="U946" s="73"/>
      <c r="V946" s="62"/>
      <c r="W946" s="62"/>
      <c r="X946" s="62"/>
      <c r="Y946" s="93"/>
      <c r="Z946" s="94"/>
      <c r="AA946" s="74"/>
      <c r="AB946" s="75"/>
      <c r="AC946" s="75"/>
      <c r="AD946" s="76"/>
      <c r="AE946" s="77"/>
      <c r="AF946" s="75"/>
      <c r="AG946" s="78"/>
      <c r="AH946" s="79"/>
      <c r="AI946" s="74"/>
      <c r="AJ946" s="75"/>
      <c r="AK946" s="75"/>
      <c r="AL946" s="80">
        <f t="shared" si="204"/>
        <v>0</v>
      </c>
      <c r="AM946" s="74"/>
      <c r="AN946" s="74"/>
      <c r="AO946" s="81" t="str">
        <f t="shared" si="205"/>
        <v/>
      </c>
      <c r="AP946" s="82"/>
      <c r="AQ946" s="75"/>
      <c r="AR946" s="75"/>
      <c r="AS946" s="80">
        <f t="shared" si="206"/>
        <v>0</v>
      </c>
      <c r="AT946" s="74"/>
      <c r="AU946" s="75"/>
      <c r="AV946" s="75"/>
      <c r="AW946" s="75"/>
      <c r="AX946" s="80">
        <f t="shared" si="207"/>
        <v>0</v>
      </c>
      <c r="AY946" s="81" t="str">
        <f t="shared" si="208"/>
        <v/>
      </c>
      <c r="AZ946" s="83" t="str">
        <f t="shared" si="209"/>
        <v/>
      </c>
      <c r="BA946" s="80" t="str">
        <f t="shared" si="210"/>
        <v/>
      </c>
      <c r="BB946" s="84">
        <f t="shared" si="211"/>
        <v>0</v>
      </c>
      <c r="BC946" s="85" t="str">
        <f t="shared" si="212"/>
        <v/>
      </c>
      <c r="BD946" s="86" t="str">
        <f t="shared" si="213"/>
        <v/>
      </c>
      <c r="BE946" s="84">
        <f t="shared" si="214"/>
        <v>0</v>
      </c>
      <c r="BF946" s="87" t="str">
        <f t="shared" si="215"/>
        <v/>
      </c>
      <c r="BG946" s="88" t="str">
        <f t="shared" si="216"/>
        <v/>
      </c>
      <c r="BH946" s="89" t="str">
        <f t="shared" si="217"/>
        <v/>
      </c>
      <c r="BI946" s="90" t="str">
        <f t="shared" si="218"/>
        <v/>
      </c>
      <c r="BJ946" s="90" t="str">
        <f t="shared" si="219"/>
        <v/>
      </c>
      <c r="BK946" s="91">
        <f t="shared" si="220"/>
        <v>0</v>
      </c>
      <c r="BL946" s="92">
        <f t="shared" si="221"/>
        <v>0</v>
      </c>
      <c r="BM946" s="95"/>
    </row>
    <row r="947" spans="1:65">
      <c r="A947" s="61">
        <f t="shared" si="222"/>
        <v>0</v>
      </c>
      <c r="B947" s="62"/>
      <c r="C947" s="62"/>
      <c r="D947" s="63"/>
      <c r="E947" s="64"/>
      <c r="F947" s="64"/>
      <c r="G947" s="65"/>
      <c r="H947" s="66" t="str">
        <f t="shared" si="199"/>
        <v/>
      </c>
      <c r="I947" s="67" t="str">
        <f t="shared" si="200"/>
        <v/>
      </c>
      <c r="J947" s="68" t="str">
        <f t="shared" si="201"/>
        <v/>
      </c>
      <c r="K947" s="69" t="str">
        <f t="shared" si="202"/>
        <v/>
      </c>
      <c r="L947" s="70" t="str">
        <f t="shared" si="203"/>
        <v/>
      </c>
      <c r="M947" s="71"/>
      <c r="N947" s="71"/>
      <c r="O947" s="71"/>
      <c r="P947" s="71"/>
      <c r="Q947" s="61"/>
      <c r="R947" s="63"/>
      <c r="S947" s="72"/>
      <c r="T947" s="61"/>
      <c r="U947" s="73"/>
      <c r="V947" s="62"/>
      <c r="W947" s="62"/>
      <c r="X947" s="62"/>
      <c r="Y947" s="93"/>
      <c r="Z947" s="94"/>
      <c r="AA947" s="74"/>
      <c r="AB947" s="75"/>
      <c r="AC947" s="75"/>
      <c r="AD947" s="76"/>
      <c r="AE947" s="77"/>
      <c r="AF947" s="75"/>
      <c r="AG947" s="78"/>
      <c r="AH947" s="79"/>
      <c r="AI947" s="74"/>
      <c r="AJ947" s="75"/>
      <c r="AK947" s="75"/>
      <c r="AL947" s="80">
        <f t="shared" si="204"/>
        <v>0</v>
      </c>
      <c r="AM947" s="74"/>
      <c r="AN947" s="74"/>
      <c r="AO947" s="81" t="str">
        <f t="shared" si="205"/>
        <v/>
      </c>
      <c r="AP947" s="82"/>
      <c r="AQ947" s="75"/>
      <c r="AR947" s="75"/>
      <c r="AS947" s="80">
        <f t="shared" si="206"/>
        <v>0</v>
      </c>
      <c r="AT947" s="74"/>
      <c r="AU947" s="75"/>
      <c r="AV947" s="75"/>
      <c r="AW947" s="75"/>
      <c r="AX947" s="80">
        <f t="shared" si="207"/>
        <v>0</v>
      </c>
      <c r="AY947" s="81" t="str">
        <f t="shared" si="208"/>
        <v/>
      </c>
      <c r="AZ947" s="83" t="str">
        <f t="shared" si="209"/>
        <v/>
      </c>
      <c r="BA947" s="80" t="str">
        <f t="shared" si="210"/>
        <v/>
      </c>
      <c r="BB947" s="84">
        <f t="shared" si="211"/>
        <v>0</v>
      </c>
      <c r="BC947" s="85" t="str">
        <f t="shared" si="212"/>
        <v/>
      </c>
      <c r="BD947" s="86" t="str">
        <f t="shared" si="213"/>
        <v/>
      </c>
      <c r="BE947" s="84">
        <f t="shared" si="214"/>
        <v>0</v>
      </c>
      <c r="BF947" s="87" t="str">
        <f t="shared" si="215"/>
        <v/>
      </c>
      <c r="BG947" s="88" t="str">
        <f t="shared" si="216"/>
        <v/>
      </c>
      <c r="BH947" s="89" t="str">
        <f t="shared" si="217"/>
        <v/>
      </c>
      <c r="BI947" s="90" t="str">
        <f t="shared" si="218"/>
        <v/>
      </c>
      <c r="BJ947" s="90" t="str">
        <f t="shared" si="219"/>
        <v/>
      </c>
      <c r="BK947" s="91">
        <f t="shared" si="220"/>
        <v>0</v>
      </c>
      <c r="BL947" s="92">
        <f t="shared" si="221"/>
        <v>0</v>
      </c>
      <c r="BM947" s="95"/>
    </row>
    <row r="948" spans="1:65">
      <c r="A948" s="61">
        <f t="shared" si="222"/>
        <v>0</v>
      </c>
      <c r="B948" s="62"/>
      <c r="C948" s="62"/>
      <c r="D948" s="63"/>
      <c r="E948" s="64"/>
      <c r="F948" s="64"/>
      <c r="G948" s="65"/>
      <c r="H948" s="66" t="str">
        <f t="shared" si="199"/>
        <v/>
      </c>
      <c r="I948" s="67" t="str">
        <f t="shared" si="200"/>
        <v/>
      </c>
      <c r="J948" s="68" t="str">
        <f t="shared" si="201"/>
        <v/>
      </c>
      <c r="K948" s="69" t="str">
        <f t="shared" si="202"/>
        <v/>
      </c>
      <c r="L948" s="70" t="str">
        <f t="shared" si="203"/>
        <v/>
      </c>
      <c r="M948" s="71"/>
      <c r="N948" s="71"/>
      <c r="O948" s="71"/>
      <c r="P948" s="71"/>
      <c r="Q948" s="61"/>
      <c r="R948" s="63"/>
      <c r="S948" s="72"/>
      <c r="T948" s="61"/>
      <c r="U948" s="73"/>
      <c r="V948" s="62"/>
      <c r="W948" s="62"/>
      <c r="X948" s="62"/>
      <c r="Y948" s="93"/>
      <c r="Z948" s="94"/>
      <c r="AA948" s="74"/>
      <c r="AB948" s="75"/>
      <c r="AC948" s="75"/>
      <c r="AD948" s="76"/>
      <c r="AE948" s="77"/>
      <c r="AF948" s="75"/>
      <c r="AG948" s="78"/>
      <c r="AH948" s="79"/>
      <c r="AI948" s="74"/>
      <c r="AJ948" s="75"/>
      <c r="AK948" s="75"/>
      <c r="AL948" s="80">
        <f t="shared" si="204"/>
        <v>0</v>
      </c>
      <c r="AM948" s="74"/>
      <c r="AN948" s="74"/>
      <c r="AO948" s="81" t="str">
        <f t="shared" si="205"/>
        <v/>
      </c>
      <c r="AP948" s="82"/>
      <c r="AQ948" s="75"/>
      <c r="AR948" s="75"/>
      <c r="AS948" s="80">
        <f t="shared" si="206"/>
        <v>0</v>
      </c>
      <c r="AT948" s="74"/>
      <c r="AU948" s="75"/>
      <c r="AV948" s="75"/>
      <c r="AW948" s="75"/>
      <c r="AX948" s="80">
        <f t="shared" si="207"/>
        <v>0</v>
      </c>
      <c r="AY948" s="81" t="str">
        <f t="shared" si="208"/>
        <v/>
      </c>
      <c r="AZ948" s="83" t="str">
        <f t="shared" si="209"/>
        <v/>
      </c>
      <c r="BA948" s="80" t="str">
        <f t="shared" si="210"/>
        <v/>
      </c>
      <c r="BB948" s="84">
        <f t="shared" si="211"/>
        <v>0</v>
      </c>
      <c r="BC948" s="85" t="str">
        <f t="shared" si="212"/>
        <v/>
      </c>
      <c r="BD948" s="86" t="str">
        <f t="shared" si="213"/>
        <v/>
      </c>
      <c r="BE948" s="84">
        <f t="shared" si="214"/>
        <v>0</v>
      </c>
      <c r="BF948" s="87" t="str">
        <f t="shared" si="215"/>
        <v/>
      </c>
      <c r="BG948" s="88" t="str">
        <f t="shared" si="216"/>
        <v/>
      </c>
      <c r="BH948" s="89" t="str">
        <f t="shared" si="217"/>
        <v/>
      </c>
      <c r="BI948" s="90" t="str">
        <f t="shared" si="218"/>
        <v/>
      </c>
      <c r="BJ948" s="90" t="str">
        <f t="shared" si="219"/>
        <v/>
      </c>
      <c r="BK948" s="91">
        <f t="shared" si="220"/>
        <v>0</v>
      </c>
      <c r="BL948" s="92">
        <f t="shared" si="221"/>
        <v>0</v>
      </c>
      <c r="BM948" s="95"/>
    </row>
    <row r="949" spans="1:65">
      <c r="A949" s="61">
        <f t="shared" si="222"/>
        <v>0</v>
      </c>
      <c r="B949" s="62"/>
      <c r="C949" s="62"/>
      <c r="D949" s="63"/>
      <c r="E949" s="64"/>
      <c r="F949" s="64"/>
      <c r="G949" s="65"/>
      <c r="H949" s="66" t="str">
        <f t="shared" si="199"/>
        <v/>
      </c>
      <c r="I949" s="67" t="str">
        <f t="shared" si="200"/>
        <v/>
      </c>
      <c r="J949" s="68" t="str">
        <f t="shared" si="201"/>
        <v/>
      </c>
      <c r="K949" s="69" t="str">
        <f t="shared" si="202"/>
        <v/>
      </c>
      <c r="L949" s="70" t="str">
        <f t="shared" si="203"/>
        <v/>
      </c>
      <c r="M949" s="71"/>
      <c r="N949" s="71"/>
      <c r="O949" s="71"/>
      <c r="P949" s="71"/>
      <c r="Q949" s="61"/>
      <c r="R949" s="63"/>
      <c r="S949" s="72"/>
      <c r="T949" s="61"/>
      <c r="U949" s="73"/>
      <c r="V949" s="62"/>
      <c r="W949" s="62"/>
      <c r="X949" s="62"/>
      <c r="Y949" s="93"/>
      <c r="Z949" s="94"/>
      <c r="AA949" s="74"/>
      <c r="AB949" s="75"/>
      <c r="AC949" s="75"/>
      <c r="AD949" s="76"/>
      <c r="AE949" s="77"/>
      <c r="AF949" s="75"/>
      <c r="AG949" s="78"/>
      <c r="AH949" s="79"/>
      <c r="AI949" s="74"/>
      <c r="AJ949" s="75"/>
      <c r="AK949" s="75"/>
      <c r="AL949" s="80">
        <f t="shared" si="204"/>
        <v>0</v>
      </c>
      <c r="AM949" s="74"/>
      <c r="AN949" s="74"/>
      <c r="AO949" s="81" t="str">
        <f t="shared" si="205"/>
        <v/>
      </c>
      <c r="AP949" s="82"/>
      <c r="AQ949" s="75"/>
      <c r="AR949" s="75"/>
      <c r="AS949" s="80">
        <f t="shared" si="206"/>
        <v>0</v>
      </c>
      <c r="AT949" s="74"/>
      <c r="AU949" s="75"/>
      <c r="AV949" s="75"/>
      <c r="AW949" s="75"/>
      <c r="AX949" s="80">
        <f t="shared" si="207"/>
        <v>0</v>
      </c>
      <c r="AY949" s="81" t="str">
        <f t="shared" si="208"/>
        <v/>
      </c>
      <c r="AZ949" s="83" t="str">
        <f t="shared" si="209"/>
        <v/>
      </c>
      <c r="BA949" s="80" t="str">
        <f t="shared" si="210"/>
        <v/>
      </c>
      <c r="BB949" s="84">
        <f t="shared" si="211"/>
        <v>0</v>
      </c>
      <c r="BC949" s="85" t="str">
        <f t="shared" si="212"/>
        <v/>
      </c>
      <c r="BD949" s="86" t="str">
        <f t="shared" si="213"/>
        <v/>
      </c>
      <c r="BE949" s="84">
        <f t="shared" si="214"/>
        <v>0</v>
      </c>
      <c r="BF949" s="87" t="str">
        <f t="shared" si="215"/>
        <v/>
      </c>
      <c r="BG949" s="88" t="str">
        <f t="shared" si="216"/>
        <v/>
      </c>
      <c r="BH949" s="89" t="str">
        <f t="shared" si="217"/>
        <v/>
      </c>
      <c r="BI949" s="90" t="str">
        <f t="shared" si="218"/>
        <v/>
      </c>
      <c r="BJ949" s="90" t="str">
        <f t="shared" si="219"/>
        <v/>
      </c>
      <c r="BK949" s="91">
        <f t="shared" si="220"/>
        <v>0</v>
      </c>
      <c r="BL949" s="92">
        <f t="shared" si="221"/>
        <v>0</v>
      </c>
      <c r="BM949" s="95"/>
    </row>
    <row r="950" spans="1:65">
      <c r="A950" s="61">
        <f t="shared" si="222"/>
        <v>0</v>
      </c>
      <c r="B950" s="62"/>
      <c r="C950" s="62"/>
      <c r="D950" s="63"/>
      <c r="E950" s="64"/>
      <c r="F950" s="64"/>
      <c r="G950" s="65"/>
      <c r="H950" s="66" t="str">
        <f t="shared" si="199"/>
        <v/>
      </c>
      <c r="I950" s="67" t="str">
        <f t="shared" si="200"/>
        <v/>
      </c>
      <c r="J950" s="68" t="str">
        <f t="shared" si="201"/>
        <v/>
      </c>
      <c r="K950" s="69" t="str">
        <f t="shared" si="202"/>
        <v/>
      </c>
      <c r="L950" s="70" t="str">
        <f t="shared" si="203"/>
        <v/>
      </c>
      <c r="M950" s="71"/>
      <c r="N950" s="71"/>
      <c r="O950" s="71"/>
      <c r="P950" s="71"/>
      <c r="Q950" s="61"/>
      <c r="R950" s="63"/>
      <c r="S950" s="72"/>
      <c r="T950" s="61"/>
      <c r="U950" s="73"/>
      <c r="V950" s="62"/>
      <c r="W950" s="62"/>
      <c r="X950" s="62"/>
      <c r="Y950" s="93"/>
      <c r="Z950" s="94"/>
      <c r="AA950" s="74"/>
      <c r="AB950" s="75"/>
      <c r="AC950" s="75"/>
      <c r="AD950" s="76"/>
      <c r="AE950" s="77"/>
      <c r="AF950" s="75"/>
      <c r="AG950" s="78"/>
      <c r="AH950" s="79"/>
      <c r="AI950" s="74"/>
      <c r="AJ950" s="75"/>
      <c r="AK950" s="75"/>
      <c r="AL950" s="80">
        <f t="shared" si="204"/>
        <v>0</v>
      </c>
      <c r="AM950" s="74"/>
      <c r="AN950" s="74"/>
      <c r="AO950" s="81" t="str">
        <f t="shared" si="205"/>
        <v/>
      </c>
      <c r="AP950" s="82"/>
      <c r="AQ950" s="75"/>
      <c r="AR950" s="75"/>
      <c r="AS950" s="80">
        <f t="shared" si="206"/>
        <v>0</v>
      </c>
      <c r="AT950" s="74"/>
      <c r="AU950" s="75"/>
      <c r="AV950" s="75"/>
      <c r="AW950" s="75"/>
      <c r="AX950" s="80">
        <f t="shared" si="207"/>
        <v>0</v>
      </c>
      <c r="AY950" s="81" t="str">
        <f t="shared" si="208"/>
        <v/>
      </c>
      <c r="AZ950" s="83" t="str">
        <f t="shared" si="209"/>
        <v/>
      </c>
      <c r="BA950" s="80" t="str">
        <f t="shared" si="210"/>
        <v/>
      </c>
      <c r="BB950" s="84">
        <f t="shared" si="211"/>
        <v>0</v>
      </c>
      <c r="BC950" s="85" t="str">
        <f t="shared" si="212"/>
        <v/>
      </c>
      <c r="BD950" s="86" t="str">
        <f t="shared" si="213"/>
        <v/>
      </c>
      <c r="BE950" s="84">
        <f t="shared" si="214"/>
        <v>0</v>
      </c>
      <c r="BF950" s="87" t="str">
        <f t="shared" si="215"/>
        <v/>
      </c>
      <c r="BG950" s="88" t="str">
        <f t="shared" si="216"/>
        <v/>
      </c>
      <c r="BH950" s="89" t="str">
        <f t="shared" si="217"/>
        <v/>
      </c>
      <c r="BI950" s="90" t="str">
        <f t="shared" si="218"/>
        <v/>
      </c>
      <c r="BJ950" s="90" t="str">
        <f t="shared" si="219"/>
        <v/>
      </c>
      <c r="BK950" s="91">
        <f t="shared" si="220"/>
        <v>0</v>
      </c>
      <c r="BL950" s="92">
        <f t="shared" si="221"/>
        <v>0</v>
      </c>
      <c r="BM950" s="95"/>
    </row>
    <row r="951" spans="1:65">
      <c r="A951" s="61">
        <f t="shared" si="222"/>
        <v>0</v>
      </c>
      <c r="B951" s="62"/>
      <c r="C951" s="62"/>
      <c r="D951" s="63"/>
      <c r="E951" s="64"/>
      <c r="F951" s="64"/>
      <c r="G951" s="65"/>
      <c r="H951" s="66" t="str">
        <f t="shared" si="199"/>
        <v/>
      </c>
      <c r="I951" s="67" t="str">
        <f t="shared" si="200"/>
        <v/>
      </c>
      <c r="J951" s="68" t="str">
        <f t="shared" si="201"/>
        <v/>
      </c>
      <c r="K951" s="69" t="str">
        <f t="shared" si="202"/>
        <v/>
      </c>
      <c r="L951" s="70" t="str">
        <f t="shared" si="203"/>
        <v/>
      </c>
      <c r="M951" s="71"/>
      <c r="N951" s="71"/>
      <c r="O951" s="71"/>
      <c r="P951" s="71"/>
      <c r="Q951" s="61"/>
      <c r="R951" s="63"/>
      <c r="S951" s="72"/>
      <c r="T951" s="61"/>
      <c r="U951" s="73"/>
      <c r="V951" s="62"/>
      <c r="W951" s="62"/>
      <c r="X951" s="62"/>
      <c r="Y951" s="93"/>
      <c r="Z951" s="94"/>
      <c r="AA951" s="74"/>
      <c r="AB951" s="75"/>
      <c r="AC951" s="75"/>
      <c r="AD951" s="76"/>
      <c r="AE951" s="77"/>
      <c r="AF951" s="75"/>
      <c r="AG951" s="78"/>
      <c r="AH951" s="79"/>
      <c r="AI951" s="74"/>
      <c r="AJ951" s="75"/>
      <c r="AK951" s="75"/>
      <c r="AL951" s="80">
        <f t="shared" si="204"/>
        <v>0</v>
      </c>
      <c r="AM951" s="74"/>
      <c r="AN951" s="74"/>
      <c r="AO951" s="81" t="str">
        <f t="shared" si="205"/>
        <v/>
      </c>
      <c r="AP951" s="82"/>
      <c r="AQ951" s="75"/>
      <c r="AR951" s="75"/>
      <c r="AS951" s="80">
        <f t="shared" si="206"/>
        <v>0</v>
      </c>
      <c r="AT951" s="74"/>
      <c r="AU951" s="75"/>
      <c r="AV951" s="75"/>
      <c r="AW951" s="75"/>
      <c r="AX951" s="80">
        <f t="shared" si="207"/>
        <v>0</v>
      </c>
      <c r="AY951" s="81" t="str">
        <f t="shared" si="208"/>
        <v/>
      </c>
      <c r="AZ951" s="83" t="str">
        <f t="shared" si="209"/>
        <v/>
      </c>
      <c r="BA951" s="80" t="str">
        <f t="shared" si="210"/>
        <v/>
      </c>
      <c r="BB951" s="84">
        <f t="shared" si="211"/>
        <v>0</v>
      </c>
      <c r="BC951" s="85" t="str">
        <f t="shared" si="212"/>
        <v/>
      </c>
      <c r="BD951" s="86" t="str">
        <f t="shared" si="213"/>
        <v/>
      </c>
      <c r="BE951" s="84">
        <f t="shared" si="214"/>
        <v>0</v>
      </c>
      <c r="BF951" s="87" t="str">
        <f t="shared" si="215"/>
        <v/>
      </c>
      <c r="BG951" s="88" t="str">
        <f t="shared" si="216"/>
        <v/>
      </c>
      <c r="BH951" s="89" t="str">
        <f t="shared" si="217"/>
        <v/>
      </c>
      <c r="BI951" s="90" t="str">
        <f t="shared" si="218"/>
        <v/>
      </c>
      <c r="BJ951" s="90" t="str">
        <f t="shared" si="219"/>
        <v/>
      </c>
      <c r="BK951" s="91">
        <f t="shared" si="220"/>
        <v>0</v>
      </c>
      <c r="BL951" s="92">
        <f t="shared" si="221"/>
        <v>0</v>
      </c>
      <c r="BM951" s="95"/>
    </row>
    <row r="952" spans="1:65">
      <c r="A952" s="61">
        <f t="shared" si="222"/>
        <v>0</v>
      </c>
      <c r="B952" s="62"/>
      <c r="C952" s="62"/>
      <c r="D952" s="63"/>
      <c r="E952" s="64"/>
      <c r="F952" s="64"/>
      <c r="G952" s="65"/>
      <c r="H952" s="66" t="str">
        <f t="shared" si="199"/>
        <v/>
      </c>
      <c r="I952" s="67" t="str">
        <f t="shared" si="200"/>
        <v/>
      </c>
      <c r="J952" s="68" t="str">
        <f t="shared" si="201"/>
        <v/>
      </c>
      <c r="K952" s="69" t="str">
        <f t="shared" si="202"/>
        <v/>
      </c>
      <c r="L952" s="70" t="str">
        <f t="shared" si="203"/>
        <v/>
      </c>
      <c r="M952" s="71"/>
      <c r="N952" s="71"/>
      <c r="O952" s="71"/>
      <c r="P952" s="71"/>
      <c r="Q952" s="61"/>
      <c r="R952" s="63"/>
      <c r="S952" s="72"/>
      <c r="T952" s="61"/>
      <c r="U952" s="73"/>
      <c r="V952" s="62"/>
      <c r="W952" s="62"/>
      <c r="X952" s="62"/>
      <c r="Y952" s="93"/>
      <c r="Z952" s="94"/>
      <c r="AA952" s="74"/>
      <c r="AB952" s="75"/>
      <c r="AC952" s="75"/>
      <c r="AD952" s="76"/>
      <c r="AE952" s="77"/>
      <c r="AF952" s="75"/>
      <c r="AG952" s="78"/>
      <c r="AH952" s="79"/>
      <c r="AI952" s="74"/>
      <c r="AJ952" s="75"/>
      <c r="AK952" s="75"/>
      <c r="AL952" s="80">
        <f t="shared" si="204"/>
        <v>0</v>
      </c>
      <c r="AM952" s="74"/>
      <c r="AN952" s="74"/>
      <c r="AO952" s="81" t="str">
        <f t="shared" si="205"/>
        <v/>
      </c>
      <c r="AP952" s="82"/>
      <c r="AQ952" s="75"/>
      <c r="AR952" s="75"/>
      <c r="AS952" s="80">
        <f t="shared" si="206"/>
        <v>0</v>
      </c>
      <c r="AT952" s="74"/>
      <c r="AU952" s="75"/>
      <c r="AV952" s="75"/>
      <c r="AW952" s="75"/>
      <c r="AX952" s="80">
        <f t="shared" si="207"/>
        <v>0</v>
      </c>
      <c r="AY952" s="81" t="str">
        <f t="shared" si="208"/>
        <v/>
      </c>
      <c r="AZ952" s="83" t="str">
        <f t="shared" si="209"/>
        <v/>
      </c>
      <c r="BA952" s="80" t="str">
        <f t="shared" si="210"/>
        <v/>
      </c>
      <c r="BB952" s="84">
        <f t="shared" si="211"/>
        <v>0</v>
      </c>
      <c r="BC952" s="85" t="str">
        <f t="shared" si="212"/>
        <v/>
      </c>
      <c r="BD952" s="86" t="str">
        <f t="shared" si="213"/>
        <v/>
      </c>
      <c r="BE952" s="84">
        <f t="shared" si="214"/>
        <v>0</v>
      </c>
      <c r="BF952" s="87" t="str">
        <f t="shared" si="215"/>
        <v/>
      </c>
      <c r="BG952" s="88" t="str">
        <f t="shared" si="216"/>
        <v/>
      </c>
      <c r="BH952" s="89" t="str">
        <f t="shared" si="217"/>
        <v/>
      </c>
      <c r="BI952" s="90" t="str">
        <f t="shared" si="218"/>
        <v/>
      </c>
      <c r="BJ952" s="90" t="str">
        <f t="shared" si="219"/>
        <v/>
      </c>
      <c r="BK952" s="91">
        <f t="shared" si="220"/>
        <v>0</v>
      </c>
      <c r="BL952" s="92">
        <f t="shared" si="221"/>
        <v>0</v>
      </c>
      <c r="BM952" s="95"/>
    </row>
    <row r="953" spans="1:65">
      <c r="A953" s="61">
        <f t="shared" si="222"/>
        <v>0</v>
      </c>
      <c r="B953" s="62"/>
      <c r="C953" s="62"/>
      <c r="D953" s="63"/>
      <c r="E953" s="64"/>
      <c r="F953" s="64"/>
      <c r="G953" s="65"/>
      <c r="H953" s="66" t="str">
        <f t="shared" si="199"/>
        <v/>
      </c>
      <c r="I953" s="67" t="str">
        <f t="shared" si="200"/>
        <v/>
      </c>
      <c r="J953" s="68" t="str">
        <f t="shared" si="201"/>
        <v/>
      </c>
      <c r="K953" s="69" t="str">
        <f t="shared" si="202"/>
        <v/>
      </c>
      <c r="L953" s="70" t="str">
        <f t="shared" si="203"/>
        <v/>
      </c>
      <c r="M953" s="71"/>
      <c r="N953" s="71"/>
      <c r="O953" s="71"/>
      <c r="P953" s="71"/>
      <c r="Q953" s="61"/>
      <c r="R953" s="63"/>
      <c r="S953" s="72"/>
      <c r="T953" s="61"/>
      <c r="U953" s="73"/>
      <c r="V953" s="62"/>
      <c r="W953" s="62"/>
      <c r="X953" s="62"/>
      <c r="Y953" s="93"/>
      <c r="Z953" s="94"/>
      <c r="AA953" s="74"/>
      <c r="AB953" s="75"/>
      <c r="AC953" s="75"/>
      <c r="AD953" s="76"/>
      <c r="AE953" s="77"/>
      <c r="AF953" s="75"/>
      <c r="AG953" s="78"/>
      <c r="AH953" s="79"/>
      <c r="AI953" s="74"/>
      <c r="AJ953" s="75"/>
      <c r="AK953" s="75"/>
      <c r="AL953" s="80">
        <f t="shared" si="204"/>
        <v>0</v>
      </c>
      <c r="AM953" s="74"/>
      <c r="AN953" s="74"/>
      <c r="AO953" s="81" t="str">
        <f t="shared" si="205"/>
        <v/>
      </c>
      <c r="AP953" s="82"/>
      <c r="AQ953" s="75"/>
      <c r="AR953" s="75"/>
      <c r="AS953" s="80">
        <f t="shared" si="206"/>
        <v>0</v>
      </c>
      <c r="AT953" s="74"/>
      <c r="AU953" s="75"/>
      <c r="AV953" s="75"/>
      <c r="AW953" s="75"/>
      <c r="AX953" s="80">
        <f t="shared" si="207"/>
        <v>0</v>
      </c>
      <c r="AY953" s="81" t="str">
        <f t="shared" si="208"/>
        <v/>
      </c>
      <c r="AZ953" s="83" t="str">
        <f t="shared" si="209"/>
        <v/>
      </c>
      <c r="BA953" s="80" t="str">
        <f t="shared" si="210"/>
        <v/>
      </c>
      <c r="BB953" s="84">
        <f t="shared" si="211"/>
        <v>0</v>
      </c>
      <c r="BC953" s="85" t="str">
        <f t="shared" si="212"/>
        <v/>
      </c>
      <c r="BD953" s="86" t="str">
        <f t="shared" si="213"/>
        <v/>
      </c>
      <c r="BE953" s="84">
        <f t="shared" si="214"/>
        <v>0</v>
      </c>
      <c r="BF953" s="87" t="str">
        <f t="shared" si="215"/>
        <v/>
      </c>
      <c r="BG953" s="88" t="str">
        <f t="shared" si="216"/>
        <v/>
      </c>
      <c r="BH953" s="89" t="str">
        <f t="shared" si="217"/>
        <v/>
      </c>
      <c r="BI953" s="90" t="str">
        <f t="shared" si="218"/>
        <v/>
      </c>
      <c r="BJ953" s="90" t="str">
        <f t="shared" si="219"/>
        <v/>
      </c>
      <c r="BK953" s="91">
        <f t="shared" si="220"/>
        <v>0</v>
      </c>
      <c r="BL953" s="92">
        <f t="shared" si="221"/>
        <v>0</v>
      </c>
      <c r="BM953" s="95"/>
    </row>
    <row r="954" spans="1:65">
      <c r="A954" s="61">
        <f t="shared" si="222"/>
        <v>0</v>
      </c>
      <c r="B954" s="62"/>
      <c r="C954" s="62"/>
      <c r="D954" s="63"/>
      <c r="E954" s="64"/>
      <c r="F954" s="64"/>
      <c r="G954" s="65"/>
      <c r="H954" s="66" t="str">
        <f t="shared" si="199"/>
        <v/>
      </c>
      <c r="I954" s="67" t="str">
        <f t="shared" si="200"/>
        <v/>
      </c>
      <c r="J954" s="68" t="str">
        <f t="shared" si="201"/>
        <v/>
      </c>
      <c r="K954" s="69" t="str">
        <f t="shared" si="202"/>
        <v/>
      </c>
      <c r="L954" s="70" t="str">
        <f t="shared" si="203"/>
        <v/>
      </c>
      <c r="M954" s="71"/>
      <c r="N954" s="71"/>
      <c r="O954" s="71"/>
      <c r="P954" s="71"/>
      <c r="Q954" s="61"/>
      <c r="R954" s="63"/>
      <c r="S954" s="72"/>
      <c r="T954" s="61"/>
      <c r="U954" s="73"/>
      <c r="V954" s="62"/>
      <c r="W954" s="62"/>
      <c r="X954" s="62"/>
      <c r="Y954" s="93"/>
      <c r="Z954" s="94"/>
      <c r="AA954" s="74"/>
      <c r="AB954" s="75"/>
      <c r="AC954" s="75"/>
      <c r="AD954" s="76"/>
      <c r="AE954" s="77"/>
      <c r="AF954" s="75"/>
      <c r="AG954" s="78"/>
      <c r="AH954" s="79"/>
      <c r="AI954" s="74"/>
      <c r="AJ954" s="75"/>
      <c r="AK954" s="75"/>
      <c r="AL954" s="80">
        <f t="shared" si="204"/>
        <v>0</v>
      </c>
      <c r="AM954" s="74"/>
      <c r="AN954" s="74"/>
      <c r="AO954" s="81" t="str">
        <f t="shared" si="205"/>
        <v/>
      </c>
      <c r="AP954" s="82"/>
      <c r="AQ954" s="75"/>
      <c r="AR954" s="75"/>
      <c r="AS954" s="80">
        <f t="shared" si="206"/>
        <v>0</v>
      </c>
      <c r="AT954" s="74"/>
      <c r="AU954" s="75"/>
      <c r="AV954" s="75"/>
      <c r="AW954" s="75"/>
      <c r="AX954" s="80">
        <f t="shared" si="207"/>
        <v>0</v>
      </c>
      <c r="AY954" s="81" t="str">
        <f t="shared" si="208"/>
        <v/>
      </c>
      <c r="AZ954" s="83" t="str">
        <f t="shared" si="209"/>
        <v/>
      </c>
      <c r="BA954" s="80" t="str">
        <f t="shared" si="210"/>
        <v/>
      </c>
      <c r="BB954" s="84">
        <f t="shared" si="211"/>
        <v>0</v>
      </c>
      <c r="BC954" s="85" t="str">
        <f t="shared" si="212"/>
        <v/>
      </c>
      <c r="BD954" s="86" t="str">
        <f t="shared" si="213"/>
        <v/>
      </c>
      <c r="BE954" s="84">
        <f t="shared" si="214"/>
        <v>0</v>
      </c>
      <c r="BF954" s="87" t="str">
        <f t="shared" si="215"/>
        <v/>
      </c>
      <c r="BG954" s="88" t="str">
        <f t="shared" si="216"/>
        <v/>
      </c>
      <c r="BH954" s="89" t="str">
        <f t="shared" si="217"/>
        <v/>
      </c>
      <c r="BI954" s="90" t="str">
        <f t="shared" si="218"/>
        <v/>
      </c>
      <c r="BJ954" s="90" t="str">
        <f t="shared" si="219"/>
        <v/>
      </c>
      <c r="BK954" s="91">
        <f t="shared" si="220"/>
        <v>0</v>
      </c>
      <c r="BL954" s="92">
        <f t="shared" si="221"/>
        <v>0</v>
      </c>
      <c r="BM954" s="95"/>
    </row>
    <row r="955" spans="1:65">
      <c r="A955" s="61">
        <f t="shared" si="222"/>
        <v>0</v>
      </c>
      <c r="B955" s="62"/>
      <c r="C955" s="62"/>
      <c r="D955" s="63"/>
      <c r="E955" s="64"/>
      <c r="F955" s="64"/>
      <c r="G955" s="65"/>
      <c r="H955" s="66" t="str">
        <f t="shared" si="199"/>
        <v/>
      </c>
      <c r="I955" s="67" t="str">
        <f t="shared" si="200"/>
        <v/>
      </c>
      <c r="J955" s="68" t="str">
        <f t="shared" si="201"/>
        <v/>
      </c>
      <c r="K955" s="69" t="str">
        <f t="shared" si="202"/>
        <v/>
      </c>
      <c r="L955" s="70" t="str">
        <f t="shared" si="203"/>
        <v/>
      </c>
      <c r="M955" s="71"/>
      <c r="N955" s="71"/>
      <c r="O955" s="71"/>
      <c r="P955" s="71"/>
      <c r="Q955" s="61"/>
      <c r="R955" s="63"/>
      <c r="S955" s="72"/>
      <c r="T955" s="61"/>
      <c r="U955" s="73"/>
      <c r="V955" s="62"/>
      <c r="W955" s="62"/>
      <c r="X955" s="62"/>
      <c r="Y955" s="93"/>
      <c r="Z955" s="94"/>
      <c r="AA955" s="74"/>
      <c r="AB955" s="75"/>
      <c r="AC955" s="75"/>
      <c r="AD955" s="76"/>
      <c r="AE955" s="77"/>
      <c r="AF955" s="75"/>
      <c r="AG955" s="78"/>
      <c r="AH955" s="79"/>
      <c r="AI955" s="74"/>
      <c r="AJ955" s="75"/>
      <c r="AK955" s="75"/>
      <c r="AL955" s="80">
        <f t="shared" si="204"/>
        <v>0</v>
      </c>
      <c r="AM955" s="74"/>
      <c r="AN955" s="74"/>
      <c r="AO955" s="81" t="str">
        <f t="shared" si="205"/>
        <v/>
      </c>
      <c r="AP955" s="82"/>
      <c r="AQ955" s="75"/>
      <c r="AR955" s="75"/>
      <c r="AS955" s="80">
        <f t="shared" si="206"/>
        <v>0</v>
      </c>
      <c r="AT955" s="74"/>
      <c r="AU955" s="75"/>
      <c r="AV955" s="75"/>
      <c r="AW955" s="75"/>
      <c r="AX955" s="80">
        <f t="shared" si="207"/>
        <v>0</v>
      </c>
      <c r="AY955" s="81" t="str">
        <f t="shared" si="208"/>
        <v/>
      </c>
      <c r="AZ955" s="83" t="str">
        <f t="shared" si="209"/>
        <v/>
      </c>
      <c r="BA955" s="80" t="str">
        <f t="shared" si="210"/>
        <v/>
      </c>
      <c r="BB955" s="84">
        <f t="shared" si="211"/>
        <v>0</v>
      </c>
      <c r="BC955" s="85" t="str">
        <f t="shared" si="212"/>
        <v/>
      </c>
      <c r="BD955" s="86" t="str">
        <f t="shared" si="213"/>
        <v/>
      </c>
      <c r="BE955" s="84">
        <f t="shared" si="214"/>
        <v>0</v>
      </c>
      <c r="BF955" s="87" t="str">
        <f t="shared" si="215"/>
        <v/>
      </c>
      <c r="BG955" s="88" t="str">
        <f t="shared" si="216"/>
        <v/>
      </c>
      <c r="BH955" s="89" t="str">
        <f t="shared" si="217"/>
        <v/>
      </c>
      <c r="BI955" s="90" t="str">
        <f t="shared" si="218"/>
        <v/>
      </c>
      <c r="BJ955" s="90" t="str">
        <f t="shared" si="219"/>
        <v/>
      </c>
      <c r="BK955" s="91">
        <f t="shared" si="220"/>
        <v>0</v>
      </c>
      <c r="BL955" s="92">
        <f t="shared" si="221"/>
        <v>0</v>
      </c>
      <c r="BM955" s="95"/>
    </row>
    <row r="956" spans="1:65">
      <c r="A956" s="61">
        <f t="shared" si="222"/>
        <v>0</v>
      </c>
      <c r="B956" s="62"/>
      <c r="C956" s="62"/>
      <c r="D956" s="63"/>
      <c r="E956" s="64"/>
      <c r="F956" s="64"/>
      <c r="G956" s="65"/>
      <c r="H956" s="66" t="str">
        <f t="shared" si="199"/>
        <v/>
      </c>
      <c r="I956" s="67" t="str">
        <f t="shared" si="200"/>
        <v/>
      </c>
      <c r="J956" s="68" t="str">
        <f t="shared" si="201"/>
        <v/>
      </c>
      <c r="K956" s="69" t="str">
        <f t="shared" si="202"/>
        <v/>
      </c>
      <c r="L956" s="70" t="str">
        <f t="shared" si="203"/>
        <v/>
      </c>
      <c r="M956" s="71"/>
      <c r="N956" s="71"/>
      <c r="O956" s="71"/>
      <c r="P956" s="71"/>
      <c r="Q956" s="61"/>
      <c r="R956" s="63"/>
      <c r="S956" s="72"/>
      <c r="T956" s="61"/>
      <c r="U956" s="73"/>
      <c r="V956" s="62"/>
      <c r="W956" s="62"/>
      <c r="X956" s="62"/>
      <c r="Y956" s="93"/>
      <c r="Z956" s="94"/>
      <c r="AA956" s="74"/>
      <c r="AB956" s="75"/>
      <c r="AC956" s="75"/>
      <c r="AD956" s="76"/>
      <c r="AE956" s="77"/>
      <c r="AF956" s="75"/>
      <c r="AG956" s="78"/>
      <c r="AH956" s="79"/>
      <c r="AI956" s="74"/>
      <c r="AJ956" s="75"/>
      <c r="AK956" s="75"/>
      <c r="AL956" s="80">
        <f t="shared" si="204"/>
        <v>0</v>
      </c>
      <c r="AM956" s="74"/>
      <c r="AN956" s="74"/>
      <c r="AO956" s="81" t="str">
        <f t="shared" si="205"/>
        <v/>
      </c>
      <c r="AP956" s="82"/>
      <c r="AQ956" s="75"/>
      <c r="AR956" s="75"/>
      <c r="AS956" s="80">
        <f t="shared" si="206"/>
        <v>0</v>
      </c>
      <c r="AT956" s="74"/>
      <c r="AU956" s="75"/>
      <c r="AV956" s="75"/>
      <c r="AW956" s="75"/>
      <c r="AX956" s="80">
        <f t="shared" si="207"/>
        <v>0</v>
      </c>
      <c r="AY956" s="81" t="str">
        <f t="shared" si="208"/>
        <v/>
      </c>
      <c r="AZ956" s="83" t="str">
        <f t="shared" si="209"/>
        <v/>
      </c>
      <c r="BA956" s="80" t="str">
        <f t="shared" si="210"/>
        <v/>
      </c>
      <c r="BB956" s="84">
        <f t="shared" si="211"/>
        <v>0</v>
      </c>
      <c r="BC956" s="85" t="str">
        <f t="shared" si="212"/>
        <v/>
      </c>
      <c r="BD956" s="86" t="str">
        <f t="shared" si="213"/>
        <v/>
      </c>
      <c r="BE956" s="84">
        <f t="shared" si="214"/>
        <v>0</v>
      </c>
      <c r="BF956" s="87" t="str">
        <f t="shared" si="215"/>
        <v/>
      </c>
      <c r="BG956" s="88" t="str">
        <f t="shared" si="216"/>
        <v/>
      </c>
      <c r="BH956" s="89" t="str">
        <f t="shared" si="217"/>
        <v/>
      </c>
      <c r="BI956" s="90" t="str">
        <f t="shared" si="218"/>
        <v/>
      </c>
      <c r="BJ956" s="90" t="str">
        <f t="shared" si="219"/>
        <v/>
      </c>
      <c r="BK956" s="91">
        <f t="shared" si="220"/>
        <v>0</v>
      </c>
      <c r="BL956" s="92">
        <f t="shared" si="221"/>
        <v>0</v>
      </c>
      <c r="BM956" s="95"/>
    </row>
    <row r="957" spans="1:65">
      <c r="A957" s="61">
        <f t="shared" si="222"/>
        <v>0</v>
      </c>
      <c r="B957" s="62"/>
      <c r="C957" s="62"/>
      <c r="D957" s="63"/>
      <c r="E957" s="64"/>
      <c r="F957" s="64"/>
      <c r="G957" s="65"/>
      <c r="H957" s="66" t="str">
        <f t="shared" si="199"/>
        <v/>
      </c>
      <c r="I957" s="67" t="str">
        <f t="shared" si="200"/>
        <v/>
      </c>
      <c r="J957" s="68" t="str">
        <f t="shared" si="201"/>
        <v/>
      </c>
      <c r="K957" s="69" t="str">
        <f t="shared" si="202"/>
        <v/>
      </c>
      <c r="L957" s="70" t="str">
        <f t="shared" si="203"/>
        <v/>
      </c>
      <c r="M957" s="71"/>
      <c r="N957" s="71"/>
      <c r="O957" s="71"/>
      <c r="P957" s="71"/>
      <c r="Q957" s="61"/>
      <c r="R957" s="63"/>
      <c r="S957" s="72"/>
      <c r="T957" s="61"/>
      <c r="U957" s="73"/>
      <c r="V957" s="62"/>
      <c r="W957" s="62"/>
      <c r="X957" s="62"/>
      <c r="Y957" s="93"/>
      <c r="Z957" s="94"/>
      <c r="AA957" s="74"/>
      <c r="AB957" s="75"/>
      <c r="AC957" s="75"/>
      <c r="AD957" s="76"/>
      <c r="AE957" s="77"/>
      <c r="AF957" s="75"/>
      <c r="AG957" s="78"/>
      <c r="AH957" s="79"/>
      <c r="AI957" s="74"/>
      <c r="AJ957" s="75"/>
      <c r="AK957" s="75"/>
      <c r="AL957" s="80">
        <f t="shared" si="204"/>
        <v>0</v>
      </c>
      <c r="AM957" s="74"/>
      <c r="AN957" s="74"/>
      <c r="AO957" s="81" t="str">
        <f t="shared" si="205"/>
        <v/>
      </c>
      <c r="AP957" s="82"/>
      <c r="AQ957" s="75"/>
      <c r="AR957" s="75"/>
      <c r="AS957" s="80">
        <f t="shared" si="206"/>
        <v>0</v>
      </c>
      <c r="AT957" s="74"/>
      <c r="AU957" s="75"/>
      <c r="AV957" s="75"/>
      <c r="AW957" s="75"/>
      <c r="AX957" s="80">
        <f t="shared" si="207"/>
        <v>0</v>
      </c>
      <c r="AY957" s="81" t="str">
        <f t="shared" si="208"/>
        <v/>
      </c>
      <c r="AZ957" s="83" t="str">
        <f t="shared" si="209"/>
        <v/>
      </c>
      <c r="BA957" s="80" t="str">
        <f t="shared" si="210"/>
        <v/>
      </c>
      <c r="BB957" s="84">
        <f t="shared" si="211"/>
        <v>0</v>
      </c>
      <c r="BC957" s="85" t="str">
        <f t="shared" si="212"/>
        <v/>
      </c>
      <c r="BD957" s="86" t="str">
        <f t="shared" si="213"/>
        <v/>
      </c>
      <c r="BE957" s="84">
        <f t="shared" si="214"/>
        <v>0</v>
      </c>
      <c r="BF957" s="87" t="str">
        <f t="shared" si="215"/>
        <v/>
      </c>
      <c r="BG957" s="88" t="str">
        <f t="shared" si="216"/>
        <v/>
      </c>
      <c r="BH957" s="89" t="str">
        <f t="shared" si="217"/>
        <v/>
      </c>
      <c r="BI957" s="90" t="str">
        <f t="shared" si="218"/>
        <v/>
      </c>
      <c r="BJ957" s="90" t="str">
        <f t="shared" si="219"/>
        <v/>
      </c>
      <c r="BK957" s="91">
        <f t="shared" si="220"/>
        <v>0</v>
      </c>
      <c r="BL957" s="92">
        <f t="shared" si="221"/>
        <v>0</v>
      </c>
      <c r="BM957" s="95"/>
    </row>
    <row r="958" spans="1:65">
      <c r="A958" s="61">
        <f t="shared" si="222"/>
        <v>0</v>
      </c>
      <c r="B958" s="62"/>
      <c r="C958" s="62"/>
      <c r="D958" s="63"/>
      <c r="E958" s="64"/>
      <c r="F958" s="64"/>
      <c r="G958" s="65"/>
      <c r="H958" s="66" t="str">
        <f t="shared" si="199"/>
        <v/>
      </c>
      <c r="I958" s="67" t="str">
        <f t="shared" si="200"/>
        <v/>
      </c>
      <c r="J958" s="68" t="str">
        <f t="shared" si="201"/>
        <v/>
      </c>
      <c r="K958" s="69" t="str">
        <f t="shared" si="202"/>
        <v/>
      </c>
      <c r="L958" s="70" t="str">
        <f t="shared" si="203"/>
        <v/>
      </c>
      <c r="M958" s="71"/>
      <c r="N958" s="71"/>
      <c r="O958" s="71"/>
      <c r="P958" s="71"/>
      <c r="Q958" s="61"/>
      <c r="R958" s="63"/>
      <c r="S958" s="72"/>
      <c r="T958" s="61"/>
      <c r="U958" s="73"/>
      <c r="V958" s="62"/>
      <c r="W958" s="62"/>
      <c r="X958" s="62"/>
      <c r="Y958" s="93"/>
      <c r="Z958" s="94"/>
      <c r="AA958" s="74"/>
      <c r="AB958" s="75"/>
      <c r="AC958" s="75"/>
      <c r="AD958" s="76"/>
      <c r="AE958" s="77"/>
      <c r="AF958" s="75"/>
      <c r="AG958" s="78"/>
      <c r="AH958" s="79"/>
      <c r="AI958" s="74"/>
      <c r="AJ958" s="75"/>
      <c r="AK958" s="75"/>
      <c r="AL958" s="80">
        <f t="shared" si="204"/>
        <v>0</v>
      </c>
      <c r="AM958" s="74"/>
      <c r="AN958" s="74"/>
      <c r="AO958" s="81" t="str">
        <f t="shared" si="205"/>
        <v/>
      </c>
      <c r="AP958" s="82"/>
      <c r="AQ958" s="75"/>
      <c r="AR958" s="75"/>
      <c r="AS958" s="80">
        <f t="shared" si="206"/>
        <v>0</v>
      </c>
      <c r="AT958" s="74"/>
      <c r="AU958" s="75"/>
      <c r="AV958" s="75"/>
      <c r="AW958" s="75"/>
      <c r="AX958" s="80">
        <f t="shared" si="207"/>
        <v>0</v>
      </c>
      <c r="AY958" s="81" t="str">
        <f t="shared" si="208"/>
        <v/>
      </c>
      <c r="AZ958" s="83" t="str">
        <f t="shared" si="209"/>
        <v/>
      </c>
      <c r="BA958" s="80" t="str">
        <f t="shared" si="210"/>
        <v/>
      </c>
      <c r="BB958" s="84">
        <f t="shared" si="211"/>
        <v>0</v>
      </c>
      <c r="BC958" s="85" t="str">
        <f t="shared" si="212"/>
        <v/>
      </c>
      <c r="BD958" s="86" t="str">
        <f t="shared" si="213"/>
        <v/>
      </c>
      <c r="BE958" s="84">
        <f t="shared" si="214"/>
        <v>0</v>
      </c>
      <c r="BF958" s="87" t="str">
        <f t="shared" si="215"/>
        <v/>
      </c>
      <c r="BG958" s="88" t="str">
        <f t="shared" si="216"/>
        <v/>
      </c>
      <c r="BH958" s="89" t="str">
        <f t="shared" si="217"/>
        <v/>
      </c>
      <c r="BI958" s="90" t="str">
        <f t="shared" si="218"/>
        <v/>
      </c>
      <c r="BJ958" s="90" t="str">
        <f t="shared" si="219"/>
        <v/>
      </c>
      <c r="BK958" s="91">
        <f t="shared" si="220"/>
        <v>0</v>
      </c>
      <c r="BL958" s="92">
        <f t="shared" si="221"/>
        <v>0</v>
      </c>
      <c r="BM958" s="95"/>
    </row>
    <row r="959" spans="1:65">
      <c r="A959" s="61">
        <f t="shared" si="222"/>
        <v>0</v>
      </c>
      <c r="B959" s="62"/>
      <c r="C959" s="62"/>
      <c r="D959" s="63"/>
      <c r="E959" s="64"/>
      <c r="F959" s="64"/>
      <c r="G959" s="65"/>
      <c r="H959" s="66" t="str">
        <f t="shared" si="199"/>
        <v/>
      </c>
      <c r="I959" s="67" t="str">
        <f t="shared" si="200"/>
        <v/>
      </c>
      <c r="J959" s="68" t="str">
        <f t="shared" si="201"/>
        <v/>
      </c>
      <c r="K959" s="69" t="str">
        <f t="shared" si="202"/>
        <v/>
      </c>
      <c r="L959" s="70" t="str">
        <f t="shared" si="203"/>
        <v/>
      </c>
      <c r="M959" s="71"/>
      <c r="N959" s="71"/>
      <c r="O959" s="71"/>
      <c r="P959" s="71"/>
      <c r="Q959" s="61"/>
      <c r="R959" s="63"/>
      <c r="S959" s="72"/>
      <c r="T959" s="61"/>
      <c r="U959" s="73"/>
      <c r="V959" s="62"/>
      <c r="W959" s="62"/>
      <c r="X959" s="62"/>
      <c r="Y959" s="93"/>
      <c r="Z959" s="94"/>
      <c r="AA959" s="74"/>
      <c r="AB959" s="75"/>
      <c r="AC959" s="75"/>
      <c r="AD959" s="76"/>
      <c r="AE959" s="77"/>
      <c r="AF959" s="75"/>
      <c r="AG959" s="78"/>
      <c r="AH959" s="79"/>
      <c r="AI959" s="74"/>
      <c r="AJ959" s="75"/>
      <c r="AK959" s="75"/>
      <c r="AL959" s="80">
        <f t="shared" si="204"/>
        <v>0</v>
      </c>
      <c r="AM959" s="74"/>
      <c r="AN959" s="74"/>
      <c r="AO959" s="81" t="str">
        <f t="shared" si="205"/>
        <v/>
      </c>
      <c r="AP959" s="82"/>
      <c r="AQ959" s="75"/>
      <c r="AR959" s="75"/>
      <c r="AS959" s="80">
        <f t="shared" si="206"/>
        <v>0</v>
      </c>
      <c r="AT959" s="74"/>
      <c r="AU959" s="75"/>
      <c r="AV959" s="75"/>
      <c r="AW959" s="75"/>
      <c r="AX959" s="80">
        <f t="shared" si="207"/>
        <v>0</v>
      </c>
      <c r="AY959" s="81" t="str">
        <f t="shared" si="208"/>
        <v/>
      </c>
      <c r="AZ959" s="83" t="str">
        <f t="shared" si="209"/>
        <v/>
      </c>
      <c r="BA959" s="80" t="str">
        <f t="shared" si="210"/>
        <v/>
      </c>
      <c r="BB959" s="84">
        <f t="shared" si="211"/>
        <v>0</v>
      </c>
      <c r="BC959" s="85" t="str">
        <f t="shared" si="212"/>
        <v/>
      </c>
      <c r="BD959" s="86" t="str">
        <f t="shared" si="213"/>
        <v/>
      </c>
      <c r="BE959" s="84">
        <f t="shared" si="214"/>
        <v>0</v>
      </c>
      <c r="BF959" s="87" t="str">
        <f t="shared" si="215"/>
        <v/>
      </c>
      <c r="BG959" s="88" t="str">
        <f t="shared" si="216"/>
        <v/>
      </c>
      <c r="BH959" s="89" t="str">
        <f t="shared" si="217"/>
        <v/>
      </c>
      <c r="BI959" s="90" t="str">
        <f t="shared" si="218"/>
        <v/>
      </c>
      <c r="BJ959" s="90" t="str">
        <f t="shared" si="219"/>
        <v/>
      </c>
      <c r="BK959" s="91">
        <f t="shared" si="220"/>
        <v>0</v>
      </c>
      <c r="BL959" s="92">
        <f t="shared" si="221"/>
        <v>0</v>
      </c>
      <c r="BM959" s="95"/>
    </row>
    <row r="960" spans="1:65">
      <c r="A960" s="61">
        <f t="shared" si="222"/>
        <v>0</v>
      </c>
      <c r="B960" s="62"/>
      <c r="C960" s="62"/>
      <c r="D960" s="63"/>
      <c r="E960" s="64"/>
      <c r="F960" s="64"/>
      <c r="G960" s="65"/>
      <c r="H960" s="66" t="str">
        <f t="shared" si="199"/>
        <v/>
      </c>
      <c r="I960" s="67" t="str">
        <f t="shared" si="200"/>
        <v/>
      </c>
      <c r="J960" s="68" t="str">
        <f t="shared" si="201"/>
        <v/>
      </c>
      <c r="K960" s="69" t="str">
        <f t="shared" si="202"/>
        <v/>
      </c>
      <c r="L960" s="70" t="str">
        <f t="shared" si="203"/>
        <v/>
      </c>
      <c r="M960" s="71"/>
      <c r="N960" s="71"/>
      <c r="O960" s="71"/>
      <c r="P960" s="71"/>
      <c r="Q960" s="61"/>
      <c r="R960" s="63"/>
      <c r="S960" s="72"/>
      <c r="T960" s="61"/>
      <c r="U960" s="73"/>
      <c r="V960" s="62"/>
      <c r="W960" s="62"/>
      <c r="X960" s="62"/>
      <c r="Y960" s="93"/>
      <c r="Z960" s="94"/>
      <c r="AA960" s="74"/>
      <c r="AB960" s="75"/>
      <c r="AC960" s="75"/>
      <c r="AD960" s="76"/>
      <c r="AE960" s="77"/>
      <c r="AF960" s="75"/>
      <c r="AG960" s="78"/>
      <c r="AH960" s="79"/>
      <c r="AI960" s="74"/>
      <c r="AJ960" s="75"/>
      <c r="AK960" s="75"/>
      <c r="AL960" s="80">
        <f t="shared" si="204"/>
        <v>0</v>
      </c>
      <c r="AM960" s="74"/>
      <c r="AN960" s="74"/>
      <c r="AO960" s="81" t="str">
        <f t="shared" si="205"/>
        <v/>
      </c>
      <c r="AP960" s="82"/>
      <c r="AQ960" s="75"/>
      <c r="AR960" s="75"/>
      <c r="AS960" s="80">
        <f t="shared" si="206"/>
        <v>0</v>
      </c>
      <c r="AT960" s="74"/>
      <c r="AU960" s="75"/>
      <c r="AV960" s="75"/>
      <c r="AW960" s="75"/>
      <c r="AX960" s="80">
        <f t="shared" si="207"/>
        <v>0</v>
      </c>
      <c r="AY960" s="81" t="str">
        <f t="shared" si="208"/>
        <v/>
      </c>
      <c r="AZ960" s="83" t="str">
        <f t="shared" si="209"/>
        <v/>
      </c>
      <c r="BA960" s="80" t="str">
        <f t="shared" si="210"/>
        <v/>
      </c>
      <c r="BB960" s="84">
        <f t="shared" si="211"/>
        <v>0</v>
      </c>
      <c r="BC960" s="85" t="str">
        <f t="shared" si="212"/>
        <v/>
      </c>
      <c r="BD960" s="86" t="str">
        <f t="shared" si="213"/>
        <v/>
      </c>
      <c r="BE960" s="84">
        <f t="shared" si="214"/>
        <v>0</v>
      </c>
      <c r="BF960" s="87" t="str">
        <f t="shared" si="215"/>
        <v/>
      </c>
      <c r="BG960" s="88" t="str">
        <f t="shared" si="216"/>
        <v/>
      </c>
      <c r="BH960" s="89" t="str">
        <f t="shared" si="217"/>
        <v/>
      </c>
      <c r="BI960" s="90" t="str">
        <f t="shared" si="218"/>
        <v/>
      </c>
      <c r="BJ960" s="90" t="str">
        <f t="shared" si="219"/>
        <v/>
      </c>
      <c r="BK960" s="91">
        <f t="shared" si="220"/>
        <v>0</v>
      </c>
      <c r="BL960" s="92">
        <f t="shared" si="221"/>
        <v>0</v>
      </c>
      <c r="BM960" s="95"/>
    </row>
    <row r="961" spans="1:65">
      <c r="A961" s="61">
        <f t="shared" si="222"/>
        <v>0</v>
      </c>
      <c r="B961" s="62"/>
      <c r="C961" s="62"/>
      <c r="D961" s="63"/>
      <c r="E961" s="64"/>
      <c r="F961" s="64"/>
      <c r="G961" s="65"/>
      <c r="H961" s="66" t="str">
        <f t="shared" si="199"/>
        <v/>
      </c>
      <c r="I961" s="67" t="str">
        <f t="shared" si="200"/>
        <v/>
      </c>
      <c r="J961" s="68" t="str">
        <f t="shared" si="201"/>
        <v/>
      </c>
      <c r="K961" s="69" t="str">
        <f t="shared" si="202"/>
        <v/>
      </c>
      <c r="L961" s="70" t="str">
        <f t="shared" si="203"/>
        <v/>
      </c>
      <c r="M961" s="71"/>
      <c r="N961" s="71"/>
      <c r="O961" s="71"/>
      <c r="P961" s="71"/>
      <c r="Q961" s="61"/>
      <c r="R961" s="63"/>
      <c r="S961" s="72"/>
      <c r="T961" s="61"/>
      <c r="U961" s="73"/>
      <c r="V961" s="62"/>
      <c r="W961" s="62"/>
      <c r="X961" s="62"/>
      <c r="Y961" s="93"/>
      <c r="Z961" s="94"/>
      <c r="AA961" s="74"/>
      <c r="AB961" s="75"/>
      <c r="AC961" s="75"/>
      <c r="AD961" s="76"/>
      <c r="AE961" s="77"/>
      <c r="AF961" s="75"/>
      <c r="AG961" s="78"/>
      <c r="AH961" s="79"/>
      <c r="AI961" s="74"/>
      <c r="AJ961" s="75"/>
      <c r="AK961" s="75"/>
      <c r="AL961" s="80">
        <f t="shared" si="204"/>
        <v>0</v>
      </c>
      <c r="AM961" s="74"/>
      <c r="AN961" s="74"/>
      <c r="AO961" s="81" t="str">
        <f t="shared" si="205"/>
        <v/>
      </c>
      <c r="AP961" s="82"/>
      <c r="AQ961" s="75"/>
      <c r="AR961" s="75"/>
      <c r="AS961" s="80">
        <f t="shared" si="206"/>
        <v>0</v>
      </c>
      <c r="AT961" s="74"/>
      <c r="AU961" s="75"/>
      <c r="AV961" s="75"/>
      <c r="AW961" s="75"/>
      <c r="AX961" s="80">
        <f t="shared" si="207"/>
        <v>0</v>
      </c>
      <c r="AY961" s="81" t="str">
        <f t="shared" si="208"/>
        <v/>
      </c>
      <c r="AZ961" s="83" t="str">
        <f t="shared" si="209"/>
        <v/>
      </c>
      <c r="BA961" s="80" t="str">
        <f t="shared" si="210"/>
        <v/>
      </c>
      <c r="BB961" s="84">
        <f t="shared" si="211"/>
        <v>0</v>
      </c>
      <c r="BC961" s="85" t="str">
        <f t="shared" si="212"/>
        <v/>
      </c>
      <c r="BD961" s="86" t="str">
        <f t="shared" si="213"/>
        <v/>
      </c>
      <c r="BE961" s="84">
        <f t="shared" si="214"/>
        <v>0</v>
      </c>
      <c r="BF961" s="87" t="str">
        <f t="shared" si="215"/>
        <v/>
      </c>
      <c r="BG961" s="88" t="str">
        <f t="shared" si="216"/>
        <v/>
      </c>
      <c r="BH961" s="89" t="str">
        <f t="shared" si="217"/>
        <v/>
      </c>
      <c r="BI961" s="90" t="str">
        <f t="shared" si="218"/>
        <v/>
      </c>
      <c r="BJ961" s="90" t="str">
        <f t="shared" si="219"/>
        <v/>
      </c>
      <c r="BK961" s="91">
        <f t="shared" si="220"/>
        <v>0</v>
      </c>
      <c r="BL961" s="92">
        <f t="shared" si="221"/>
        <v>0</v>
      </c>
      <c r="BM961" s="95"/>
    </row>
    <row r="962" spans="1:65">
      <c r="A962" s="61">
        <f t="shared" si="222"/>
        <v>0</v>
      </c>
      <c r="B962" s="62"/>
      <c r="C962" s="62"/>
      <c r="D962" s="63"/>
      <c r="E962" s="64"/>
      <c r="F962" s="64"/>
      <c r="G962" s="65"/>
      <c r="H962" s="66" t="str">
        <f t="shared" si="199"/>
        <v/>
      </c>
      <c r="I962" s="67" t="str">
        <f t="shared" si="200"/>
        <v/>
      </c>
      <c r="J962" s="68" t="str">
        <f t="shared" si="201"/>
        <v/>
      </c>
      <c r="K962" s="69" t="str">
        <f t="shared" si="202"/>
        <v/>
      </c>
      <c r="L962" s="70" t="str">
        <f t="shared" si="203"/>
        <v/>
      </c>
      <c r="M962" s="71"/>
      <c r="N962" s="71"/>
      <c r="O962" s="71"/>
      <c r="P962" s="71"/>
      <c r="Q962" s="61"/>
      <c r="R962" s="63"/>
      <c r="S962" s="72"/>
      <c r="T962" s="61"/>
      <c r="U962" s="73"/>
      <c r="V962" s="62"/>
      <c r="W962" s="62"/>
      <c r="X962" s="62"/>
      <c r="Y962" s="93"/>
      <c r="Z962" s="94"/>
      <c r="AA962" s="74"/>
      <c r="AB962" s="75"/>
      <c r="AC962" s="75"/>
      <c r="AD962" s="76"/>
      <c r="AE962" s="77"/>
      <c r="AF962" s="75"/>
      <c r="AG962" s="78"/>
      <c r="AH962" s="79"/>
      <c r="AI962" s="74"/>
      <c r="AJ962" s="75"/>
      <c r="AK962" s="75"/>
      <c r="AL962" s="80">
        <f t="shared" si="204"/>
        <v>0</v>
      </c>
      <c r="AM962" s="74"/>
      <c r="AN962" s="74"/>
      <c r="AO962" s="81" t="str">
        <f t="shared" si="205"/>
        <v/>
      </c>
      <c r="AP962" s="82"/>
      <c r="AQ962" s="75"/>
      <c r="AR962" s="75"/>
      <c r="AS962" s="80">
        <f t="shared" si="206"/>
        <v>0</v>
      </c>
      <c r="AT962" s="74"/>
      <c r="AU962" s="75"/>
      <c r="AV962" s="75"/>
      <c r="AW962" s="75"/>
      <c r="AX962" s="80">
        <f t="shared" si="207"/>
        <v>0</v>
      </c>
      <c r="AY962" s="81" t="str">
        <f t="shared" si="208"/>
        <v/>
      </c>
      <c r="AZ962" s="83" t="str">
        <f t="shared" si="209"/>
        <v/>
      </c>
      <c r="BA962" s="80" t="str">
        <f t="shared" si="210"/>
        <v/>
      </c>
      <c r="BB962" s="84">
        <f t="shared" si="211"/>
        <v>0</v>
      </c>
      <c r="BC962" s="85" t="str">
        <f t="shared" si="212"/>
        <v/>
      </c>
      <c r="BD962" s="86" t="str">
        <f t="shared" si="213"/>
        <v/>
      </c>
      <c r="BE962" s="84">
        <f t="shared" si="214"/>
        <v>0</v>
      </c>
      <c r="BF962" s="87" t="str">
        <f t="shared" si="215"/>
        <v/>
      </c>
      <c r="BG962" s="88" t="str">
        <f t="shared" si="216"/>
        <v/>
      </c>
      <c r="BH962" s="89" t="str">
        <f t="shared" si="217"/>
        <v/>
      </c>
      <c r="BI962" s="90" t="str">
        <f t="shared" si="218"/>
        <v/>
      </c>
      <c r="BJ962" s="90" t="str">
        <f t="shared" si="219"/>
        <v/>
      </c>
      <c r="BK962" s="91">
        <f t="shared" si="220"/>
        <v>0</v>
      </c>
      <c r="BL962" s="92">
        <f t="shared" si="221"/>
        <v>0</v>
      </c>
      <c r="BM962" s="95"/>
    </row>
    <row r="963" spans="1:65">
      <c r="A963" s="61">
        <f t="shared" si="222"/>
        <v>0</v>
      </c>
      <c r="B963" s="62"/>
      <c r="C963" s="62"/>
      <c r="D963" s="63"/>
      <c r="E963" s="64"/>
      <c r="F963" s="64"/>
      <c r="G963" s="65"/>
      <c r="H963" s="66" t="str">
        <f t="shared" si="199"/>
        <v/>
      </c>
      <c r="I963" s="67" t="str">
        <f t="shared" si="200"/>
        <v/>
      </c>
      <c r="J963" s="68" t="str">
        <f t="shared" si="201"/>
        <v/>
      </c>
      <c r="K963" s="69" t="str">
        <f t="shared" si="202"/>
        <v/>
      </c>
      <c r="L963" s="70" t="str">
        <f t="shared" si="203"/>
        <v/>
      </c>
      <c r="M963" s="71"/>
      <c r="N963" s="71"/>
      <c r="O963" s="71"/>
      <c r="P963" s="71"/>
      <c r="Q963" s="61"/>
      <c r="R963" s="63"/>
      <c r="S963" s="72"/>
      <c r="T963" s="61"/>
      <c r="U963" s="73"/>
      <c r="V963" s="62"/>
      <c r="W963" s="62"/>
      <c r="X963" s="62"/>
      <c r="Y963" s="93"/>
      <c r="Z963" s="94"/>
      <c r="AA963" s="74"/>
      <c r="AB963" s="75"/>
      <c r="AC963" s="75"/>
      <c r="AD963" s="76"/>
      <c r="AE963" s="77"/>
      <c r="AF963" s="75"/>
      <c r="AG963" s="78"/>
      <c r="AH963" s="79"/>
      <c r="AI963" s="74"/>
      <c r="AJ963" s="75"/>
      <c r="AK963" s="75"/>
      <c r="AL963" s="80">
        <f t="shared" si="204"/>
        <v>0</v>
      </c>
      <c r="AM963" s="74"/>
      <c r="AN963" s="74"/>
      <c r="AO963" s="81" t="str">
        <f t="shared" si="205"/>
        <v/>
      </c>
      <c r="AP963" s="82"/>
      <c r="AQ963" s="75"/>
      <c r="AR963" s="75"/>
      <c r="AS963" s="80">
        <f t="shared" si="206"/>
        <v>0</v>
      </c>
      <c r="AT963" s="74"/>
      <c r="AU963" s="75"/>
      <c r="AV963" s="75"/>
      <c r="AW963" s="75"/>
      <c r="AX963" s="80">
        <f t="shared" si="207"/>
        <v>0</v>
      </c>
      <c r="AY963" s="81" t="str">
        <f t="shared" si="208"/>
        <v/>
      </c>
      <c r="AZ963" s="83" t="str">
        <f t="shared" si="209"/>
        <v/>
      </c>
      <c r="BA963" s="80" t="str">
        <f t="shared" si="210"/>
        <v/>
      </c>
      <c r="BB963" s="84">
        <f t="shared" si="211"/>
        <v>0</v>
      </c>
      <c r="BC963" s="85" t="str">
        <f t="shared" si="212"/>
        <v/>
      </c>
      <c r="BD963" s="86" t="str">
        <f t="shared" si="213"/>
        <v/>
      </c>
      <c r="BE963" s="84">
        <f t="shared" si="214"/>
        <v>0</v>
      </c>
      <c r="BF963" s="87" t="str">
        <f t="shared" si="215"/>
        <v/>
      </c>
      <c r="BG963" s="88" t="str">
        <f t="shared" si="216"/>
        <v/>
      </c>
      <c r="BH963" s="89" t="str">
        <f t="shared" si="217"/>
        <v/>
      </c>
      <c r="BI963" s="90" t="str">
        <f t="shared" si="218"/>
        <v/>
      </c>
      <c r="BJ963" s="90" t="str">
        <f t="shared" si="219"/>
        <v/>
      </c>
      <c r="BK963" s="91">
        <f t="shared" si="220"/>
        <v>0</v>
      </c>
      <c r="BL963" s="92">
        <f t="shared" si="221"/>
        <v>0</v>
      </c>
      <c r="BM963" s="95"/>
    </row>
    <row r="964" spans="1:65">
      <c r="A964" s="61">
        <f t="shared" si="222"/>
        <v>0</v>
      </c>
      <c r="B964" s="62"/>
      <c r="C964" s="62"/>
      <c r="D964" s="63"/>
      <c r="E964" s="64"/>
      <c r="F964" s="64"/>
      <c r="G964" s="65"/>
      <c r="H964" s="66" t="str">
        <f t="shared" si="199"/>
        <v/>
      </c>
      <c r="I964" s="67" t="str">
        <f t="shared" si="200"/>
        <v/>
      </c>
      <c r="J964" s="68" t="str">
        <f t="shared" si="201"/>
        <v/>
      </c>
      <c r="K964" s="69" t="str">
        <f t="shared" si="202"/>
        <v/>
      </c>
      <c r="L964" s="70" t="str">
        <f t="shared" si="203"/>
        <v/>
      </c>
      <c r="M964" s="71"/>
      <c r="N964" s="71"/>
      <c r="O964" s="71"/>
      <c r="P964" s="71"/>
      <c r="Q964" s="61"/>
      <c r="R964" s="63"/>
      <c r="S964" s="72"/>
      <c r="T964" s="61"/>
      <c r="U964" s="73"/>
      <c r="V964" s="62"/>
      <c r="W964" s="62"/>
      <c r="X964" s="62"/>
      <c r="Y964" s="93"/>
      <c r="Z964" s="94"/>
      <c r="AA964" s="74"/>
      <c r="AB964" s="75"/>
      <c r="AC964" s="75"/>
      <c r="AD964" s="76"/>
      <c r="AE964" s="77"/>
      <c r="AF964" s="75"/>
      <c r="AG964" s="78"/>
      <c r="AH964" s="79"/>
      <c r="AI964" s="74"/>
      <c r="AJ964" s="75"/>
      <c r="AK964" s="75"/>
      <c r="AL964" s="80">
        <f t="shared" si="204"/>
        <v>0</v>
      </c>
      <c r="AM964" s="74"/>
      <c r="AN964" s="74"/>
      <c r="AO964" s="81" t="str">
        <f t="shared" si="205"/>
        <v/>
      </c>
      <c r="AP964" s="82"/>
      <c r="AQ964" s="75"/>
      <c r="AR964" s="75"/>
      <c r="AS964" s="80">
        <f t="shared" si="206"/>
        <v>0</v>
      </c>
      <c r="AT964" s="74"/>
      <c r="AU964" s="75"/>
      <c r="AV964" s="75"/>
      <c r="AW964" s="75"/>
      <c r="AX964" s="80">
        <f t="shared" si="207"/>
        <v>0</v>
      </c>
      <c r="AY964" s="81" t="str">
        <f t="shared" si="208"/>
        <v/>
      </c>
      <c r="AZ964" s="83" t="str">
        <f t="shared" si="209"/>
        <v/>
      </c>
      <c r="BA964" s="80" t="str">
        <f t="shared" si="210"/>
        <v/>
      </c>
      <c r="BB964" s="84">
        <f t="shared" si="211"/>
        <v>0</v>
      </c>
      <c r="BC964" s="85" t="str">
        <f t="shared" si="212"/>
        <v/>
      </c>
      <c r="BD964" s="86" t="str">
        <f t="shared" si="213"/>
        <v/>
      </c>
      <c r="BE964" s="84">
        <f t="shared" si="214"/>
        <v>0</v>
      </c>
      <c r="BF964" s="87" t="str">
        <f t="shared" si="215"/>
        <v/>
      </c>
      <c r="BG964" s="88" t="str">
        <f t="shared" si="216"/>
        <v/>
      </c>
      <c r="BH964" s="89" t="str">
        <f t="shared" si="217"/>
        <v/>
      </c>
      <c r="BI964" s="90" t="str">
        <f t="shared" si="218"/>
        <v/>
      </c>
      <c r="BJ964" s="90" t="str">
        <f t="shared" si="219"/>
        <v/>
      </c>
      <c r="BK964" s="91">
        <f t="shared" si="220"/>
        <v>0</v>
      </c>
      <c r="BL964" s="92">
        <f t="shared" si="221"/>
        <v>0</v>
      </c>
      <c r="BM964" s="95"/>
    </row>
    <row r="965" spans="1:65">
      <c r="A965" s="61">
        <f t="shared" si="222"/>
        <v>0</v>
      </c>
      <c r="B965" s="62"/>
      <c r="C965" s="62"/>
      <c r="D965" s="63"/>
      <c r="E965" s="64"/>
      <c r="F965" s="64"/>
      <c r="G965" s="65"/>
      <c r="H965" s="66" t="str">
        <f t="shared" si="199"/>
        <v/>
      </c>
      <c r="I965" s="67" t="str">
        <f t="shared" si="200"/>
        <v/>
      </c>
      <c r="J965" s="68" t="str">
        <f t="shared" si="201"/>
        <v/>
      </c>
      <c r="K965" s="69" t="str">
        <f t="shared" si="202"/>
        <v/>
      </c>
      <c r="L965" s="70" t="str">
        <f t="shared" si="203"/>
        <v/>
      </c>
      <c r="M965" s="71"/>
      <c r="N965" s="71"/>
      <c r="O965" s="71"/>
      <c r="P965" s="71"/>
      <c r="Q965" s="61"/>
      <c r="R965" s="63"/>
      <c r="S965" s="72"/>
      <c r="T965" s="61"/>
      <c r="U965" s="73"/>
      <c r="V965" s="62"/>
      <c r="W965" s="62"/>
      <c r="X965" s="62"/>
      <c r="Y965" s="93"/>
      <c r="Z965" s="94"/>
      <c r="AA965" s="74"/>
      <c r="AB965" s="75"/>
      <c r="AC965" s="75"/>
      <c r="AD965" s="76"/>
      <c r="AE965" s="77"/>
      <c r="AF965" s="75"/>
      <c r="AG965" s="78"/>
      <c r="AH965" s="79"/>
      <c r="AI965" s="74"/>
      <c r="AJ965" s="75"/>
      <c r="AK965" s="75"/>
      <c r="AL965" s="80">
        <f t="shared" si="204"/>
        <v>0</v>
      </c>
      <c r="AM965" s="74"/>
      <c r="AN965" s="74"/>
      <c r="AO965" s="81" t="str">
        <f t="shared" si="205"/>
        <v/>
      </c>
      <c r="AP965" s="82"/>
      <c r="AQ965" s="75"/>
      <c r="AR965" s="75"/>
      <c r="AS965" s="80">
        <f t="shared" si="206"/>
        <v>0</v>
      </c>
      <c r="AT965" s="74"/>
      <c r="AU965" s="75"/>
      <c r="AV965" s="75"/>
      <c r="AW965" s="75"/>
      <c r="AX965" s="80">
        <f t="shared" si="207"/>
        <v>0</v>
      </c>
      <c r="AY965" s="81" t="str">
        <f t="shared" si="208"/>
        <v/>
      </c>
      <c r="AZ965" s="83" t="str">
        <f t="shared" si="209"/>
        <v/>
      </c>
      <c r="BA965" s="80" t="str">
        <f t="shared" si="210"/>
        <v/>
      </c>
      <c r="BB965" s="84">
        <f t="shared" si="211"/>
        <v>0</v>
      </c>
      <c r="BC965" s="85" t="str">
        <f t="shared" si="212"/>
        <v/>
      </c>
      <c r="BD965" s="86" t="str">
        <f t="shared" si="213"/>
        <v/>
      </c>
      <c r="BE965" s="84">
        <f t="shared" si="214"/>
        <v>0</v>
      </c>
      <c r="BF965" s="87" t="str">
        <f t="shared" si="215"/>
        <v/>
      </c>
      <c r="BG965" s="88" t="str">
        <f t="shared" si="216"/>
        <v/>
      </c>
      <c r="BH965" s="89" t="str">
        <f t="shared" si="217"/>
        <v/>
      </c>
      <c r="BI965" s="90" t="str">
        <f t="shared" si="218"/>
        <v/>
      </c>
      <c r="BJ965" s="90" t="str">
        <f t="shared" si="219"/>
        <v/>
      </c>
      <c r="BK965" s="91">
        <f t="shared" si="220"/>
        <v>0</v>
      </c>
      <c r="BL965" s="92">
        <f t="shared" si="221"/>
        <v>0</v>
      </c>
      <c r="BM965" s="95"/>
    </row>
    <row r="966" spans="1:65">
      <c r="A966" s="61">
        <f t="shared" si="222"/>
        <v>0</v>
      </c>
      <c r="B966" s="62"/>
      <c r="C966" s="62"/>
      <c r="D966" s="63"/>
      <c r="E966" s="64"/>
      <c r="F966" s="64"/>
      <c r="G966" s="65"/>
      <c r="H966" s="66" t="str">
        <f t="shared" si="199"/>
        <v/>
      </c>
      <c r="I966" s="67" t="str">
        <f t="shared" si="200"/>
        <v/>
      </c>
      <c r="J966" s="68" t="str">
        <f t="shared" si="201"/>
        <v/>
      </c>
      <c r="K966" s="69" t="str">
        <f t="shared" si="202"/>
        <v/>
      </c>
      <c r="L966" s="70" t="str">
        <f t="shared" si="203"/>
        <v/>
      </c>
      <c r="M966" s="71"/>
      <c r="N966" s="71"/>
      <c r="O966" s="71"/>
      <c r="P966" s="71"/>
      <c r="Q966" s="61"/>
      <c r="R966" s="63"/>
      <c r="S966" s="72"/>
      <c r="T966" s="61"/>
      <c r="U966" s="73"/>
      <c r="V966" s="62"/>
      <c r="W966" s="62"/>
      <c r="X966" s="62"/>
      <c r="Y966" s="93"/>
      <c r="Z966" s="94"/>
      <c r="AA966" s="74"/>
      <c r="AB966" s="75"/>
      <c r="AC966" s="75"/>
      <c r="AD966" s="76"/>
      <c r="AE966" s="77"/>
      <c r="AF966" s="75"/>
      <c r="AG966" s="78"/>
      <c r="AH966" s="79"/>
      <c r="AI966" s="74"/>
      <c r="AJ966" s="75"/>
      <c r="AK966" s="75"/>
      <c r="AL966" s="80">
        <f t="shared" si="204"/>
        <v>0</v>
      </c>
      <c r="AM966" s="74"/>
      <c r="AN966" s="74"/>
      <c r="AO966" s="81" t="str">
        <f t="shared" si="205"/>
        <v/>
      </c>
      <c r="AP966" s="82"/>
      <c r="AQ966" s="75"/>
      <c r="AR966" s="75"/>
      <c r="AS966" s="80">
        <f t="shared" si="206"/>
        <v>0</v>
      </c>
      <c r="AT966" s="74"/>
      <c r="AU966" s="75"/>
      <c r="AV966" s="75"/>
      <c r="AW966" s="75"/>
      <c r="AX966" s="80">
        <f t="shared" si="207"/>
        <v>0</v>
      </c>
      <c r="AY966" s="81" t="str">
        <f t="shared" si="208"/>
        <v/>
      </c>
      <c r="AZ966" s="83" t="str">
        <f t="shared" si="209"/>
        <v/>
      </c>
      <c r="BA966" s="80" t="str">
        <f t="shared" si="210"/>
        <v/>
      </c>
      <c r="BB966" s="84">
        <f t="shared" si="211"/>
        <v>0</v>
      </c>
      <c r="BC966" s="85" t="str">
        <f t="shared" si="212"/>
        <v/>
      </c>
      <c r="BD966" s="86" t="str">
        <f t="shared" si="213"/>
        <v/>
      </c>
      <c r="BE966" s="84">
        <f t="shared" si="214"/>
        <v>0</v>
      </c>
      <c r="BF966" s="87" t="str">
        <f t="shared" si="215"/>
        <v/>
      </c>
      <c r="BG966" s="88" t="str">
        <f t="shared" si="216"/>
        <v/>
      </c>
      <c r="BH966" s="89" t="str">
        <f t="shared" si="217"/>
        <v/>
      </c>
      <c r="BI966" s="90" t="str">
        <f t="shared" si="218"/>
        <v/>
      </c>
      <c r="BJ966" s="90" t="str">
        <f t="shared" si="219"/>
        <v/>
      </c>
      <c r="BK966" s="91">
        <f t="shared" si="220"/>
        <v>0</v>
      </c>
      <c r="BL966" s="92">
        <f t="shared" si="221"/>
        <v>0</v>
      </c>
      <c r="BM966" s="95"/>
    </row>
    <row r="967" spans="1:65">
      <c r="A967" s="61">
        <f t="shared" si="222"/>
        <v>0</v>
      </c>
      <c r="B967" s="62"/>
      <c r="C967" s="62"/>
      <c r="D967" s="63"/>
      <c r="E967" s="64"/>
      <c r="F967" s="64"/>
      <c r="G967" s="65"/>
      <c r="H967" s="66" t="str">
        <f t="shared" si="199"/>
        <v/>
      </c>
      <c r="I967" s="67" t="str">
        <f t="shared" si="200"/>
        <v/>
      </c>
      <c r="J967" s="68" t="str">
        <f t="shared" si="201"/>
        <v/>
      </c>
      <c r="K967" s="69" t="str">
        <f t="shared" si="202"/>
        <v/>
      </c>
      <c r="L967" s="70" t="str">
        <f t="shared" si="203"/>
        <v/>
      </c>
      <c r="M967" s="71"/>
      <c r="N967" s="71"/>
      <c r="O967" s="71"/>
      <c r="P967" s="71"/>
      <c r="Q967" s="61"/>
      <c r="R967" s="63"/>
      <c r="S967" s="72"/>
      <c r="T967" s="61"/>
      <c r="U967" s="73"/>
      <c r="V967" s="62"/>
      <c r="W967" s="62"/>
      <c r="X967" s="62"/>
      <c r="Y967" s="93"/>
      <c r="Z967" s="94"/>
      <c r="AA967" s="74"/>
      <c r="AB967" s="75"/>
      <c r="AC967" s="75"/>
      <c r="AD967" s="76"/>
      <c r="AE967" s="77"/>
      <c r="AF967" s="75"/>
      <c r="AG967" s="78"/>
      <c r="AH967" s="79"/>
      <c r="AI967" s="74"/>
      <c r="AJ967" s="75"/>
      <c r="AK967" s="75"/>
      <c r="AL967" s="80">
        <f t="shared" si="204"/>
        <v>0</v>
      </c>
      <c r="AM967" s="74"/>
      <c r="AN967" s="74"/>
      <c r="AO967" s="81" t="str">
        <f t="shared" si="205"/>
        <v/>
      </c>
      <c r="AP967" s="82"/>
      <c r="AQ967" s="75"/>
      <c r="AR967" s="75"/>
      <c r="AS967" s="80">
        <f t="shared" si="206"/>
        <v>0</v>
      </c>
      <c r="AT967" s="74"/>
      <c r="AU967" s="75"/>
      <c r="AV967" s="75"/>
      <c r="AW967" s="75"/>
      <c r="AX967" s="80">
        <f t="shared" si="207"/>
        <v>0</v>
      </c>
      <c r="AY967" s="81" t="str">
        <f t="shared" si="208"/>
        <v/>
      </c>
      <c r="AZ967" s="83" t="str">
        <f t="shared" si="209"/>
        <v/>
      </c>
      <c r="BA967" s="80" t="str">
        <f t="shared" si="210"/>
        <v/>
      </c>
      <c r="BB967" s="84">
        <f t="shared" si="211"/>
        <v>0</v>
      </c>
      <c r="BC967" s="85" t="str">
        <f t="shared" si="212"/>
        <v/>
      </c>
      <c r="BD967" s="86" t="str">
        <f t="shared" si="213"/>
        <v/>
      </c>
      <c r="BE967" s="84">
        <f t="shared" si="214"/>
        <v>0</v>
      </c>
      <c r="BF967" s="87" t="str">
        <f t="shared" si="215"/>
        <v/>
      </c>
      <c r="BG967" s="88" t="str">
        <f t="shared" si="216"/>
        <v/>
      </c>
      <c r="BH967" s="89" t="str">
        <f t="shared" si="217"/>
        <v/>
      </c>
      <c r="BI967" s="90" t="str">
        <f t="shared" si="218"/>
        <v/>
      </c>
      <c r="BJ967" s="90" t="str">
        <f t="shared" si="219"/>
        <v/>
      </c>
      <c r="BK967" s="91">
        <f t="shared" si="220"/>
        <v>0</v>
      </c>
      <c r="BL967" s="92">
        <f t="shared" si="221"/>
        <v>0</v>
      </c>
      <c r="BM967" s="95"/>
    </row>
    <row r="968" spans="1:65">
      <c r="A968" s="61">
        <f t="shared" si="222"/>
        <v>0</v>
      </c>
      <c r="B968" s="62"/>
      <c r="C968" s="62"/>
      <c r="D968" s="63"/>
      <c r="E968" s="64"/>
      <c r="F968" s="64"/>
      <c r="G968" s="65"/>
      <c r="H968" s="66" t="str">
        <f t="shared" ref="H968:H1005" si="223">IF(F968="","",IF(F968="","",IF((F968-E968+1)&gt;360,"Most Recently 12 Months","Year To Date")))</f>
        <v/>
      </c>
      <c r="I968" s="67" t="str">
        <f t="shared" ref="I968:I1005" si="224">IF(F968="","",ROUND((F968-E968+1)/(((365*3+366)/4)/12),0))</f>
        <v/>
      </c>
      <c r="J968" s="68" t="str">
        <f t="shared" ref="J968:J1005" si="225">IF(F968="","",YEAR(F968))</f>
        <v/>
      </c>
      <c r="K968" s="69" t="str">
        <f t="shared" ref="K968:K1005" si="226">IF(F968="","",CEILING(L968/3,1))</f>
        <v/>
      </c>
      <c r="L968" s="70" t="str">
        <f t="shared" ref="L968:L1005" si="227">IF(F968="","",MONTH(F968))</f>
        <v/>
      </c>
      <c r="M968" s="71"/>
      <c r="N968" s="71"/>
      <c r="O968" s="71"/>
      <c r="P968" s="71"/>
      <c r="Q968" s="61"/>
      <c r="R968" s="63"/>
      <c r="S968" s="72"/>
      <c r="T968" s="61"/>
      <c r="U968" s="73"/>
      <c r="V968" s="62"/>
      <c r="W968" s="62"/>
      <c r="X968" s="62"/>
      <c r="Y968" s="93"/>
      <c r="Z968" s="94"/>
      <c r="AA968" s="74"/>
      <c r="AB968" s="75"/>
      <c r="AC968" s="75"/>
      <c r="AD968" s="76"/>
      <c r="AE968" s="77"/>
      <c r="AF968" s="75"/>
      <c r="AG968" s="78"/>
      <c r="AH968" s="79"/>
      <c r="AI968" s="74"/>
      <c r="AJ968" s="75"/>
      <c r="AK968" s="75"/>
      <c r="AL968" s="80">
        <f t="shared" ref="AL968:AL1005" si="228">SUM(AI968:AK968)</f>
        <v>0</v>
      </c>
      <c r="AM968" s="74"/>
      <c r="AN968" s="74"/>
      <c r="AO968" s="81" t="str">
        <f t="shared" ref="AO968:AO1005" si="229">IFERROR(AN968/AM968,"")</f>
        <v/>
      </c>
      <c r="AP968" s="82"/>
      <c r="AQ968" s="75"/>
      <c r="AR968" s="75"/>
      <c r="AS968" s="80">
        <f t="shared" ref="AS968:AS1005" si="230">SUM(AQ968:AR968)</f>
        <v>0</v>
      </c>
      <c r="AT968" s="74"/>
      <c r="AU968" s="75"/>
      <c r="AV968" s="75"/>
      <c r="AW968" s="75"/>
      <c r="AX968" s="80">
        <f t="shared" ref="AX968:AX1005" si="231">SUM(AT968:AW968)</f>
        <v>0</v>
      </c>
      <c r="AY968" s="81" t="str">
        <f t="shared" ref="AY968:AY1005" si="232">IFERROR(AP968/AF968,"")</f>
        <v/>
      </c>
      <c r="AZ968" s="83" t="str">
        <f t="shared" ref="AZ968:AZ1005" si="233">IFERROR(AS968/AP968,"")</f>
        <v/>
      </c>
      <c r="BA968" s="80" t="str">
        <f t="shared" ref="BA968:BA1005" si="234">IFERROR(AY968*AZ968,"")</f>
        <v/>
      </c>
      <c r="BB968" s="84">
        <f t="shared" ref="BB968:BB1005" si="235">AG968-SUM(AL968,AS968:AU968,AW968)</f>
        <v>0</v>
      </c>
      <c r="BC968" s="85" t="str">
        <f t="shared" ref="BC968:BC1005" si="236">IFERROR(BB968/AV968,"")</f>
        <v/>
      </c>
      <c r="BD968" s="86" t="str">
        <f t="shared" ref="BD968:BD1005" si="237">IFERROR(BB968/AG968,"")</f>
        <v/>
      </c>
      <c r="BE968" s="84">
        <f t="shared" ref="BE968:BE1005" si="238">AG968-SUM(AL968,AS968:AU968)</f>
        <v>0</v>
      </c>
      <c r="BF968" s="87" t="str">
        <f t="shared" ref="BF968:BF1005" si="239">IFERROR(BE968/SUM(AV968:AW968),"")</f>
        <v/>
      </c>
      <c r="BG968" s="88" t="str">
        <f t="shared" ref="BG968:BG1005" si="240">IFERROR(BE968/AG968,"")</f>
        <v/>
      </c>
      <c r="BH968" s="89" t="str">
        <f t="shared" ref="BH968:BH1005" si="241">IFERROR(AS968/AG968,"")</f>
        <v/>
      </c>
      <c r="BI968" s="90" t="str">
        <f t="shared" ref="BI968:BI1005" si="242">IFERROR(AL968/AG968,"")</f>
        <v/>
      </c>
      <c r="BJ968" s="90" t="str">
        <f t="shared" ref="BJ968:BJ1005" si="243">IFERROR(AX968/AG968,"")</f>
        <v/>
      </c>
      <c r="BK968" s="91">
        <f t="shared" ref="BK968:BK1005" si="244">SUM(BH968:BJ968)</f>
        <v>0</v>
      </c>
      <c r="BL968" s="92">
        <f t="shared" ref="BL968:BL1005" si="245">AG968-SUM(AL968,AS968,AX968)</f>
        <v>0</v>
      </c>
      <c r="BM968" s="95"/>
    </row>
    <row r="969" spans="1:65">
      <c r="A969" s="61">
        <f t="shared" si="222"/>
        <v>0</v>
      </c>
      <c r="B969" s="62"/>
      <c r="C969" s="62"/>
      <c r="D969" s="63"/>
      <c r="E969" s="64"/>
      <c r="F969" s="64"/>
      <c r="G969" s="65"/>
      <c r="H969" s="66" t="str">
        <f t="shared" si="223"/>
        <v/>
      </c>
      <c r="I969" s="67" t="str">
        <f t="shared" si="224"/>
        <v/>
      </c>
      <c r="J969" s="68" t="str">
        <f t="shared" si="225"/>
        <v/>
      </c>
      <c r="K969" s="69" t="str">
        <f t="shared" si="226"/>
        <v/>
      </c>
      <c r="L969" s="70" t="str">
        <f t="shared" si="227"/>
        <v/>
      </c>
      <c r="M969" s="71"/>
      <c r="N969" s="71"/>
      <c r="O969" s="71"/>
      <c r="P969" s="71"/>
      <c r="Q969" s="61"/>
      <c r="R969" s="63"/>
      <c r="S969" s="72"/>
      <c r="T969" s="61"/>
      <c r="U969" s="73"/>
      <c r="V969" s="62"/>
      <c r="W969" s="62"/>
      <c r="X969" s="62"/>
      <c r="Y969" s="93"/>
      <c r="Z969" s="94"/>
      <c r="AA969" s="74"/>
      <c r="AB969" s="75"/>
      <c r="AC969" s="75"/>
      <c r="AD969" s="76"/>
      <c r="AE969" s="77"/>
      <c r="AF969" s="75"/>
      <c r="AG969" s="78"/>
      <c r="AH969" s="79"/>
      <c r="AI969" s="74"/>
      <c r="AJ969" s="75"/>
      <c r="AK969" s="75"/>
      <c r="AL969" s="80">
        <f t="shared" si="228"/>
        <v>0</v>
      </c>
      <c r="AM969" s="74"/>
      <c r="AN969" s="74"/>
      <c r="AO969" s="81" t="str">
        <f t="shared" si="229"/>
        <v/>
      </c>
      <c r="AP969" s="82"/>
      <c r="AQ969" s="75"/>
      <c r="AR969" s="75"/>
      <c r="AS969" s="80">
        <f t="shared" si="230"/>
        <v>0</v>
      </c>
      <c r="AT969" s="74"/>
      <c r="AU969" s="75"/>
      <c r="AV969" s="75"/>
      <c r="AW969" s="75"/>
      <c r="AX969" s="80">
        <f t="shared" si="231"/>
        <v>0</v>
      </c>
      <c r="AY969" s="81" t="str">
        <f t="shared" si="232"/>
        <v/>
      </c>
      <c r="AZ969" s="83" t="str">
        <f t="shared" si="233"/>
        <v/>
      </c>
      <c r="BA969" s="80" t="str">
        <f t="shared" si="234"/>
        <v/>
      </c>
      <c r="BB969" s="84">
        <f t="shared" si="235"/>
        <v>0</v>
      </c>
      <c r="BC969" s="85" t="str">
        <f t="shared" si="236"/>
        <v/>
      </c>
      <c r="BD969" s="86" t="str">
        <f t="shared" si="237"/>
        <v/>
      </c>
      <c r="BE969" s="84">
        <f t="shared" si="238"/>
        <v>0</v>
      </c>
      <c r="BF969" s="87" t="str">
        <f t="shared" si="239"/>
        <v/>
      </c>
      <c r="BG969" s="88" t="str">
        <f t="shared" si="240"/>
        <v/>
      </c>
      <c r="BH969" s="89" t="str">
        <f t="shared" si="241"/>
        <v/>
      </c>
      <c r="BI969" s="90" t="str">
        <f t="shared" si="242"/>
        <v/>
      </c>
      <c r="BJ969" s="90" t="str">
        <f t="shared" si="243"/>
        <v/>
      </c>
      <c r="BK969" s="91">
        <f t="shared" si="244"/>
        <v>0</v>
      </c>
      <c r="BL969" s="92">
        <f t="shared" si="245"/>
        <v>0</v>
      </c>
      <c r="BM969" s="95"/>
    </row>
    <row r="970" spans="1:65">
      <c r="A970" s="61">
        <f t="shared" si="222"/>
        <v>0</v>
      </c>
      <c r="B970" s="62"/>
      <c r="C970" s="62"/>
      <c r="D970" s="63"/>
      <c r="E970" s="64"/>
      <c r="F970" s="64"/>
      <c r="G970" s="65"/>
      <c r="H970" s="66" t="str">
        <f t="shared" si="223"/>
        <v/>
      </c>
      <c r="I970" s="67" t="str">
        <f t="shared" si="224"/>
        <v/>
      </c>
      <c r="J970" s="68" t="str">
        <f t="shared" si="225"/>
        <v/>
      </c>
      <c r="K970" s="69" t="str">
        <f t="shared" si="226"/>
        <v/>
      </c>
      <c r="L970" s="70" t="str">
        <f t="shared" si="227"/>
        <v/>
      </c>
      <c r="M970" s="71"/>
      <c r="N970" s="71"/>
      <c r="O970" s="71"/>
      <c r="P970" s="71"/>
      <c r="Q970" s="61"/>
      <c r="R970" s="63"/>
      <c r="S970" s="72"/>
      <c r="T970" s="61"/>
      <c r="U970" s="73"/>
      <c r="V970" s="62"/>
      <c r="W970" s="62"/>
      <c r="X970" s="62"/>
      <c r="Y970" s="93"/>
      <c r="Z970" s="94"/>
      <c r="AA970" s="74"/>
      <c r="AB970" s="75"/>
      <c r="AC970" s="75"/>
      <c r="AD970" s="76"/>
      <c r="AE970" s="77"/>
      <c r="AF970" s="75"/>
      <c r="AG970" s="78"/>
      <c r="AH970" s="79"/>
      <c r="AI970" s="74"/>
      <c r="AJ970" s="75"/>
      <c r="AK970" s="75"/>
      <c r="AL970" s="80">
        <f t="shared" si="228"/>
        <v>0</v>
      </c>
      <c r="AM970" s="74"/>
      <c r="AN970" s="74"/>
      <c r="AO970" s="81" t="str">
        <f t="shared" si="229"/>
        <v/>
      </c>
      <c r="AP970" s="82"/>
      <c r="AQ970" s="75"/>
      <c r="AR970" s="75"/>
      <c r="AS970" s="80">
        <f t="shared" si="230"/>
        <v>0</v>
      </c>
      <c r="AT970" s="74"/>
      <c r="AU970" s="75"/>
      <c r="AV970" s="75"/>
      <c r="AW970" s="75"/>
      <c r="AX970" s="80">
        <f t="shared" si="231"/>
        <v>0</v>
      </c>
      <c r="AY970" s="81" t="str">
        <f t="shared" si="232"/>
        <v/>
      </c>
      <c r="AZ970" s="83" t="str">
        <f t="shared" si="233"/>
        <v/>
      </c>
      <c r="BA970" s="80" t="str">
        <f t="shared" si="234"/>
        <v/>
      </c>
      <c r="BB970" s="84">
        <f t="shared" si="235"/>
        <v>0</v>
      </c>
      <c r="BC970" s="85" t="str">
        <f t="shared" si="236"/>
        <v/>
      </c>
      <c r="BD970" s="86" t="str">
        <f t="shared" si="237"/>
        <v/>
      </c>
      <c r="BE970" s="84">
        <f t="shared" si="238"/>
        <v>0</v>
      </c>
      <c r="BF970" s="87" t="str">
        <f t="shared" si="239"/>
        <v/>
      </c>
      <c r="BG970" s="88" t="str">
        <f t="shared" si="240"/>
        <v/>
      </c>
      <c r="BH970" s="89" t="str">
        <f t="shared" si="241"/>
        <v/>
      </c>
      <c r="BI970" s="90" t="str">
        <f t="shared" si="242"/>
        <v/>
      </c>
      <c r="BJ970" s="90" t="str">
        <f t="shared" si="243"/>
        <v/>
      </c>
      <c r="BK970" s="91">
        <f t="shared" si="244"/>
        <v>0</v>
      </c>
      <c r="BL970" s="92">
        <f t="shared" si="245"/>
        <v>0</v>
      </c>
      <c r="BM970" s="95"/>
    </row>
    <row r="971" spans="1:65">
      <c r="A971" s="61">
        <f t="shared" si="222"/>
        <v>0</v>
      </c>
      <c r="B971" s="62"/>
      <c r="C971" s="62"/>
      <c r="D971" s="63"/>
      <c r="E971" s="64"/>
      <c r="F971" s="64"/>
      <c r="G971" s="65"/>
      <c r="H971" s="66" t="str">
        <f t="shared" si="223"/>
        <v/>
      </c>
      <c r="I971" s="67" t="str">
        <f t="shared" si="224"/>
        <v/>
      </c>
      <c r="J971" s="68" t="str">
        <f t="shared" si="225"/>
        <v/>
      </c>
      <c r="K971" s="69" t="str">
        <f t="shared" si="226"/>
        <v/>
      </c>
      <c r="L971" s="70" t="str">
        <f t="shared" si="227"/>
        <v/>
      </c>
      <c r="M971" s="71"/>
      <c r="N971" s="71"/>
      <c r="O971" s="71"/>
      <c r="P971" s="71"/>
      <c r="Q971" s="61"/>
      <c r="R971" s="63"/>
      <c r="S971" s="72"/>
      <c r="T971" s="61"/>
      <c r="U971" s="73"/>
      <c r="V971" s="62"/>
      <c r="W971" s="62"/>
      <c r="X971" s="62"/>
      <c r="Y971" s="93"/>
      <c r="Z971" s="94"/>
      <c r="AA971" s="74"/>
      <c r="AB971" s="75"/>
      <c r="AC971" s="75"/>
      <c r="AD971" s="76"/>
      <c r="AE971" s="77"/>
      <c r="AF971" s="75"/>
      <c r="AG971" s="78"/>
      <c r="AH971" s="79"/>
      <c r="AI971" s="74"/>
      <c r="AJ971" s="75"/>
      <c r="AK971" s="75"/>
      <c r="AL971" s="80">
        <f t="shared" si="228"/>
        <v>0</v>
      </c>
      <c r="AM971" s="74"/>
      <c r="AN971" s="74"/>
      <c r="AO971" s="81" t="str">
        <f t="shared" si="229"/>
        <v/>
      </c>
      <c r="AP971" s="82"/>
      <c r="AQ971" s="75"/>
      <c r="AR971" s="75"/>
      <c r="AS971" s="80">
        <f t="shared" si="230"/>
        <v>0</v>
      </c>
      <c r="AT971" s="74"/>
      <c r="AU971" s="75"/>
      <c r="AV971" s="75"/>
      <c r="AW971" s="75"/>
      <c r="AX971" s="80">
        <f t="shared" si="231"/>
        <v>0</v>
      </c>
      <c r="AY971" s="81" t="str">
        <f t="shared" si="232"/>
        <v/>
      </c>
      <c r="AZ971" s="83" t="str">
        <f t="shared" si="233"/>
        <v/>
      </c>
      <c r="BA971" s="80" t="str">
        <f t="shared" si="234"/>
        <v/>
      </c>
      <c r="BB971" s="84">
        <f t="shared" si="235"/>
        <v>0</v>
      </c>
      <c r="BC971" s="85" t="str">
        <f t="shared" si="236"/>
        <v/>
      </c>
      <c r="BD971" s="86" t="str">
        <f t="shared" si="237"/>
        <v/>
      </c>
      <c r="BE971" s="84">
        <f t="shared" si="238"/>
        <v>0</v>
      </c>
      <c r="BF971" s="87" t="str">
        <f t="shared" si="239"/>
        <v/>
      </c>
      <c r="BG971" s="88" t="str">
        <f t="shared" si="240"/>
        <v/>
      </c>
      <c r="BH971" s="89" t="str">
        <f t="shared" si="241"/>
        <v/>
      </c>
      <c r="BI971" s="90" t="str">
        <f t="shared" si="242"/>
        <v/>
      </c>
      <c r="BJ971" s="90" t="str">
        <f t="shared" si="243"/>
        <v/>
      </c>
      <c r="BK971" s="91">
        <f t="shared" si="244"/>
        <v>0</v>
      </c>
      <c r="BL971" s="92">
        <f t="shared" si="245"/>
        <v>0</v>
      </c>
      <c r="BM971" s="95"/>
    </row>
    <row r="972" spans="1:65">
      <c r="A972" s="61">
        <f t="shared" si="222"/>
        <v>0</v>
      </c>
      <c r="B972" s="62"/>
      <c r="C972" s="62"/>
      <c r="D972" s="63"/>
      <c r="E972" s="64"/>
      <c r="F972" s="64"/>
      <c r="G972" s="65"/>
      <c r="H972" s="66" t="str">
        <f t="shared" si="223"/>
        <v/>
      </c>
      <c r="I972" s="67" t="str">
        <f t="shared" si="224"/>
        <v/>
      </c>
      <c r="J972" s="68" t="str">
        <f t="shared" si="225"/>
        <v/>
      </c>
      <c r="K972" s="69" t="str">
        <f t="shared" si="226"/>
        <v/>
      </c>
      <c r="L972" s="70" t="str">
        <f t="shared" si="227"/>
        <v/>
      </c>
      <c r="M972" s="71"/>
      <c r="N972" s="71"/>
      <c r="O972" s="71"/>
      <c r="P972" s="71"/>
      <c r="Q972" s="61"/>
      <c r="R972" s="63"/>
      <c r="S972" s="72"/>
      <c r="T972" s="61"/>
      <c r="U972" s="73"/>
      <c r="V972" s="62"/>
      <c r="W972" s="62"/>
      <c r="X972" s="62"/>
      <c r="Y972" s="93"/>
      <c r="Z972" s="94"/>
      <c r="AA972" s="74"/>
      <c r="AB972" s="75"/>
      <c r="AC972" s="75"/>
      <c r="AD972" s="76"/>
      <c r="AE972" s="77"/>
      <c r="AF972" s="75"/>
      <c r="AG972" s="78"/>
      <c r="AH972" s="79"/>
      <c r="AI972" s="74"/>
      <c r="AJ972" s="75"/>
      <c r="AK972" s="75"/>
      <c r="AL972" s="80">
        <f t="shared" si="228"/>
        <v>0</v>
      </c>
      <c r="AM972" s="74"/>
      <c r="AN972" s="74"/>
      <c r="AO972" s="81" t="str">
        <f t="shared" si="229"/>
        <v/>
      </c>
      <c r="AP972" s="82"/>
      <c r="AQ972" s="75"/>
      <c r="AR972" s="75"/>
      <c r="AS972" s="80">
        <f t="shared" si="230"/>
        <v>0</v>
      </c>
      <c r="AT972" s="74"/>
      <c r="AU972" s="75"/>
      <c r="AV972" s="75"/>
      <c r="AW972" s="75"/>
      <c r="AX972" s="80">
        <f t="shared" si="231"/>
        <v>0</v>
      </c>
      <c r="AY972" s="81" t="str">
        <f t="shared" si="232"/>
        <v/>
      </c>
      <c r="AZ972" s="83" t="str">
        <f t="shared" si="233"/>
        <v/>
      </c>
      <c r="BA972" s="80" t="str">
        <f t="shared" si="234"/>
        <v/>
      </c>
      <c r="BB972" s="84">
        <f t="shared" si="235"/>
        <v>0</v>
      </c>
      <c r="BC972" s="85" t="str">
        <f t="shared" si="236"/>
        <v/>
      </c>
      <c r="BD972" s="86" t="str">
        <f t="shared" si="237"/>
        <v/>
      </c>
      <c r="BE972" s="84">
        <f t="shared" si="238"/>
        <v>0</v>
      </c>
      <c r="BF972" s="87" t="str">
        <f t="shared" si="239"/>
        <v/>
      </c>
      <c r="BG972" s="88" t="str">
        <f t="shared" si="240"/>
        <v/>
      </c>
      <c r="BH972" s="89" t="str">
        <f t="shared" si="241"/>
        <v/>
      </c>
      <c r="BI972" s="90" t="str">
        <f t="shared" si="242"/>
        <v/>
      </c>
      <c r="BJ972" s="90" t="str">
        <f t="shared" si="243"/>
        <v/>
      </c>
      <c r="BK972" s="91">
        <f t="shared" si="244"/>
        <v>0</v>
      </c>
      <c r="BL972" s="92">
        <f t="shared" si="245"/>
        <v>0</v>
      </c>
      <c r="BM972" s="95"/>
    </row>
    <row r="973" spans="1:65">
      <c r="A973" s="61">
        <f t="shared" si="222"/>
        <v>0</v>
      </c>
      <c r="B973" s="62"/>
      <c r="C973" s="62"/>
      <c r="D973" s="63"/>
      <c r="E973" s="64"/>
      <c r="F973" s="64"/>
      <c r="G973" s="65"/>
      <c r="H973" s="66" t="str">
        <f t="shared" si="223"/>
        <v/>
      </c>
      <c r="I973" s="67" t="str">
        <f t="shared" si="224"/>
        <v/>
      </c>
      <c r="J973" s="68" t="str">
        <f t="shared" si="225"/>
        <v/>
      </c>
      <c r="K973" s="69" t="str">
        <f t="shared" si="226"/>
        <v/>
      </c>
      <c r="L973" s="70" t="str">
        <f t="shared" si="227"/>
        <v/>
      </c>
      <c r="M973" s="71"/>
      <c r="N973" s="71"/>
      <c r="O973" s="71"/>
      <c r="P973" s="71"/>
      <c r="Q973" s="61"/>
      <c r="R973" s="63"/>
      <c r="S973" s="72"/>
      <c r="T973" s="61"/>
      <c r="U973" s="73"/>
      <c r="V973" s="62"/>
      <c r="W973" s="62"/>
      <c r="X973" s="62"/>
      <c r="Y973" s="93"/>
      <c r="Z973" s="94"/>
      <c r="AA973" s="74"/>
      <c r="AB973" s="75"/>
      <c r="AC973" s="75"/>
      <c r="AD973" s="76"/>
      <c r="AE973" s="77"/>
      <c r="AF973" s="75"/>
      <c r="AG973" s="78"/>
      <c r="AH973" s="79"/>
      <c r="AI973" s="74"/>
      <c r="AJ973" s="75"/>
      <c r="AK973" s="75"/>
      <c r="AL973" s="80">
        <f t="shared" si="228"/>
        <v>0</v>
      </c>
      <c r="AM973" s="74"/>
      <c r="AN973" s="74"/>
      <c r="AO973" s="81" t="str">
        <f t="shared" si="229"/>
        <v/>
      </c>
      <c r="AP973" s="82"/>
      <c r="AQ973" s="75"/>
      <c r="AR973" s="75"/>
      <c r="AS973" s="80">
        <f t="shared" si="230"/>
        <v>0</v>
      </c>
      <c r="AT973" s="74"/>
      <c r="AU973" s="75"/>
      <c r="AV973" s="75"/>
      <c r="AW973" s="75"/>
      <c r="AX973" s="80">
        <f t="shared" si="231"/>
        <v>0</v>
      </c>
      <c r="AY973" s="81" t="str">
        <f t="shared" si="232"/>
        <v/>
      </c>
      <c r="AZ973" s="83" t="str">
        <f t="shared" si="233"/>
        <v/>
      </c>
      <c r="BA973" s="80" t="str">
        <f t="shared" si="234"/>
        <v/>
      </c>
      <c r="BB973" s="84">
        <f t="shared" si="235"/>
        <v>0</v>
      </c>
      <c r="BC973" s="85" t="str">
        <f t="shared" si="236"/>
        <v/>
      </c>
      <c r="BD973" s="86" t="str">
        <f t="shared" si="237"/>
        <v/>
      </c>
      <c r="BE973" s="84">
        <f t="shared" si="238"/>
        <v>0</v>
      </c>
      <c r="BF973" s="87" t="str">
        <f t="shared" si="239"/>
        <v/>
      </c>
      <c r="BG973" s="88" t="str">
        <f t="shared" si="240"/>
        <v/>
      </c>
      <c r="BH973" s="89" t="str">
        <f t="shared" si="241"/>
        <v/>
      </c>
      <c r="BI973" s="90" t="str">
        <f t="shared" si="242"/>
        <v/>
      </c>
      <c r="BJ973" s="90" t="str">
        <f t="shared" si="243"/>
        <v/>
      </c>
      <c r="BK973" s="91">
        <f t="shared" si="244"/>
        <v>0</v>
      </c>
      <c r="BL973" s="92">
        <f t="shared" si="245"/>
        <v>0</v>
      </c>
      <c r="BM973" s="95"/>
    </row>
    <row r="974" spans="1:65">
      <c r="A974" s="61">
        <f t="shared" si="222"/>
        <v>0</v>
      </c>
      <c r="B974" s="62"/>
      <c r="C974" s="62"/>
      <c r="D974" s="63"/>
      <c r="E974" s="64"/>
      <c r="F974" s="64"/>
      <c r="G974" s="65"/>
      <c r="H974" s="66" t="str">
        <f t="shared" si="223"/>
        <v/>
      </c>
      <c r="I974" s="67" t="str">
        <f t="shared" si="224"/>
        <v/>
      </c>
      <c r="J974" s="68" t="str">
        <f t="shared" si="225"/>
        <v/>
      </c>
      <c r="K974" s="69" t="str">
        <f t="shared" si="226"/>
        <v/>
      </c>
      <c r="L974" s="70" t="str">
        <f t="shared" si="227"/>
        <v/>
      </c>
      <c r="M974" s="71"/>
      <c r="N974" s="71"/>
      <c r="O974" s="71"/>
      <c r="P974" s="71"/>
      <c r="Q974" s="61"/>
      <c r="R974" s="63"/>
      <c r="S974" s="72"/>
      <c r="T974" s="61"/>
      <c r="U974" s="73"/>
      <c r="V974" s="62"/>
      <c r="W974" s="62"/>
      <c r="X974" s="62"/>
      <c r="Y974" s="93"/>
      <c r="Z974" s="94"/>
      <c r="AA974" s="74"/>
      <c r="AB974" s="75"/>
      <c r="AC974" s="75"/>
      <c r="AD974" s="76"/>
      <c r="AE974" s="77"/>
      <c r="AF974" s="75"/>
      <c r="AG974" s="78"/>
      <c r="AH974" s="79"/>
      <c r="AI974" s="74"/>
      <c r="AJ974" s="75"/>
      <c r="AK974" s="75"/>
      <c r="AL974" s="80">
        <f t="shared" si="228"/>
        <v>0</v>
      </c>
      <c r="AM974" s="74"/>
      <c r="AN974" s="74"/>
      <c r="AO974" s="81" t="str">
        <f t="shared" si="229"/>
        <v/>
      </c>
      <c r="AP974" s="82"/>
      <c r="AQ974" s="75"/>
      <c r="AR974" s="75"/>
      <c r="AS974" s="80">
        <f t="shared" si="230"/>
        <v>0</v>
      </c>
      <c r="AT974" s="74"/>
      <c r="AU974" s="75"/>
      <c r="AV974" s="75"/>
      <c r="AW974" s="75"/>
      <c r="AX974" s="80">
        <f t="shared" si="231"/>
        <v>0</v>
      </c>
      <c r="AY974" s="81" t="str">
        <f t="shared" si="232"/>
        <v/>
      </c>
      <c r="AZ974" s="83" t="str">
        <f t="shared" si="233"/>
        <v/>
      </c>
      <c r="BA974" s="80" t="str">
        <f t="shared" si="234"/>
        <v/>
      </c>
      <c r="BB974" s="84">
        <f t="shared" si="235"/>
        <v>0</v>
      </c>
      <c r="BC974" s="85" t="str">
        <f t="shared" si="236"/>
        <v/>
      </c>
      <c r="BD974" s="86" t="str">
        <f t="shared" si="237"/>
        <v/>
      </c>
      <c r="BE974" s="84">
        <f t="shared" si="238"/>
        <v>0</v>
      </c>
      <c r="BF974" s="87" t="str">
        <f t="shared" si="239"/>
        <v/>
      </c>
      <c r="BG974" s="88" t="str">
        <f t="shared" si="240"/>
        <v/>
      </c>
      <c r="BH974" s="89" t="str">
        <f t="shared" si="241"/>
        <v/>
      </c>
      <c r="BI974" s="90" t="str">
        <f t="shared" si="242"/>
        <v/>
      </c>
      <c r="BJ974" s="90" t="str">
        <f t="shared" si="243"/>
        <v/>
      </c>
      <c r="BK974" s="91">
        <f t="shared" si="244"/>
        <v>0</v>
      </c>
      <c r="BL974" s="92">
        <f t="shared" si="245"/>
        <v>0</v>
      </c>
      <c r="BM974" s="95"/>
    </row>
    <row r="975" spans="1:65">
      <c r="A975" s="61">
        <f t="shared" si="222"/>
        <v>0</v>
      </c>
      <c r="B975" s="62"/>
      <c r="C975" s="62"/>
      <c r="D975" s="63"/>
      <c r="E975" s="64"/>
      <c r="F975" s="64"/>
      <c r="G975" s="65"/>
      <c r="H975" s="66" t="str">
        <f t="shared" si="223"/>
        <v/>
      </c>
      <c r="I975" s="67" t="str">
        <f t="shared" si="224"/>
        <v/>
      </c>
      <c r="J975" s="68" t="str">
        <f t="shared" si="225"/>
        <v/>
      </c>
      <c r="K975" s="69" t="str">
        <f t="shared" si="226"/>
        <v/>
      </c>
      <c r="L975" s="70" t="str">
        <f t="shared" si="227"/>
        <v/>
      </c>
      <c r="M975" s="71"/>
      <c r="N975" s="71"/>
      <c r="O975" s="71"/>
      <c r="P975" s="71"/>
      <c r="Q975" s="61"/>
      <c r="R975" s="63"/>
      <c r="S975" s="72"/>
      <c r="T975" s="61"/>
      <c r="U975" s="73"/>
      <c r="V975" s="62"/>
      <c r="W975" s="62"/>
      <c r="X975" s="62"/>
      <c r="Y975" s="93"/>
      <c r="Z975" s="94"/>
      <c r="AA975" s="74"/>
      <c r="AB975" s="75"/>
      <c r="AC975" s="75"/>
      <c r="AD975" s="76"/>
      <c r="AE975" s="77"/>
      <c r="AF975" s="75"/>
      <c r="AG975" s="78"/>
      <c r="AH975" s="79"/>
      <c r="AI975" s="74"/>
      <c r="AJ975" s="75"/>
      <c r="AK975" s="75"/>
      <c r="AL975" s="80">
        <f t="shared" si="228"/>
        <v>0</v>
      </c>
      <c r="AM975" s="74"/>
      <c r="AN975" s="74"/>
      <c r="AO975" s="81" t="str">
        <f t="shared" si="229"/>
        <v/>
      </c>
      <c r="AP975" s="82"/>
      <c r="AQ975" s="75"/>
      <c r="AR975" s="75"/>
      <c r="AS975" s="80">
        <f t="shared" si="230"/>
        <v>0</v>
      </c>
      <c r="AT975" s="74"/>
      <c r="AU975" s="75"/>
      <c r="AV975" s="75"/>
      <c r="AW975" s="75"/>
      <c r="AX975" s="80">
        <f t="shared" si="231"/>
        <v>0</v>
      </c>
      <c r="AY975" s="81" t="str">
        <f t="shared" si="232"/>
        <v/>
      </c>
      <c r="AZ975" s="83" t="str">
        <f t="shared" si="233"/>
        <v/>
      </c>
      <c r="BA975" s="80" t="str">
        <f t="shared" si="234"/>
        <v/>
      </c>
      <c r="BB975" s="84">
        <f t="shared" si="235"/>
        <v>0</v>
      </c>
      <c r="BC975" s="85" t="str">
        <f t="shared" si="236"/>
        <v/>
      </c>
      <c r="BD975" s="86" t="str">
        <f t="shared" si="237"/>
        <v/>
      </c>
      <c r="BE975" s="84">
        <f t="shared" si="238"/>
        <v>0</v>
      </c>
      <c r="BF975" s="87" t="str">
        <f t="shared" si="239"/>
        <v/>
      </c>
      <c r="BG975" s="88" t="str">
        <f t="shared" si="240"/>
        <v/>
      </c>
      <c r="BH975" s="89" t="str">
        <f t="shared" si="241"/>
        <v/>
      </c>
      <c r="BI975" s="90" t="str">
        <f t="shared" si="242"/>
        <v/>
      </c>
      <c r="BJ975" s="90" t="str">
        <f t="shared" si="243"/>
        <v/>
      </c>
      <c r="BK975" s="91">
        <f t="shared" si="244"/>
        <v>0</v>
      </c>
      <c r="BL975" s="92">
        <f t="shared" si="245"/>
        <v>0</v>
      </c>
      <c r="BM975" s="95"/>
    </row>
    <row r="976" spans="1:65">
      <c r="A976" s="61">
        <f t="shared" si="222"/>
        <v>0</v>
      </c>
      <c r="B976" s="62"/>
      <c r="C976" s="62"/>
      <c r="D976" s="63"/>
      <c r="E976" s="64"/>
      <c r="F976" s="64"/>
      <c r="G976" s="65"/>
      <c r="H976" s="66" t="str">
        <f t="shared" si="223"/>
        <v/>
      </c>
      <c r="I976" s="67" t="str">
        <f t="shared" si="224"/>
        <v/>
      </c>
      <c r="J976" s="68" t="str">
        <f t="shared" si="225"/>
        <v/>
      </c>
      <c r="K976" s="69" t="str">
        <f t="shared" si="226"/>
        <v/>
      </c>
      <c r="L976" s="70" t="str">
        <f t="shared" si="227"/>
        <v/>
      </c>
      <c r="M976" s="71"/>
      <c r="N976" s="71"/>
      <c r="O976" s="71"/>
      <c r="P976" s="71"/>
      <c r="Q976" s="61"/>
      <c r="R976" s="63"/>
      <c r="S976" s="72"/>
      <c r="T976" s="61"/>
      <c r="U976" s="73"/>
      <c r="V976" s="62"/>
      <c r="W976" s="62"/>
      <c r="X976" s="62"/>
      <c r="Y976" s="93"/>
      <c r="Z976" s="94"/>
      <c r="AA976" s="74"/>
      <c r="AB976" s="75"/>
      <c r="AC976" s="75"/>
      <c r="AD976" s="76"/>
      <c r="AE976" s="77"/>
      <c r="AF976" s="75"/>
      <c r="AG976" s="78"/>
      <c r="AH976" s="79"/>
      <c r="AI976" s="74"/>
      <c r="AJ976" s="75"/>
      <c r="AK976" s="75"/>
      <c r="AL976" s="80">
        <f t="shared" si="228"/>
        <v>0</v>
      </c>
      <c r="AM976" s="74"/>
      <c r="AN976" s="74"/>
      <c r="AO976" s="81" t="str">
        <f t="shared" si="229"/>
        <v/>
      </c>
      <c r="AP976" s="82"/>
      <c r="AQ976" s="75"/>
      <c r="AR976" s="75"/>
      <c r="AS976" s="80">
        <f t="shared" si="230"/>
        <v>0</v>
      </c>
      <c r="AT976" s="74"/>
      <c r="AU976" s="75"/>
      <c r="AV976" s="75"/>
      <c r="AW976" s="75"/>
      <c r="AX976" s="80">
        <f t="shared" si="231"/>
        <v>0</v>
      </c>
      <c r="AY976" s="81" t="str">
        <f t="shared" si="232"/>
        <v/>
      </c>
      <c r="AZ976" s="83" t="str">
        <f t="shared" si="233"/>
        <v/>
      </c>
      <c r="BA976" s="80" t="str">
        <f t="shared" si="234"/>
        <v/>
      </c>
      <c r="BB976" s="84">
        <f t="shared" si="235"/>
        <v>0</v>
      </c>
      <c r="BC976" s="85" t="str">
        <f t="shared" si="236"/>
        <v/>
      </c>
      <c r="BD976" s="86" t="str">
        <f t="shared" si="237"/>
        <v/>
      </c>
      <c r="BE976" s="84">
        <f t="shared" si="238"/>
        <v>0</v>
      </c>
      <c r="BF976" s="87" t="str">
        <f t="shared" si="239"/>
        <v/>
      </c>
      <c r="BG976" s="88" t="str">
        <f t="shared" si="240"/>
        <v/>
      </c>
      <c r="BH976" s="89" t="str">
        <f t="shared" si="241"/>
        <v/>
      </c>
      <c r="BI976" s="90" t="str">
        <f t="shared" si="242"/>
        <v/>
      </c>
      <c r="BJ976" s="90" t="str">
        <f t="shared" si="243"/>
        <v/>
      </c>
      <c r="BK976" s="91">
        <f t="shared" si="244"/>
        <v>0</v>
      </c>
      <c r="BL976" s="92">
        <f t="shared" si="245"/>
        <v>0</v>
      </c>
      <c r="BM976" s="95"/>
    </row>
    <row r="977" spans="1:65">
      <c r="A977" s="61">
        <f t="shared" si="222"/>
        <v>0</v>
      </c>
      <c r="B977" s="62"/>
      <c r="C977" s="62"/>
      <c r="D977" s="63"/>
      <c r="E977" s="64"/>
      <c r="F977" s="64"/>
      <c r="G977" s="65"/>
      <c r="H977" s="66" t="str">
        <f t="shared" si="223"/>
        <v/>
      </c>
      <c r="I977" s="67" t="str">
        <f t="shared" si="224"/>
        <v/>
      </c>
      <c r="J977" s="68" t="str">
        <f t="shared" si="225"/>
        <v/>
      </c>
      <c r="K977" s="69" t="str">
        <f t="shared" si="226"/>
        <v/>
      </c>
      <c r="L977" s="70" t="str">
        <f t="shared" si="227"/>
        <v/>
      </c>
      <c r="M977" s="71"/>
      <c r="N977" s="71"/>
      <c r="O977" s="71"/>
      <c r="P977" s="71"/>
      <c r="Q977" s="61"/>
      <c r="R977" s="63"/>
      <c r="S977" s="72"/>
      <c r="T977" s="61"/>
      <c r="U977" s="73"/>
      <c r="V977" s="62"/>
      <c r="W977" s="62"/>
      <c r="X977" s="62"/>
      <c r="Y977" s="93"/>
      <c r="Z977" s="94"/>
      <c r="AA977" s="74"/>
      <c r="AB977" s="75"/>
      <c r="AC977" s="75"/>
      <c r="AD977" s="76"/>
      <c r="AE977" s="77"/>
      <c r="AF977" s="75"/>
      <c r="AG977" s="78"/>
      <c r="AH977" s="79"/>
      <c r="AI977" s="74"/>
      <c r="AJ977" s="75"/>
      <c r="AK977" s="75"/>
      <c r="AL977" s="80">
        <f t="shared" si="228"/>
        <v>0</v>
      </c>
      <c r="AM977" s="74"/>
      <c r="AN977" s="74"/>
      <c r="AO977" s="81" t="str">
        <f t="shared" si="229"/>
        <v/>
      </c>
      <c r="AP977" s="82"/>
      <c r="AQ977" s="75"/>
      <c r="AR977" s="75"/>
      <c r="AS977" s="80">
        <f t="shared" si="230"/>
        <v>0</v>
      </c>
      <c r="AT977" s="74"/>
      <c r="AU977" s="75"/>
      <c r="AV977" s="75"/>
      <c r="AW977" s="75"/>
      <c r="AX977" s="80">
        <f t="shared" si="231"/>
        <v>0</v>
      </c>
      <c r="AY977" s="81" t="str">
        <f t="shared" si="232"/>
        <v/>
      </c>
      <c r="AZ977" s="83" t="str">
        <f t="shared" si="233"/>
        <v/>
      </c>
      <c r="BA977" s="80" t="str">
        <f t="shared" si="234"/>
        <v/>
      </c>
      <c r="BB977" s="84">
        <f t="shared" si="235"/>
        <v>0</v>
      </c>
      <c r="BC977" s="85" t="str">
        <f t="shared" si="236"/>
        <v/>
      </c>
      <c r="BD977" s="86" t="str">
        <f t="shared" si="237"/>
        <v/>
      </c>
      <c r="BE977" s="84">
        <f t="shared" si="238"/>
        <v>0</v>
      </c>
      <c r="BF977" s="87" t="str">
        <f t="shared" si="239"/>
        <v/>
      </c>
      <c r="BG977" s="88" t="str">
        <f t="shared" si="240"/>
        <v/>
      </c>
      <c r="BH977" s="89" t="str">
        <f t="shared" si="241"/>
        <v/>
      </c>
      <c r="BI977" s="90" t="str">
        <f t="shared" si="242"/>
        <v/>
      </c>
      <c r="BJ977" s="90" t="str">
        <f t="shared" si="243"/>
        <v/>
      </c>
      <c r="BK977" s="91">
        <f t="shared" si="244"/>
        <v>0</v>
      </c>
      <c r="BL977" s="92">
        <f t="shared" si="245"/>
        <v>0</v>
      </c>
      <c r="BM977" s="95"/>
    </row>
    <row r="978" spans="1:65">
      <c r="A978" s="61">
        <f t="shared" si="222"/>
        <v>0</v>
      </c>
      <c r="B978" s="62"/>
      <c r="C978" s="62"/>
      <c r="D978" s="63"/>
      <c r="E978" s="64"/>
      <c r="F978" s="64"/>
      <c r="G978" s="65"/>
      <c r="H978" s="66" t="str">
        <f t="shared" si="223"/>
        <v/>
      </c>
      <c r="I978" s="67" t="str">
        <f t="shared" si="224"/>
        <v/>
      </c>
      <c r="J978" s="68" t="str">
        <f t="shared" si="225"/>
        <v/>
      </c>
      <c r="K978" s="69" t="str">
        <f t="shared" si="226"/>
        <v/>
      </c>
      <c r="L978" s="70" t="str">
        <f t="shared" si="227"/>
        <v/>
      </c>
      <c r="M978" s="71"/>
      <c r="N978" s="71"/>
      <c r="O978" s="71"/>
      <c r="P978" s="71"/>
      <c r="Q978" s="61"/>
      <c r="R978" s="63"/>
      <c r="S978" s="72"/>
      <c r="T978" s="61"/>
      <c r="U978" s="73"/>
      <c r="V978" s="62"/>
      <c r="W978" s="62"/>
      <c r="X978" s="62"/>
      <c r="Y978" s="93"/>
      <c r="Z978" s="94"/>
      <c r="AA978" s="74"/>
      <c r="AB978" s="75"/>
      <c r="AC978" s="75"/>
      <c r="AD978" s="76"/>
      <c r="AE978" s="77"/>
      <c r="AF978" s="75"/>
      <c r="AG978" s="78"/>
      <c r="AH978" s="79"/>
      <c r="AI978" s="74"/>
      <c r="AJ978" s="75"/>
      <c r="AK978" s="75"/>
      <c r="AL978" s="80">
        <f t="shared" si="228"/>
        <v>0</v>
      </c>
      <c r="AM978" s="74"/>
      <c r="AN978" s="74"/>
      <c r="AO978" s="81" t="str">
        <f t="shared" si="229"/>
        <v/>
      </c>
      <c r="AP978" s="82"/>
      <c r="AQ978" s="75"/>
      <c r="AR978" s="75"/>
      <c r="AS978" s="80">
        <f t="shared" si="230"/>
        <v>0</v>
      </c>
      <c r="AT978" s="74"/>
      <c r="AU978" s="75"/>
      <c r="AV978" s="75"/>
      <c r="AW978" s="75"/>
      <c r="AX978" s="80">
        <f t="shared" si="231"/>
        <v>0</v>
      </c>
      <c r="AY978" s="81" t="str">
        <f t="shared" si="232"/>
        <v/>
      </c>
      <c r="AZ978" s="83" t="str">
        <f t="shared" si="233"/>
        <v/>
      </c>
      <c r="BA978" s="80" t="str">
        <f t="shared" si="234"/>
        <v/>
      </c>
      <c r="BB978" s="84">
        <f t="shared" si="235"/>
        <v>0</v>
      </c>
      <c r="BC978" s="85" t="str">
        <f t="shared" si="236"/>
        <v/>
      </c>
      <c r="BD978" s="86" t="str">
        <f t="shared" si="237"/>
        <v/>
      </c>
      <c r="BE978" s="84">
        <f t="shared" si="238"/>
        <v>0</v>
      </c>
      <c r="BF978" s="87" t="str">
        <f t="shared" si="239"/>
        <v/>
      </c>
      <c r="BG978" s="88" t="str">
        <f t="shared" si="240"/>
        <v/>
      </c>
      <c r="BH978" s="89" t="str">
        <f t="shared" si="241"/>
        <v/>
      </c>
      <c r="BI978" s="90" t="str">
        <f t="shared" si="242"/>
        <v/>
      </c>
      <c r="BJ978" s="90" t="str">
        <f t="shared" si="243"/>
        <v/>
      </c>
      <c r="BK978" s="91">
        <f t="shared" si="244"/>
        <v>0</v>
      </c>
      <c r="BL978" s="92">
        <f t="shared" si="245"/>
        <v>0</v>
      </c>
      <c r="BM978" s="95"/>
    </row>
    <row r="979" spans="1:65">
      <c r="A979" s="61">
        <f t="shared" si="222"/>
        <v>0</v>
      </c>
      <c r="B979" s="62"/>
      <c r="C979" s="62"/>
      <c r="D979" s="63"/>
      <c r="E979" s="64"/>
      <c r="F979" s="64"/>
      <c r="G979" s="65"/>
      <c r="H979" s="66" t="str">
        <f t="shared" si="223"/>
        <v/>
      </c>
      <c r="I979" s="67" t="str">
        <f t="shared" si="224"/>
        <v/>
      </c>
      <c r="J979" s="68" t="str">
        <f t="shared" si="225"/>
        <v/>
      </c>
      <c r="K979" s="69" t="str">
        <f t="shared" si="226"/>
        <v/>
      </c>
      <c r="L979" s="70" t="str">
        <f t="shared" si="227"/>
        <v/>
      </c>
      <c r="M979" s="71"/>
      <c r="N979" s="71"/>
      <c r="O979" s="71"/>
      <c r="P979" s="71"/>
      <c r="Q979" s="61"/>
      <c r="R979" s="63"/>
      <c r="S979" s="72"/>
      <c r="T979" s="61"/>
      <c r="U979" s="73"/>
      <c r="V979" s="62"/>
      <c r="W979" s="62"/>
      <c r="X979" s="62"/>
      <c r="Y979" s="93"/>
      <c r="Z979" s="94"/>
      <c r="AA979" s="74"/>
      <c r="AB979" s="75"/>
      <c r="AC979" s="75"/>
      <c r="AD979" s="76"/>
      <c r="AE979" s="77"/>
      <c r="AF979" s="75"/>
      <c r="AG979" s="78"/>
      <c r="AH979" s="79"/>
      <c r="AI979" s="74"/>
      <c r="AJ979" s="75"/>
      <c r="AK979" s="75"/>
      <c r="AL979" s="80">
        <f t="shared" si="228"/>
        <v>0</v>
      </c>
      <c r="AM979" s="74"/>
      <c r="AN979" s="74"/>
      <c r="AO979" s="81" t="str">
        <f t="shared" si="229"/>
        <v/>
      </c>
      <c r="AP979" s="82"/>
      <c r="AQ979" s="75"/>
      <c r="AR979" s="75"/>
      <c r="AS979" s="80">
        <f t="shared" si="230"/>
        <v>0</v>
      </c>
      <c r="AT979" s="74"/>
      <c r="AU979" s="75"/>
      <c r="AV979" s="75"/>
      <c r="AW979" s="75"/>
      <c r="AX979" s="80">
        <f t="shared" si="231"/>
        <v>0</v>
      </c>
      <c r="AY979" s="81" t="str">
        <f t="shared" si="232"/>
        <v/>
      </c>
      <c r="AZ979" s="83" t="str">
        <f t="shared" si="233"/>
        <v/>
      </c>
      <c r="BA979" s="80" t="str">
        <f t="shared" si="234"/>
        <v/>
      </c>
      <c r="BB979" s="84">
        <f t="shared" si="235"/>
        <v>0</v>
      </c>
      <c r="BC979" s="85" t="str">
        <f t="shared" si="236"/>
        <v/>
      </c>
      <c r="BD979" s="86" t="str">
        <f t="shared" si="237"/>
        <v/>
      </c>
      <c r="BE979" s="84">
        <f t="shared" si="238"/>
        <v>0</v>
      </c>
      <c r="BF979" s="87" t="str">
        <f t="shared" si="239"/>
        <v/>
      </c>
      <c r="BG979" s="88" t="str">
        <f t="shared" si="240"/>
        <v/>
      </c>
      <c r="BH979" s="89" t="str">
        <f t="shared" si="241"/>
        <v/>
      </c>
      <c r="BI979" s="90" t="str">
        <f t="shared" si="242"/>
        <v/>
      </c>
      <c r="BJ979" s="90" t="str">
        <f t="shared" si="243"/>
        <v/>
      </c>
      <c r="BK979" s="91">
        <f t="shared" si="244"/>
        <v>0</v>
      </c>
      <c r="BL979" s="92">
        <f t="shared" si="245"/>
        <v>0</v>
      </c>
      <c r="BM979" s="95"/>
    </row>
    <row r="980" spans="1:65">
      <c r="A980" s="61">
        <f t="shared" si="222"/>
        <v>0</v>
      </c>
      <c r="B980" s="62"/>
      <c r="C980" s="62"/>
      <c r="D980" s="63"/>
      <c r="E980" s="64"/>
      <c r="F980" s="64"/>
      <c r="G980" s="65"/>
      <c r="H980" s="66" t="str">
        <f t="shared" si="223"/>
        <v/>
      </c>
      <c r="I980" s="67" t="str">
        <f t="shared" si="224"/>
        <v/>
      </c>
      <c r="J980" s="68" t="str">
        <f t="shared" si="225"/>
        <v/>
      </c>
      <c r="K980" s="69" t="str">
        <f t="shared" si="226"/>
        <v/>
      </c>
      <c r="L980" s="70" t="str">
        <f t="shared" si="227"/>
        <v/>
      </c>
      <c r="M980" s="71"/>
      <c r="N980" s="71"/>
      <c r="O980" s="71"/>
      <c r="P980" s="71"/>
      <c r="Q980" s="61"/>
      <c r="R980" s="63"/>
      <c r="S980" s="72"/>
      <c r="T980" s="61"/>
      <c r="U980" s="73"/>
      <c r="V980" s="62"/>
      <c r="W980" s="62"/>
      <c r="X980" s="62"/>
      <c r="Y980" s="93"/>
      <c r="Z980" s="94"/>
      <c r="AA980" s="74"/>
      <c r="AB980" s="75"/>
      <c r="AC980" s="75"/>
      <c r="AD980" s="76"/>
      <c r="AE980" s="77"/>
      <c r="AF980" s="75"/>
      <c r="AG980" s="78"/>
      <c r="AH980" s="79"/>
      <c r="AI980" s="74"/>
      <c r="AJ980" s="75"/>
      <c r="AK980" s="75"/>
      <c r="AL980" s="80">
        <f t="shared" si="228"/>
        <v>0</v>
      </c>
      <c r="AM980" s="74"/>
      <c r="AN980" s="74"/>
      <c r="AO980" s="81" t="str">
        <f t="shared" si="229"/>
        <v/>
      </c>
      <c r="AP980" s="82"/>
      <c r="AQ980" s="75"/>
      <c r="AR980" s="75"/>
      <c r="AS980" s="80">
        <f t="shared" si="230"/>
        <v>0</v>
      </c>
      <c r="AT980" s="74"/>
      <c r="AU980" s="75"/>
      <c r="AV980" s="75"/>
      <c r="AW980" s="75"/>
      <c r="AX980" s="80">
        <f t="shared" si="231"/>
        <v>0</v>
      </c>
      <c r="AY980" s="81" t="str">
        <f t="shared" si="232"/>
        <v/>
      </c>
      <c r="AZ980" s="83" t="str">
        <f t="shared" si="233"/>
        <v/>
      </c>
      <c r="BA980" s="80" t="str">
        <f t="shared" si="234"/>
        <v/>
      </c>
      <c r="BB980" s="84">
        <f t="shared" si="235"/>
        <v>0</v>
      </c>
      <c r="BC980" s="85" t="str">
        <f t="shared" si="236"/>
        <v/>
      </c>
      <c r="BD980" s="86" t="str">
        <f t="shared" si="237"/>
        <v/>
      </c>
      <c r="BE980" s="84">
        <f t="shared" si="238"/>
        <v>0</v>
      </c>
      <c r="BF980" s="87" t="str">
        <f t="shared" si="239"/>
        <v/>
      </c>
      <c r="BG980" s="88" t="str">
        <f t="shared" si="240"/>
        <v/>
      </c>
      <c r="BH980" s="89" t="str">
        <f t="shared" si="241"/>
        <v/>
      </c>
      <c r="BI980" s="90" t="str">
        <f t="shared" si="242"/>
        <v/>
      </c>
      <c r="BJ980" s="90" t="str">
        <f t="shared" si="243"/>
        <v/>
      </c>
      <c r="BK980" s="91">
        <f t="shared" si="244"/>
        <v>0</v>
      </c>
      <c r="BL980" s="92">
        <f t="shared" si="245"/>
        <v>0</v>
      </c>
      <c r="BM980" s="95"/>
    </row>
    <row r="981" spans="1:65">
      <c r="A981" s="61">
        <f t="shared" si="222"/>
        <v>0</v>
      </c>
      <c r="B981" s="62"/>
      <c r="C981" s="62"/>
      <c r="D981" s="63"/>
      <c r="E981" s="64"/>
      <c r="F981" s="64"/>
      <c r="G981" s="65"/>
      <c r="H981" s="66" t="str">
        <f t="shared" si="223"/>
        <v/>
      </c>
      <c r="I981" s="67" t="str">
        <f t="shared" si="224"/>
        <v/>
      </c>
      <c r="J981" s="68" t="str">
        <f t="shared" si="225"/>
        <v/>
      </c>
      <c r="K981" s="69" t="str">
        <f t="shared" si="226"/>
        <v/>
      </c>
      <c r="L981" s="70" t="str">
        <f t="shared" si="227"/>
        <v/>
      </c>
      <c r="M981" s="71"/>
      <c r="N981" s="71"/>
      <c r="O981" s="71"/>
      <c r="P981" s="71"/>
      <c r="Q981" s="61"/>
      <c r="R981" s="63"/>
      <c r="S981" s="72"/>
      <c r="T981" s="61"/>
      <c r="U981" s="73"/>
      <c r="V981" s="62"/>
      <c r="W981" s="62"/>
      <c r="X981" s="62"/>
      <c r="Y981" s="93"/>
      <c r="Z981" s="94"/>
      <c r="AA981" s="74"/>
      <c r="AB981" s="75"/>
      <c r="AC981" s="75"/>
      <c r="AD981" s="76"/>
      <c r="AE981" s="77"/>
      <c r="AF981" s="75"/>
      <c r="AG981" s="78"/>
      <c r="AH981" s="79"/>
      <c r="AI981" s="74"/>
      <c r="AJ981" s="75"/>
      <c r="AK981" s="75"/>
      <c r="AL981" s="80">
        <f t="shared" si="228"/>
        <v>0</v>
      </c>
      <c r="AM981" s="74"/>
      <c r="AN981" s="74"/>
      <c r="AO981" s="81" t="str">
        <f t="shared" si="229"/>
        <v/>
      </c>
      <c r="AP981" s="82"/>
      <c r="AQ981" s="75"/>
      <c r="AR981" s="75"/>
      <c r="AS981" s="80">
        <f t="shared" si="230"/>
        <v>0</v>
      </c>
      <c r="AT981" s="74"/>
      <c r="AU981" s="75"/>
      <c r="AV981" s="75"/>
      <c r="AW981" s="75"/>
      <c r="AX981" s="80">
        <f t="shared" si="231"/>
        <v>0</v>
      </c>
      <c r="AY981" s="81" t="str">
        <f t="shared" si="232"/>
        <v/>
      </c>
      <c r="AZ981" s="83" t="str">
        <f t="shared" si="233"/>
        <v/>
      </c>
      <c r="BA981" s="80" t="str">
        <f t="shared" si="234"/>
        <v/>
      </c>
      <c r="BB981" s="84">
        <f t="shared" si="235"/>
        <v>0</v>
      </c>
      <c r="BC981" s="85" t="str">
        <f t="shared" si="236"/>
        <v/>
      </c>
      <c r="BD981" s="86" t="str">
        <f t="shared" si="237"/>
        <v/>
      </c>
      <c r="BE981" s="84">
        <f t="shared" si="238"/>
        <v>0</v>
      </c>
      <c r="BF981" s="87" t="str">
        <f t="shared" si="239"/>
        <v/>
      </c>
      <c r="BG981" s="88" t="str">
        <f t="shared" si="240"/>
        <v/>
      </c>
      <c r="BH981" s="89" t="str">
        <f t="shared" si="241"/>
        <v/>
      </c>
      <c r="BI981" s="90" t="str">
        <f t="shared" si="242"/>
        <v/>
      </c>
      <c r="BJ981" s="90" t="str">
        <f t="shared" si="243"/>
        <v/>
      </c>
      <c r="BK981" s="91">
        <f t="shared" si="244"/>
        <v>0</v>
      </c>
      <c r="BL981" s="92">
        <f t="shared" si="245"/>
        <v>0</v>
      </c>
      <c r="BM981" s="95"/>
    </row>
    <row r="982" spans="1:65">
      <c r="A982" s="61">
        <f t="shared" si="222"/>
        <v>0</v>
      </c>
      <c r="B982" s="62"/>
      <c r="C982" s="62"/>
      <c r="D982" s="63"/>
      <c r="E982" s="64"/>
      <c r="F982" s="64"/>
      <c r="G982" s="65"/>
      <c r="H982" s="66" t="str">
        <f t="shared" si="223"/>
        <v/>
      </c>
      <c r="I982" s="67" t="str">
        <f t="shared" si="224"/>
        <v/>
      </c>
      <c r="J982" s="68" t="str">
        <f t="shared" si="225"/>
        <v/>
      </c>
      <c r="K982" s="69" t="str">
        <f t="shared" si="226"/>
        <v/>
      </c>
      <c r="L982" s="70" t="str">
        <f t="shared" si="227"/>
        <v/>
      </c>
      <c r="M982" s="71"/>
      <c r="N982" s="71"/>
      <c r="O982" s="71"/>
      <c r="P982" s="71"/>
      <c r="Q982" s="61"/>
      <c r="R982" s="63"/>
      <c r="S982" s="72"/>
      <c r="T982" s="61"/>
      <c r="U982" s="73"/>
      <c r="V982" s="62"/>
      <c r="W982" s="62"/>
      <c r="X982" s="62"/>
      <c r="Y982" s="93"/>
      <c r="Z982" s="94"/>
      <c r="AA982" s="74"/>
      <c r="AB982" s="75"/>
      <c r="AC982" s="75"/>
      <c r="AD982" s="76"/>
      <c r="AE982" s="77"/>
      <c r="AF982" s="75"/>
      <c r="AG982" s="78"/>
      <c r="AH982" s="79"/>
      <c r="AI982" s="74"/>
      <c r="AJ982" s="75"/>
      <c r="AK982" s="75"/>
      <c r="AL982" s="80">
        <f t="shared" si="228"/>
        <v>0</v>
      </c>
      <c r="AM982" s="74"/>
      <c r="AN982" s="74"/>
      <c r="AO982" s="81" t="str">
        <f t="shared" si="229"/>
        <v/>
      </c>
      <c r="AP982" s="82"/>
      <c r="AQ982" s="75"/>
      <c r="AR982" s="75"/>
      <c r="AS982" s="80">
        <f t="shared" si="230"/>
        <v>0</v>
      </c>
      <c r="AT982" s="74"/>
      <c r="AU982" s="75"/>
      <c r="AV982" s="75"/>
      <c r="AW982" s="75"/>
      <c r="AX982" s="80">
        <f t="shared" si="231"/>
        <v>0</v>
      </c>
      <c r="AY982" s="81" t="str">
        <f t="shared" si="232"/>
        <v/>
      </c>
      <c r="AZ982" s="83" t="str">
        <f t="shared" si="233"/>
        <v/>
      </c>
      <c r="BA982" s="80" t="str">
        <f t="shared" si="234"/>
        <v/>
      </c>
      <c r="BB982" s="84">
        <f t="shared" si="235"/>
        <v>0</v>
      </c>
      <c r="BC982" s="85" t="str">
        <f t="shared" si="236"/>
        <v/>
      </c>
      <c r="BD982" s="86" t="str">
        <f t="shared" si="237"/>
        <v/>
      </c>
      <c r="BE982" s="84">
        <f t="shared" si="238"/>
        <v>0</v>
      </c>
      <c r="BF982" s="87" t="str">
        <f t="shared" si="239"/>
        <v/>
      </c>
      <c r="BG982" s="88" t="str">
        <f t="shared" si="240"/>
        <v/>
      </c>
      <c r="BH982" s="89" t="str">
        <f t="shared" si="241"/>
        <v/>
      </c>
      <c r="BI982" s="90" t="str">
        <f t="shared" si="242"/>
        <v/>
      </c>
      <c r="BJ982" s="90" t="str">
        <f t="shared" si="243"/>
        <v/>
      </c>
      <c r="BK982" s="91">
        <f t="shared" si="244"/>
        <v>0</v>
      </c>
      <c r="BL982" s="92">
        <f t="shared" si="245"/>
        <v>0</v>
      </c>
      <c r="BM982" s="95"/>
    </row>
    <row r="983" spans="1:65">
      <c r="A983" s="61">
        <f t="shared" si="222"/>
        <v>0</v>
      </c>
      <c r="B983" s="62"/>
      <c r="C983" s="62"/>
      <c r="D983" s="63"/>
      <c r="E983" s="64"/>
      <c r="F983" s="64"/>
      <c r="G983" s="65"/>
      <c r="H983" s="66" t="str">
        <f t="shared" si="223"/>
        <v/>
      </c>
      <c r="I983" s="67" t="str">
        <f t="shared" si="224"/>
        <v/>
      </c>
      <c r="J983" s="68" t="str">
        <f t="shared" si="225"/>
        <v/>
      </c>
      <c r="K983" s="69" t="str">
        <f t="shared" si="226"/>
        <v/>
      </c>
      <c r="L983" s="70" t="str">
        <f t="shared" si="227"/>
        <v/>
      </c>
      <c r="M983" s="71"/>
      <c r="N983" s="71"/>
      <c r="O983" s="71"/>
      <c r="P983" s="71"/>
      <c r="Q983" s="61"/>
      <c r="R983" s="63"/>
      <c r="S983" s="72"/>
      <c r="T983" s="61"/>
      <c r="U983" s="73"/>
      <c r="V983" s="62"/>
      <c r="W983" s="62"/>
      <c r="X983" s="62"/>
      <c r="Y983" s="93"/>
      <c r="Z983" s="94"/>
      <c r="AA983" s="74"/>
      <c r="AB983" s="75"/>
      <c r="AC983" s="75"/>
      <c r="AD983" s="76"/>
      <c r="AE983" s="77"/>
      <c r="AF983" s="75"/>
      <c r="AG983" s="78"/>
      <c r="AH983" s="79"/>
      <c r="AI983" s="74"/>
      <c r="AJ983" s="75"/>
      <c r="AK983" s="75"/>
      <c r="AL983" s="80">
        <f t="shared" si="228"/>
        <v>0</v>
      </c>
      <c r="AM983" s="74"/>
      <c r="AN983" s="74"/>
      <c r="AO983" s="81" t="str">
        <f t="shared" si="229"/>
        <v/>
      </c>
      <c r="AP983" s="82"/>
      <c r="AQ983" s="75"/>
      <c r="AR983" s="75"/>
      <c r="AS983" s="80">
        <f t="shared" si="230"/>
        <v>0</v>
      </c>
      <c r="AT983" s="74"/>
      <c r="AU983" s="75"/>
      <c r="AV983" s="75"/>
      <c r="AW983" s="75"/>
      <c r="AX983" s="80">
        <f t="shared" si="231"/>
        <v>0</v>
      </c>
      <c r="AY983" s="81" t="str">
        <f t="shared" si="232"/>
        <v/>
      </c>
      <c r="AZ983" s="83" t="str">
        <f t="shared" si="233"/>
        <v/>
      </c>
      <c r="BA983" s="80" t="str">
        <f t="shared" si="234"/>
        <v/>
      </c>
      <c r="BB983" s="84">
        <f t="shared" si="235"/>
        <v>0</v>
      </c>
      <c r="BC983" s="85" t="str">
        <f t="shared" si="236"/>
        <v/>
      </c>
      <c r="BD983" s="86" t="str">
        <f t="shared" si="237"/>
        <v/>
      </c>
      <c r="BE983" s="84">
        <f t="shared" si="238"/>
        <v>0</v>
      </c>
      <c r="BF983" s="87" t="str">
        <f t="shared" si="239"/>
        <v/>
      </c>
      <c r="BG983" s="88" t="str">
        <f t="shared" si="240"/>
        <v/>
      </c>
      <c r="BH983" s="89" t="str">
        <f t="shared" si="241"/>
        <v/>
      </c>
      <c r="BI983" s="90" t="str">
        <f t="shared" si="242"/>
        <v/>
      </c>
      <c r="BJ983" s="90" t="str">
        <f t="shared" si="243"/>
        <v/>
      </c>
      <c r="BK983" s="91">
        <f t="shared" si="244"/>
        <v>0</v>
      </c>
      <c r="BL983" s="92">
        <f t="shared" si="245"/>
        <v>0</v>
      </c>
      <c r="BM983" s="95"/>
    </row>
    <row r="984" spans="1:65">
      <c r="A984" s="61">
        <f t="shared" si="222"/>
        <v>0</v>
      </c>
      <c r="B984" s="62"/>
      <c r="C984" s="62"/>
      <c r="D984" s="63"/>
      <c r="E984" s="64"/>
      <c r="F984" s="64"/>
      <c r="G984" s="65"/>
      <c r="H984" s="66" t="str">
        <f t="shared" si="223"/>
        <v/>
      </c>
      <c r="I984" s="67" t="str">
        <f t="shared" si="224"/>
        <v/>
      </c>
      <c r="J984" s="68" t="str">
        <f t="shared" si="225"/>
        <v/>
      </c>
      <c r="K984" s="69" t="str">
        <f t="shared" si="226"/>
        <v/>
      </c>
      <c r="L984" s="70" t="str">
        <f t="shared" si="227"/>
        <v/>
      </c>
      <c r="M984" s="71"/>
      <c r="N984" s="71"/>
      <c r="O984" s="71"/>
      <c r="P984" s="71"/>
      <c r="Q984" s="61"/>
      <c r="R984" s="63"/>
      <c r="S984" s="72"/>
      <c r="T984" s="61"/>
      <c r="U984" s="73"/>
      <c r="V984" s="62"/>
      <c r="W984" s="62"/>
      <c r="X984" s="62"/>
      <c r="Y984" s="93"/>
      <c r="Z984" s="94"/>
      <c r="AA984" s="74"/>
      <c r="AB984" s="75"/>
      <c r="AC984" s="75"/>
      <c r="AD984" s="76"/>
      <c r="AE984" s="77"/>
      <c r="AF984" s="75"/>
      <c r="AG984" s="78"/>
      <c r="AH984" s="79"/>
      <c r="AI984" s="74"/>
      <c r="AJ984" s="75"/>
      <c r="AK984" s="75"/>
      <c r="AL984" s="80">
        <f t="shared" si="228"/>
        <v>0</v>
      </c>
      <c r="AM984" s="74"/>
      <c r="AN984" s="74"/>
      <c r="AO984" s="81" t="str">
        <f t="shared" si="229"/>
        <v/>
      </c>
      <c r="AP984" s="82"/>
      <c r="AQ984" s="75"/>
      <c r="AR984" s="75"/>
      <c r="AS984" s="80">
        <f t="shared" si="230"/>
        <v>0</v>
      </c>
      <c r="AT984" s="74"/>
      <c r="AU984" s="75"/>
      <c r="AV984" s="75"/>
      <c r="AW984" s="75"/>
      <c r="AX984" s="80">
        <f t="shared" si="231"/>
        <v>0</v>
      </c>
      <c r="AY984" s="81" t="str">
        <f t="shared" si="232"/>
        <v/>
      </c>
      <c r="AZ984" s="83" t="str">
        <f t="shared" si="233"/>
        <v/>
      </c>
      <c r="BA984" s="80" t="str">
        <f t="shared" si="234"/>
        <v/>
      </c>
      <c r="BB984" s="84">
        <f t="shared" si="235"/>
        <v>0</v>
      </c>
      <c r="BC984" s="85" t="str">
        <f t="shared" si="236"/>
        <v/>
      </c>
      <c r="BD984" s="86" t="str">
        <f t="shared" si="237"/>
        <v/>
      </c>
      <c r="BE984" s="84">
        <f t="shared" si="238"/>
        <v>0</v>
      </c>
      <c r="BF984" s="87" t="str">
        <f t="shared" si="239"/>
        <v/>
      </c>
      <c r="BG984" s="88" t="str">
        <f t="shared" si="240"/>
        <v/>
      </c>
      <c r="BH984" s="89" t="str">
        <f t="shared" si="241"/>
        <v/>
      </c>
      <c r="BI984" s="90" t="str">
        <f t="shared" si="242"/>
        <v/>
      </c>
      <c r="BJ984" s="90" t="str">
        <f t="shared" si="243"/>
        <v/>
      </c>
      <c r="BK984" s="91">
        <f t="shared" si="244"/>
        <v>0</v>
      </c>
      <c r="BL984" s="92">
        <f t="shared" si="245"/>
        <v>0</v>
      </c>
      <c r="BM984" s="95"/>
    </row>
    <row r="985" spans="1:65">
      <c r="A985" s="61">
        <f t="shared" si="222"/>
        <v>0</v>
      </c>
      <c r="B985" s="62"/>
      <c r="C985" s="62"/>
      <c r="D985" s="63"/>
      <c r="E985" s="64"/>
      <c r="F985" s="64"/>
      <c r="G985" s="65"/>
      <c r="H985" s="66" t="str">
        <f t="shared" si="223"/>
        <v/>
      </c>
      <c r="I985" s="67" t="str">
        <f t="shared" si="224"/>
        <v/>
      </c>
      <c r="J985" s="68" t="str">
        <f t="shared" si="225"/>
        <v/>
      </c>
      <c r="K985" s="69" t="str">
        <f t="shared" si="226"/>
        <v/>
      </c>
      <c r="L985" s="70" t="str">
        <f t="shared" si="227"/>
        <v/>
      </c>
      <c r="M985" s="71"/>
      <c r="N985" s="71"/>
      <c r="O985" s="71"/>
      <c r="P985" s="71"/>
      <c r="Q985" s="61"/>
      <c r="R985" s="63"/>
      <c r="S985" s="72"/>
      <c r="T985" s="61"/>
      <c r="U985" s="73"/>
      <c r="V985" s="62"/>
      <c r="W985" s="62"/>
      <c r="X985" s="62"/>
      <c r="Y985" s="93"/>
      <c r="Z985" s="94"/>
      <c r="AA985" s="74"/>
      <c r="AB985" s="75"/>
      <c r="AC985" s="75"/>
      <c r="AD985" s="76"/>
      <c r="AE985" s="77"/>
      <c r="AF985" s="75"/>
      <c r="AG985" s="78"/>
      <c r="AH985" s="79"/>
      <c r="AI985" s="74"/>
      <c r="AJ985" s="75"/>
      <c r="AK985" s="75"/>
      <c r="AL985" s="80">
        <f t="shared" si="228"/>
        <v>0</v>
      </c>
      <c r="AM985" s="74"/>
      <c r="AN985" s="74"/>
      <c r="AO985" s="81" t="str">
        <f t="shared" si="229"/>
        <v/>
      </c>
      <c r="AP985" s="82"/>
      <c r="AQ985" s="75"/>
      <c r="AR985" s="75"/>
      <c r="AS985" s="80">
        <f t="shared" si="230"/>
        <v>0</v>
      </c>
      <c r="AT985" s="74"/>
      <c r="AU985" s="75"/>
      <c r="AV985" s="75"/>
      <c r="AW985" s="75"/>
      <c r="AX985" s="80">
        <f t="shared" si="231"/>
        <v>0</v>
      </c>
      <c r="AY985" s="81" t="str">
        <f t="shared" si="232"/>
        <v/>
      </c>
      <c r="AZ985" s="83" t="str">
        <f t="shared" si="233"/>
        <v/>
      </c>
      <c r="BA985" s="80" t="str">
        <f t="shared" si="234"/>
        <v/>
      </c>
      <c r="BB985" s="84">
        <f t="shared" si="235"/>
        <v>0</v>
      </c>
      <c r="BC985" s="85" t="str">
        <f t="shared" si="236"/>
        <v/>
      </c>
      <c r="BD985" s="86" t="str">
        <f t="shared" si="237"/>
        <v/>
      </c>
      <c r="BE985" s="84">
        <f t="shared" si="238"/>
        <v>0</v>
      </c>
      <c r="BF985" s="87" t="str">
        <f t="shared" si="239"/>
        <v/>
      </c>
      <c r="BG985" s="88" t="str">
        <f t="shared" si="240"/>
        <v/>
      </c>
      <c r="BH985" s="89" t="str">
        <f t="shared" si="241"/>
        <v/>
      </c>
      <c r="BI985" s="90" t="str">
        <f t="shared" si="242"/>
        <v/>
      </c>
      <c r="BJ985" s="90" t="str">
        <f t="shared" si="243"/>
        <v/>
      </c>
      <c r="BK985" s="91">
        <f t="shared" si="244"/>
        <v>0</v>
      </c>
      <c r="BL985" s="92">
        <f t="shared" si="245"/>
        <v>0</v>
      </c>
      <c r="BM985" s="95"/>
    </row>
    <row r="986" spans="1:65">
      <c r="A986" s="61">
        <f t="shared" si="222"/>
        <v>0</v>
      </c>
      <c r="B986" s="62"/>
      <c r="C986" s="62"/>
      <c r="D986" s="63"/>
      <c r="E986" s="64"/>
      <c r="F986" s="64"/>
      <c r="G986" s="65"/>
      <c r="H986" s="66" t="str">
        <f t="shared" si="223"/>
        <v/>
      </c>
      <c r="I986" s="67" t="str">
        <f t="shared" si="224"/>
        <v/>
      </c>
      <c r="J986" s="68" t="str">
        <f t="shared" si="225"/>
        <v/>
      </c>
      <c r="K986" s="69" t="str">
        <f t="shared" si="226"/>
        <v/>
      </c>
      <c r="L986" s="70" t="str">
        <f t="shared" si="227"/>
        <v/>
      </c>
      <c r="M986" s="71"/>
      <c r="N986" s="71"/>
      <c r="O986" s="71"/>
      <c r="P986" s="71"/>
      <c r="Q986" s="61"/>
      <c r="R986" s="63"/>
      <c r="S986" s="72"/>
      <c r="T986" s="61"/>
      <c r="U986" s="73"/>
      <c r="V986" s="62"/>
      <c r="W986" s="62"/>
      <c r="X986" s="62"/>
      <c r="Y986" s="93"/>
      <c r="Z986" s="94"/>
      <c r="AA986" s="74"/>
      <c r="AB986" s="75"/>
      <c r="AC986" s="75"/>
      <c r="AD986" s="76"/>
      <c r="AE986" s="77"/>
      <c r="AF986" s="75"/>
      <c r="AG986" s="78"/>
      <c r="AH986" s="79"/>
      <c r="AI986" s="74"/>
      <c r="AJ986" s="75"/>
      <c r="AK986" s="75"/>
      <c r="AL986" s="80">
        <f t="shared" si="228"/>
        <v>0</v>
      </c>
      <c r="AM986" s="74"/>
      <c r="AN986" s="74"/>
      <c r="AO986" s="81" t="str">
        <f t="shared" si="229"/>
        <v/>
      </c>
      <c r="AP986" s="82"/>
      <c r="AQ986" s="75"/>
      <c r="AR986" s="75"/>
      <c r="AS986" s="80">
        <f t="shared" si="230"/>
        <v>0</v>
      </c>
      <c r="AT986" s="74"/>
      <c r="AU986" s="75"/>
      <c r="AV986" s="75"/>
      <c r="AW986" s="75"/>
      <c r="AX986" s="80">
        <f t="shared" si="231"/>
        <v>0</v>
      </c>
      <c r="AY986" s="81" t="str">
        <f t="shared" si="232"/>
        <v/>
      </c>
      <c r="AZ986" s="83" t="str">
        <f t="shared" si="233"/>
        <v/>
      </c>
      <c r="BA986" s="80" t="str">
        <f t="shared" si="234"/>
        <v/>
      </c>
      <c r="BB986" s="84">
        <f t="shared" si="235"/>
        <v>0</v>
      </c>
      <c r="BC986" s="85" t="str">
        <f t="shared" si="236"/>
        <v/>
      </c>
      <c r="BD986" s="86" t="str">
        <f t="shared" si="237"/>
        <v/>
      </c>
      <c r="BE986" s="84">
        <f t="shared" si="238"/>
        <v>0</v>
      </c>
      <c r="BF986" s="87" t="str">
        <f t="shared" si="239"/>
        <v/>
      </c>
      <c r="BG986" s="88" t="str">
        <f t="shared" si="240"/>
        <v/>
      </c>
      <c r="BH986" s="89" t="str">
        <f t="shared" si="241"/>
        <v/>
      </c>
      <c r="BI986" s="90" t="str">
        <f t="shared" si="242"/>
        <v/>
      </c>
      <c r="BJ986" s="90" t="str">
        <f t="shared" si="243"/>
        <v/>
      </c>
      <c r="BK986" s="91">
        <f t="shared" si="244"/>
        <v>0</v>
      </c>
      <c r="BL986" s="92">
        <f t="shared" si="245"/>
        <v>0</v>
      </c>
      <c r="BM986" s="95"/>
    </row>
    <row r="987" spans="1:65">
      <c r="A987" s="61">
        <f t="shared" si="222"/>
        <v>0</v>
      </c>
      <c r="B987" s="62"/>
      <c r="C987" s="62"/>
      <c r="D987" s="63"/>
      <c r="E987" s="64"/>
      <c r="F987" s="64"/>
      <c r="G987" s="65"/>
      <c r="H987" s="66" t="str">
        <f t="shared" si="223"/>
        <v/>
      </c>
      <c r="I987" s="67" t="str">
        <f t="shared" si="224"/>
        <v/>
      </c>
      <c r="J987" s="68" t="str">
        <f t="shared" si="225"/>
        <v/>
      </c>
      <c r="K987" s="69" t="str">
        <f t="shared" si="226"/>
        <v/>
      </c>
      <c r="L987" s="70" t="str">
        <f t="shared" si="227"/>
        <v/>
      </c>
      <c r="M987" s="71"/>
      <c r="N987" s="71"/>
      <c r="O987" s="71"/>
      <c r="P987" s="71"/>
      <c r="Q987" s="61"/>
      <c r="R987" s="63"/>
      <c r="S987" s="72"/>
      <c r="T987" s="61"/>
      <c r="U987" s="73"/>
      <c r="V987" s="62"/>
      <c r="W987" s="62"/>
      <c r="X987" s="62"/>
      <c r="Y987" s="93"/>
      <c r="Z987" s="94"/>
      <c r="AA987" s="74"/>
      <c r="AB987" s="75"/>
      <c r="AC987" s="75"/>
      <c r="AD987" s="76"/>
      <c r="AE987" s="77"/>
      <c r="AF987" s="75"/>
      <c r="AG987" s="78"/>
      <c r="AH987" s="79"/>
      <c r="AI987" s="74"/>
      <c r="AJ987" s="75"/>
      <c r="AK987" s="75"/>
      <c r="AL987" s="80">
        <f t="shared" si="228"/>
        <v>0</v>
      </c>
      <c r="AM987" s="74"/>
      <c r="AN987" s="74"/>
      <c r="AO987" s="81" t="str">
        <f t="shared" si="229"/>
        <v/>
      </c>
      <c r="AP987" s="82"/>
      <c r="AQ987" s="75"/>
      <c r="AR987" s="75"/>
      <c r="AS987" s="80">
        <f t="shared" si="230"/>
        <v>0</v>
      </c>
      <c r="AT987" s="74"/>
      <c r="AU987" s="75"/>
      <c r="AV987" s="75"/>
      <c r="AW987" s="75"/>
      <c r="AX987" s="80">
        <f t="shared" si="231"/>
        <v>0</v>
      </c>
      <c r="AY987" s="81" t="str">
        <f t="shared" si="232"/>
        <v/>
      </c>
      <c r="AZ987" s="83" t="str">
        <f t="shared" si="233"/>
        <v/>
      </c>
      <c r="BA987" s="80" t="str">
        <f t="shared" si="234"/>
        <v/>
      </c>
      <c r="BB987" s="84">
        <f t="shared" si="235"/>
        <v>0</v>
      </c>
      <c r="BC987" s="85" t="str">
        <f t="shared" si="236"/>
        <v/>
      </c>
      <c r="BD987" s="86" t="str">
        <f t="shared" si="237"/>
        <v/>
      </c>
      <c r="BE987" s="84">
        <f t="shared" si="238"/>
        <v>0</v>
      </c>
      <c r="BF987" s="87" t="str">
        <f t="shared" si="239"/>
        <v/>
      </c>
      <c r="BG987" s="88" t="str">
        <f t="shared" si="240"/>
        <v/>
      </c>
      <c r="BH987" s="89" t="str">
        <f t="shared" si="241"/>
        <v/>
      </c>
      <c r="BI987" s="90" t="str">
        <f t="shared" si="242"/>
        <v/>
      </c>
      <c r="BJ987" s="90" t="str">
        <f t="shared" si="243"/>
        <v/>
      </c>
      <c r="BK987" s="91">
        <f t="shared" si="244"/>
        <v>0</v>
      </c>
      <c r="BL987" s="92">
        <f t="shared" si="245"/>
        <v>0</v>
      </c>
      <c r="BM987" s="95"/>
    </row>
    <row r="988" spans="1:65">
      <c r="A988" s="61">
        <f t="shared" si="222"/>
        <v>0</v>
      </c>
      <c r="B988" s="62"/>
      <c r="C988" s="62"/>
      <c r="D988" s="63"/>
      <c r="E988" s="64"/>
      <c r="F988" s="64"/>
      <c r="G988" s="65"/>
      <c r="H988" s="66" t="str">
        <f t="shared" si="223"/>
        <v/>
      </c>
      <c r="I988" s="67" t="str">
        <f t="shared" si="224"/>
        <v/>
      </c>
      <c r="J988" s="68" t="str">
        <f t="shared" si="225"/>
        <v/>
      </c>
      <c r="K988" s="69" t="str">
        <f t="shared" si="226"/>
        <v/>
      </c>
      <c r="L988" s="70" t="str">
        <f t="shared" si="227"/>
        <v/>
      </c>
      <c r="M988" s="71"/>
      <c r="N988" s="71"/>
      <c r="O988" s="71"/>
      <c r="P988" s="71"/>
      <c r="Q988" s="61"/>
      <c r="R988" s="63"/>
      <c r="S988" s="72"/>
      <c r="T988" s="61"/>
      <c r="U988" s="73"/>
      <c r="V988" s="62"/>
      <c r="W988" s="62"/>
      <c r="X988" s="62"/>
      <c r="Y988" s="93"/>
      <c r="Z988" s="94"/>
      <c r="AA988" s="74"/>
      <c r="AB988" s="75"/>
      <c r="AC988" s="75"/>
      <c r="AD988" s="76"/>
      <c r="AE988" s="77"/>
      <c r="AF988" s="75"/>
      <c r="AG988" s="78"/>
      <c r="AH988" s="79"/>
      <c r="AI988" s="74"/>
      <c r="AJ988" s="75"/>
      <c r="AK988" s="75"/>
      <c r="AL988" s="80">
        <f t="shared" si="228"/>
        <v>0</v>
      </c>
      <c r="AM988" s="74"/>
      <c r="AN988" s="74"/>
      <c r="AO988" s="81" t="str">
        <f t="shared" si="229"/>
        <v/>
      </c>
      <c r="AP988" s="82"/>
      <c r="AQ988" s="75"/>
      <c r="AR988" s="75"/>
      <c r="AS988" s="80">
        <f t="shared" si="230"/>
        <v>0</v>
      </c>
      <c r="AT988" s="74"/>
      <c r="AU988" s="75"/>
      <c r="AV988" s="75"/>
      <c r="AW988" s="75"/>
      <c r="AX988" s="80">
        <f t="shared" si="231"/>
        <v>0</v>
      </c>
      <c r="AY988" s="81" t="str">
        <f t="shared" si="232"/>
        <v/>
      </c>
      <c r="AZ988" s="83" t="str">
        <f t="shared" si="233"/>
        <v/>
      </c>
      <c r="BA988" s="80" t="str">
        <f t="shared" si="234"/>
        <v/>
      </c>
      <c r="BB988" s="84">
        <f t="shared" si="235"/>
        <v>0</v>
      </c>
      <c r="BC988" s="85" t="str">
        <f t="shared" si="236"/>
        <v/>
      </c>
      <c r="BD988" s="86" t="str">
        <f t="shared" si="237"/>
        <v/>
      </c>
      <c r="BE988" s="84">
        <f t="shared" si="238"/>
        <v>0</v>
      </c>
      <c r="BF988" s="87" t="str">
        <f t="shared" si="239"/>
        <v/>
      </c>
      <c r="BG988" s="88" t="str">
        <f t="shared" si="240"/>
        <v/>
      </c>
      <c r="BH988" s="89" t="str">
        <f t="shared" si="241"/>
        <v/>
      </c>
      <c r="BI988" s="90" t="str">
        <f t="shared" si="242"/>
        <v/>
      </c>
      <c r="BJ988" s="90" t="str">
        <f t="shared" si="243"/>
        <v/>
      </c>
      <c r="BK988" s="91">
        <f t="shared" si="244"/>
        <v>0</v>
      </c>
      <c r="BL988" s="92">
        <f t="shared" si="245"/>
        <v>0</v>
      </c>
      <c r="BM988" s="95"/>
    </row>
    <row r="989" spans="1:65">
      <c r="A989" s="61">
        <f t="shared" si="222"/>
        <v>0</v>
      </c>
      <c r="B989" s="62"/>
      <c r="C989" s="62"/>
      <c r="D989" s="63"/>
      <c r="E989" s="64"/>
      <c r="F989" s="64"/>
      <c r="G989" s="65"/>
      <c r="H989" s="66" t="str">
        <f t="shared" si="223"/>
        <v/>
      </c>
      <c r="I989" s="67" t="str">
        <f t="shared" si="224"/>
        <v/>
      </c>
      <c r="J989" s="68" t="str">
        <f t="shared" si="225"/>
        <v/>
      </c>
      <c r="K989" s="69" t="str">
        <f t="shared" si="226"/>
        <v/>
      </c>
      <c r="L989" s="70" t="str">
        <f t="shared" si="227"/>
        <v/>
      </c>
      <c r="M989" s="71"/>
      <c r="N989" s="71"/>
      <c r="O989" s="71"/>
      <c r="P989" s="71"/>
      <c r="Q989" s="61"/>
      <c r="R989" s="63"/>
      <c r="S989" s="72"/>
      <c r="T989" s="61"/>
      <c r="U989" s="73"/>
      <c r="V989" s="62"/>
      <c r="W989" s="62"/>
      <c r="X989" s="62"/>
      <c r="Y989" s="93"/>
      <c r="Z989" s="94"/>
      <c r="AA989" s="74"/>
      <c r="AB989" s="75"/>
      <c r="AC989" s="75"/>
      <c r="AD989" s="76"/>
      <c r="AE989" s="77"/>
      <c r="AF989" s="75"/>
      <c r="AG989" s="78"/>
      <c r="AH989" s="79"/>
      <c r="AI989" s="74"/>
      <c r="AJ989" s="75"/>
      <c r="AK989" s="75"/>
      <c r="AL989" s="80">
        <f t="shared" si="228"/>
        <v>0</v>
      </c>
      <c r="AM989" s="74"/>
      <c r="AN989" s="74"/>
      <c r="AO989" s="81" t="str">
        <f t="shared" si="229"/>
        <v/>
      </c>
      <c r="AP989" s="82"/>
      <c r="AQ989" s="75"/>
      <c r="AR989" s="75"/>
      <c r="AS989" s="80">
        <f t="shared" si="230"/>
        <v>0</v>
      </c>
      <c r="AT989" s="74"/>
      <c r="AU989" s="75"/>
      <c r="AV989" s="75"/>
      <c r="AW989" s="75"/>
      <c r="AX989" s="80">
        <f t="shared" si="231"/>
        <v>0</v>
      </c>
      <c r="AY989" s="81" t="str">
        <f t="shared" si="232"/>
        <v/>
      </c>
      <c r="AZ989" s="83" t="str">
        <f t="shared" si="233"/>
        <v/>
      </c>
      <c r="BA989" s="80" t="str">
        <f t="shared" si="234"/>
        <v/>
      </c>
      <c r="BB989" s="84">
        <f t="shared" si="235"/>
        <v>0</v>
      </c>
      <c r="BC989" s="85" t="str">
        <f t="shared" si="236"/>
        <v/>
      </c>
      <c r="BD989" s="86" t="str">
        <f t="shared" si="237"/>
        <v/>
      </c>
      <c r="BE989" s="84">
        <f t="shared" si="238"/>
        <v>0</v>
      </c>
      <c r="BF989" s="87" t="str">
        <f t="shared" si="239"/>
        <v/>
      </c>
      <c r="BG989" s="88" t="str">
        <f t="shared" si="240"/>
        <v/>
      </c>
      <c r="BH989" s="89" t="str">
        <f t="shared" si="241"/>
        <v/>
      </c>
      <c r="BI989" s="90" t="str">
        <f t="shared" si="242"/>
        <v/>
      </c>
      <c r="BJ989" s="90" t="str">
        <f t="shared" si="243"/>
        <v/>
      </c>
      <c r="BK989" s="91">
        <f t="shared" si="244"/>
        <v>0</v>
      </c>
      <c r="BL989" s="92">
        <f t="shared" si="245"/>
        <v>0</v>
      </c>
      <c r="BM989" s="95"/>
    </row>
    <row r="990" spans="1:65">
      <c r="A990" s="61">
        <f t="shared" si="222"/>
        <v>0</v>
      </c>
      <c r="B990" s="62"/>
      <c r="C990" s="62"/>
      <c r="D990" s="63"/>
      <c r="E990" s="64"/>
      <c r="F990" s="64"/>
      <c r="G990" s="65"/>
      <c r="H990" s="66" t="str">
        <f t="shared" si="223"/>
        <v/>
      </c>
      <c r="I990" s="67" t="str">
        <f t="shared" si="224"/>
        <v/>
      </c>
      <c r="J990" s="68" t="str">
        <f t="shared" si="225"/>
        <v/>
      </c>
      <c r="K990" s="69" t="str">
        <f t="shared" si="226"/>
        <v/>
      </c>
      <c r="L990" s="70" t="str">
        <f t="shared" si="227"/>
        <v/>
      </c>
      <c r="M990" s="71"/>
      <c r="N990" s="71"/>
      <c r="O990" s="71"/>
      <c r="P990" s="71"/>
      <c r="Q990" s="61"/>
      <c r="R990" s="63"/>
      <c r="S990" s="72"/>
      <c r="T990" s="61"/>
      <c r="U990" s="73"/>
      <c r="V990" s="62"/>
      <c r="W990" s="62"/>
      <c r="X990" s="62"/>
      <c r="Y990" s="93"/>
      <c r="Z990" s="94"/>
      <c r="AA990" s="74"/>
      <c r="AB990" s="75"/>
      <c r="AC990" s="75"/>
      <c r="AD990" s="76"/>
      <c r="AE990" s="77"/>
      <c r="AF990" s="75"/>
      <c r="AG990" s="78"/>
      <c r="AH990" s="79"/>
      <c r="AI990" s="74"/>
      <c r="AJ990" s="75"/>
      <c r="AK990" s="75"/>
      <c r="AL990" s="80">
        <f t="shared" si="228"/>
        <v>0</v>
      </c>
      <c r="AM990" s="74"/>
      <c r="AN990" s="74"/>
      <c r="AO990" s="81" t="str">
        <f t="shared" si="229"/>
        <v/>
      </c>
      <c r="AP990" s="82"/>
      <c r="AQ990" s="75"/>
      <c r="AR990" s="75"/>
      <c r="AS990" s="80">
        <f t="shared" si="230"/>
        <v>0</v>
      </c>
      <c r="AT990" s="74"/>
      <c r="AU990" s="75"/>
      <c r="AV990" s="75"/>
      <c r="AW990" s="75"/>
      <c r="AX990" s="80">
        <f t="shared" si="231"/>
        <v>0</v>
      </c>
      <c r="AY990" s="81" t="str">
        <f t="shared" si="232"/>
        <v/>
      </c>
      <c r="AZ990" s="83" t="str">
        <f t="shared" si="233"/>
        <v/>
      </c>
      <c r="BA990" s="80" t="str">
        <f t="shared" si="234"/>
        <v/>
      </c>
      <c r="BB990" s="84">
        <f t="shared" si="235"/>
        <v>0</v>
      </c>
      <c r="BC990" s="85" t="str">
        <f t="shared" si="236"/>
        <v/>
      </c>
      <c r="BD990" s="86" t="str">
        <f t="shared" si="237"/>
        <v/>
      </c>
      <c r="BE990" s="84">
        <f t="shared" si="238"/>
        <v>0</v>
      </c>
      <c r="BF990" s="87" t="str">
        <f t="shared" si="239"/>
        <v/>
      </c>
      <c r="BG990" s="88" t="str">
        <f t="shared" si="240"/>
        <v/>
      </c>
      <c r="BH990" s="89" t="str">
        <f t="shared" si="241"/>
        <v/>
      </c>
      <c r="BI990" s="90" t="str">
        <f t="shared" si="242"/>
        <v/>
      </c>
      <c r="BJ990" s="90" t="str">
        <f t="shared" si="243"/>
        <v/>
      </c>
      <c r="BK990" s="91">
        <f t="shared" si="244"/>
        <v>0</v>
      </c>
      <c r="BL990" s="92">
        <f t="shared" si="245"/>
        <v>0</v>
      </c>
      <c r="BM990" s="95"/>
    </row>
    <row r="991" spans="1:65">
      <c r="A991" s="61">
        <f t="shared" si="222"/>
        <v>0</v>
      </c>
      <c r="B991" s="62"/>
      <c r="C991" s="62"/>
      <c r="D991" s="63"/>
      <c r="E991" s="64"/>
      <c r="F991" s="64"/>
      <c r="G991" s="65"/>
      <c r="H991" s="66" t="str">
        <f t="shared" si="223"/>
        <v/>
      </c>
      <c r="I991" s="67" t="str">
        <f t="shared" si="224"/>
        <v/>
      </c>
      <c r="J991" s="68" t="str">
        <f t="shared" si="225"/>
        <v/>
      </c>
      <c r="K991" s="69" t="str">
        <f t="shared" si="226"/>
        <v/>
      </c>
      <c r="L991" s="70" t="str">
        <f t="shared" si="227"/>
        <v/>
      </c>
      <c r="M991" s="71"/>
      <c r="N991" s="71"/>
      <c r="O991" s="71"/>
      <c r="P991" s="71"/>
      <c r="Q991" s="61"/>
      <c r="R991" s="63"/>
      <c r="S991" s="72"/>
      <c r="T991" s="61"/>
      <c r="U991" s="73"/>
      <c r="V991" s="62"/>
      <c r="W991" s="62"/>
      <c r="X991" s="62"/>
      <c r="Y991" s="93"/>
      <c r="Z991" s="94"/>
      <c r="AA991" s="74"/>
      <c r="AB991" s="75"/>
      <c r="AC991" s="75"/>
      <c r="AD991" s="76"/>
      <c r="AE991" s="77"/>
      <c r="AF991" s="75"/>
      <c r="AG991" s="78"/>
      <c r="AH991" s="79"/>
      <c r="AI991" s="74"/>
      <c r="AJ991" s="75"/>
      <c r="AK991" s="75"/>
      <c r="AL991" s="80">
        <f t="shared" si="228"/>
        <v>0</v>
      </c>
      <c r="AM991" s="74"/>
      <c r="AN991" s="74"/>
      <c r="AO991" s="81" t="str">
        <f t="shared" si="229"/>
        <v/>
      </c>
      <c r="AP991" s="82"/>
      <c r="AQ991" s="75"/>
      <c r="AR991" s="75"/>
      <c r="AS991" s="80">
        <f t="shared" si="230"/>
        <v>0</v>
      </c>
      <c r="AT991" s="74"/>
      <c r="AU991" s="75"/>
      <c r="AV991" s="75"/>
      <c r="AW991" s="75"/>
      <c r="AX991" s="80">
        <f t="shared" si="231"/>
        <v>0</v>
      </c>
      <c r="AY991" s="81" t="str">
        <f t="shared" si="232"/>
        <v/>
      </c>
      <c r="AZ991" s="83" t="str">
        <f t="shared" si="233"/>
        <v/>
      </c>
      <c r="BA991" s="80" t="str">
        <f t="shared" si="234"/>
        <v/>
      </c>
      <c r="BB991" s="84">
        <f t="shared" si="235"/>
        <v>0</v>
      </c>
      <c r="BC991" s="85" t="str">
        <f t="shared" si="236"/>
        <v/>
      </c>
      <c r="BD991" s="86" t="str">
        <f t="shared" si="237"/>
        <v/>
      </c>
      <c r="BE991" s="84">
        <f t="shared" si="238"/>
        <v>0</v>
      </c>
      <c r="BF991" s="87" t="str">
        <f t="shared" si="239"/>
        <v/>
      </c>
      <c r="BG991" s="88" t="str">
        <f t="shared" si="240"/>
        <v/>
      </c>
      <c r="BH991" s="89" t="str">
        <f t="shared" si="241"/>
        <v/>
      </c>
      <c r="BI991" s="90" t="str">
        <f t="shared" si="242"/>
        <v/>
      </c>
      <c r="BJ991" s="90" t="str">
        <f t="shared" si="243"/>
        <v/>
      </c>
      <c r="BK991" s="91">
        <f t="shared" si="244"/>
        <v>0</v>
      </c>
      <c r="BL991" s="92">
        <f t="shared" si="245"/>
        <v>0</v>
      </c>
      <c r="BM991" s="95"/>
    </row>
    <row r="992" spans="1:65">
      <c r="A992" s="61">
        <f t="shared" si="222"/>
        <v>0</v>
      </c>
      <c r="B992" s="62"/>
      <c r="C992" s="62"/>
      <c r="D992" s="63"/>
      <c r="E992" s="64"/>
      <c r="F992" s="64"/>
      <c r="G992" s="65"/>
      <c r="H992" s="66" t="str">
        <f t="shared" si="223"/>
        <v/>
      </c>
      <c r="I992" s="67" t="str">
        <f t="shared" si="224"/>
        <v/>
      </c>
      <c r="J992" s="68" t="str">
        <f t="shared" si="225"/>
        <v/>
      </c>
      <c r="K992" s="69" t="str">
        <f t="shared" si="226"/>
        <v/>
      </c>
      <c r="L992" s="70" t="str">
        <f t="shared" si="227"/>
        <v/>
      </c>
      <c r="M992" s="71"/>
      <c r="N992" s="71"/>
      <c r="O992" s="71"/>
      <c r="P992" s="71"/>
      <c r="Q992" s="61"/>
      <c r="R992" s="63"/>
      <c r="S992" s="72"/>
      <c r="T992" s="61"/>
      <c r="U992" s="73"/>
      <c r="V992" s="62"/>
      <c r="W992" s="62"/>
      <c r="X992" s="62"/>
      <c r="Y992" s="93"/>
      <c r="Z992" s="94"/>
      <c r="AA992" s="74"/>
      <c r="AB992" s="75"/>
      <c r="AC992" s="75"/>
      <c r="AD992" s="76"/>
      <c r="AE992" s="77"/>
      <c r="AF992" s="75"/>
      <c r="AG992" s="78"/>
      <c r="AH992" s="79"/>
      <c r="AI992" s="74"/>
      <c r="AJ992" s="75"/>
      <c r="AK992" s="75"/>
      <c r="AL992" s="80">
        <f t="shared" si="228"/>
        <v>0</v>
      </c>
      <c r="AM992" s="74"/>
      <c r="AN992" s="74"/>
      <c r="AO992" s="81" t="str">
        <f t="shared" si="229"/>
        <v/>
      </c>
      <c r="AP992" s="82"/>
      <c r="AQ992" s="75"/>
      <c r="AR992" s="75"/>
      <c r="AS992" s="80">
        <f t="shared" si="230"/>
        <v>0</v>
      </c>
      <c r="AT992" s="74"/>
      <c r="AU992" s="75"/>
      <c r="AV992" s="75"/>
      <c r="AW992" s="75"/>
      <c r="AX992" s="80">
        <f t="shared" si="231"/>
        <v>0</v>
      </c>
      <c r="AY992" s="81" t="str">
        <f t="shared" si="232"/>
        <v/>
      </c>
      <c r="AZ992" s="83" t="str">
        <f t="shared" si="233"/>
        <v/>
      </c>
      <c r="BA992" s="80" t="str">
        <f t="shared" si="234"/>
        <v/>
      </c>
      <c r="BB992" s="84">
        <f t="shared" si="235"/>
        <v>0</v>
      </c>
      <c r="BC992" s="85" t="str">
        <f t="shared" si="236"/>
        <v/>
      </c>
      <c r="BD992" s="86" t="str">
        <f t="shared" si="237"/>
        <v/>
      </c>
      <c r="BE992" s="84">
        <f t="shared" si="238"/>
        <v>0</v>
      </c>
      <c r="BF992" s="87" t="str">
        <f t="shared" si="239"/>
        <v/>
      </c>
      <c r="BG992" s="88" t="str">
        <f t="shared" si="240"/>
        <v/>
      </c>
      <c r="BH992" s="89" t="str">
        <f t="shared" si="241"/>
        <v/>
      </c>
      <c r="BI992" s="90" t="str">
        <f t="shared" si="242"/>
        <v/>
      </c>
      <c r="BJ992" s="90" t="str">
        <f t="shared" si="243"/>
        <v/>
      </c>
      <c r="BK992" s="91">
        <f t="shared" si="244"/>
        <v>0</v>
      </c>
      <c r="BL992" s="92">
        <f t="shared" si="245"/>
        <v>0</v>
      </c>
      <c r="BM992" s="95"/>
    </row>
    <row r="993" spans="1:65">
      <c r="A993" s="61">
        <f t="shared" si="222"/>
        <v>0</v>
      </c>
      <c r="B993" s="62"/>
      <c r="C993" s="62"/>
      <c r="D993" s="63"/>
      <c r="E993" s="64"/>
      <c r="F993" s="64"/>
      <c r="G993" s="65"/>
      <c r="H993" s="66" t="str">
        <f t="shared" si="223"/>
        <v/>
      </c>
      <c r="I993" s="67" t="str">
        <f t="shared" si="224"/>
        <v/>
      </c>
      <c r="J993" s="68" t="str">
        <f t="shared" si="225"/>
        <v/>
      </c>
      <c r="K993" s="69" t="str">
        <f t="shared" si="226"/>
        <v/>
      </c>
      <c r="L993" s="70" t="str">
        <f t="shared" si="227"/>
        <v/>
      </c>
      <c r="M993" s="71"/>
      <c r="N993" s="71"/>
      <c r="O993" s="71"/>
      <c r="P993" s="71"/>
      <c r="Q993" s="61"/>
      <c r="R993" s="63"/>
      <c r="S993" s="72"/>
      <c r="T993" s="61"/>
      <c r="U993" s="73"/>
      <c r="V993" s="62"/>
      <c r="W993" s="62"/>
      <c r="X993" s="62"/>
      <c r="Y993" s="93"/>
      <c r="Z993" s="94"/>
      <c r="AA993" s="74"/>
      <c r="AB993" s="75"/>
      <c r="AC993" s="75"/>
      <c r="AD993" s="76"/>
      <c r="AE993" s="77"/>
      <c r="AF993" s="75"/>
      <c r="AG993" s="78"/>
      <c r="AH993" s="79"/>
      <c r="AI993" s="74"/>
      <c r="AJ993" s="75"/>
      <c r="AK993" s="75"/>
      <c r="AL993" s="80">
        <f t="shared" si="228"/>
        <v>0</v>
      </c>
      <c r="AM993" s="74"/>
      <c r="AN993" s="74"/>
      <c r="AO993" s="81" t="str">
        <f t="shared" si="229"/>
        <v/>
      </c>
      <c r="AP993" s="82"/>
      <c r="AQ993" s="75"/>
      <c r="AR993" s="75"/>
      <c r="AS993" s="80">
        <f t="shared" si="230"/>
        <v>0</v>
      </c>
      <c r="AT993" s="74"/>
      <c r="AU993" s="75"/>
      <c r="AV993" s="75"/>
      <c r="AW993" s="75"/>
      <c r="AX993" s="80">
        <f t="shared" si="231"/>
        <v>0</v>
      </c>
      <c r="AY993" s="81" t="str">
        <f t="shared" si="232"/>
        <v/>
      </c>
      <c r="AZ993" s="83" t="str">
        <f t="shared" si="233"/>
        <v/>
      </c>
      <c r="BA993" s="80" t="str">
        <f t="shared" si="234"/>
        <v/>
      </c>
      <c r="BB993" s="84">
        <f t="shared" si="235"/>
        <v>0</v>
      </c>
      <c r="BC993" s="85" t="str">
        <f t="shared" si="236"/>
        <v/>
      </c>
      <c r="BD993" s="86" t="str">
        <f t="shared" si="237"/>
        <v/>
      </c>
      <c r="BE993" s="84">
        <f t="shared" si="238"/>
        <v>0</v>
      </c>
      <c r="BF993" s="87" t="str">
        <f t="shared" si="239"/>
        <v/>
      </c>
      <c r="BG993" s="88" t="str">
        <f t="shared" si="240"/>
        <v/>
      </c>
      <c r="BH993" s="89" t="str">
        <f t="shared" si="241"/>
        <v/>
      </c>
      <c r="BI993" s="90" t="str">
        <f t="shared" si="242"/>
        <v/>
      </c>
      <c r="BJ993" s="90" t="str">
        <f t="shared" si="243"/>
        <v/>
      </c>
      <c r="BK993" s="91">
        <f t="shared" si="244"/>
        <v>0</v>
      </c>
      <c r="BL993" s="92">
        <f t="shared" si="245"/>
        <v>0</v>
      </c>
      <c r="BM993" s="95"/>
    </row>
    <row r="994" spans="1:65">
      <c r="A994" s="61">
        <f t="shared" ref="A994:A1005" si="246">B994</f>
        <v>0</v>
      </c>
      <c r="B994" s="62"/>
      <c r="C994" s="62"/>
      <c r="D994" s="63"/>
      <c r="E994" s="64"/>
      <c r="F994" s="64"/>
      <c r="G994" s="65"/>
      <c r="H994" s="66" t="str">
        <f t="shared" si="223"/>
        <v/>
      </c>
      <c r="I994" s="67" t="str">
        <f t="shared" si="224"/>
        <v/>
      </c>
      <c r="J994" s="68" t="str">
        <f t="shared" si="225"/>
        <v/>
      </c>
      <c r="K994" s="69" t="str">
        <f t="shared" si="226"/>
        <v/>
      </c>
      <c r="L994" s="70" t="str">
        <f t="shared" si="227"/>
        <v/>
      </c>
      <c r="M994" s="71"/>
      <c r="N994" s="71"/>
      <c r="O994" s="71"/>
      <c r="P994" s="71"/>
      <c r="Q994" s="61"/>
      <c r="R994" s="63"/>
      <c r="S994" s="72"/>
      <c r="T994" s="61"/>
      <c r="U994" s="73"/>
      <c r="V994" s="62"/>
      <c r="W994" s="62"/>
      <c r="X994" s="62"/>
      <c r="Y994" s="93"/>
      <c r="Z994" s="94"/>
      <c r="AA994" s="74"/>
      <c r="AB994" s="75"/>
      <c r="AC994" s="75"/>
      <c r="AD994" s="76"/>
      <c r="AE994" s="77"/>
      <c r="AF994" s="75"/>
      <c r="AG994" s="78"/>
      <c r="AH994" s="79"/>
      <c r="AI994" s="74"/>
      <c r="AJ994" s="75"/>
      <c r="AK994" s="75"/>
      <c r="AL994" s="80">
        <f t="shared" si="228"/>
        <v>0</v>
      </c>
      <c r="AM994" s="74"/>
      <c r="AN994" s="74"/>
      <c r="AO994" s="81" t="str">
        <f t="shared" si="229"/>
        <v/>
      </c>
      <c r="AP994" s="82"/>
      <c r="AQ994" s="75"/>
      <c r="AR994" s="75"/>
      <c r="AS994" s="80">
        <f t="shared" si="230"/>
        <v>0</v>
      </c>
      <c r="AT994" s="74"/>
      <c r="AU994" s="75"/>
      <c r="AV994" s="75"/>
      <c r="AW994" s="75"/>
      <c r="AX994" s="80">
        <f t="shared" si="231"/>
        <v>0</v>
      </c>
      <c r="AY994" s="81" t="str">
        <f t="shared" si="232"/>
        <v/>
      </c>
      <c r="AZ994" s="83" t="str">
        <f t="shared" si="233"/>
        <v/>
      </c>
      <c r="BA994" s="80" t="str">
        <f t="shared" si="234"/>
        <v/>
      </c>
      <c r="BB994" s="84">
        <f t="shared" si="235"/>
        <v>0</v>
      </c>
      <c r="BC994" s="85" t="str">
        <f t="shared" si="236"/>
        <v/>
      </c>
      <c r="BD994" s="86" t="str">
        <f t="shared" si="237"/>
        <v/>
      </c>
      <c r="BE994" s="84">
        <f t="shared" si="238"/>
        <v>0</v>
      </c>
      <c r="BF994" s="87" t="str">
        <f t="shared" si="239"/>
        <v/>
      </c>
      <c r="BG994" s="88" t="str">
        <f t="shared" si="240"/>
        <v/>
      </c>
      <c r="BH994" s="89" t="str">
        <f t="shared" si="241"/>
        <v/>
      </c>
      <c r="BI994" s="90" t="str">
        <f t="shared" si="242"/>
        <v/>
      </c>
      <c r="BJ994" s="90" t="str">
        <f t="shared" si="243"/>
        <v/>
      </c>
      <c r="BK994" s="91">
        <f t="shared" si="244"/>
        <v>0</v>
      </c>
      <c r="BL994" s="92">
        <f t="shared" si="245"/>
        <v>0</v>
      </c>
      <c r="BM994" s="95"/>
    </row>
    <row r="995" spans="1:65">
      <c r="A995" s="61">
        <f t="shared" si="246"/>
        <v>0</v>
      </c>
      <c r="B995" s="62"/>
      <c r="C995" s="62"/>
      <c r="D995" s="63"/>
      <c r="E995" s="64"/>
      <c r="F995" s="64"/>
      <c r="G995" s="65"/>
      <c r="H995" s="66" t="str">
        <f t="shared" si="223"/>
        <v/>
      </c>
      <c r="I995" s="67" t="str">
        <f t="shared" si="224"/>
        <v/>
      </c>
      <c r="J995" s="68" t="str">
        <f t="shared" si="225"/>
        <v/>
      </c>
      <c r="K995" s="69" t="str">
        <f t="shared" si="226"/>
        <v/>
      </c>
      <c r="L995" s="70" t="str">
        <f t="shared" si="227"/>
        <v/>
      </c>
      <c r="M995" s="71"/>
      <c r="N995" s="71"/>
      <c r="O995" s="71"/>
      <c r="P995" s="71"/>
      <c r="Q995" s="61"/>
      <c r="R995" s="63"/>
      <c r="S995" s="72"/>
      <c r="T995" s="61"/>
      <c r="U995" s="73"/>
      <c r="V995" s="62"/>
      <c r="W995" s="62"/>
      <c r="X995" s="62"/>
      <c r="Y995" s="93"/>
      <c r="Z995" s="94"/>
      <c r="AA995" s="74"/>
      <c r="AB995" s="75"/>
      <c r="AC995" s="75"/>
      <c r="AD995" s="76"/>
      <c r="AE995" s="77"/>
      <c r="AF995" s="75"/>
      <c r="AG995" s="78"/>
      <c r="AH995" s="79"/>
      <c r="AI995" s="74"/>
      <c r="AJ995" s="75"/>
      <c r="AK995" s="75"/>
      <c r="AL995" s="80">
        <f t="shared" si="228"/>
        <v>0</v>
      </c>
      <c r="AM995" s="74"/>
      <c r="AN995" s="74"/>
      <c r="AO995" s="81" t="str">
        <f t="shared" si="229"/>
        <v/>
      </c>
      <c r="AP995" s="82"/>
      <c r="AQ995" s="75"/>
      <c r="AR995" s="75"/>
      <c r="AS995" s="80">
        <f t="shared" si="230"/>
        <v>0</v>
      </c>
      <c r="AT995" s="74"/>
      <c r="AU995" s="75"/>
      <c r="AV995" s="75"/>
      <c r="AW995" s="75"/>
      <c r="AX995" s="80">
        <f t="shared" si="231"/>
        <v>0</v>
      </c>
      <c r="AY995" s="81" t="str">
        <f t="shared" si="232"/>
        <v/>
      </c>
      <c r="AZ995" s="83" t="str">
        <f t="shared" si="233"/>
        <v/>
      </c>
      <c r="BA995" s="80" t="str">
        <f t="shared" si="234"/>
        <v/>
      </c>
      <c r="BB995" s="84">
        <f t="shared" si="235"/>
        <v>0</v>
      </c>
      <c r="BC995" s="85" t="str">
        <f t="shared" si="236"/>
        <v/>
      </c>
      <c r="BD995" s="86" t="str">
        <f t="shared" si="237"/>
        <v/>
      </c>
      <c r="BE995" s="84">
        <f t="shared" si="238"/>
        <v>0</v>
      </c>
      <c r="BF995" s="87" t="str">
        <f t="shared" si="239"/>
        <v/>
      </c>
      <c r="BG995" s="88" t="str">
        <f t="shared" si="240"/>
        <v/>
      </c>
      <c r="BH995" s="89" t="str">
        <f t="shared" si="241"/>
        <v/>
      </c>
      <c r="BI995" s="90" t="str">
        <f t="shared" si="242"/>
        <v/>
      </c>
      <c r="BJ995" s="90" t="str">
        <f t="shared" si="243"/>
        <v/>
      </c>
      <c r="BK995" s="91">
        <f t="shared" si="244"/>
        <v>0</v>
      </c>
      <c r="BL995" s="92">
        <f t="shared" si="245"/>
        <v>0</v>
      </c>
      <c r="BM995" s="95"/>
    </row>
    <row r="996" spans="1:65">
      <c r="A996" s="61">
        <f t="shared" si="246"/>
        <v>0</v>
      </c>
      <c r="B996" s="62"/>
      <c r="C996" s="62"/>
      <c r="D996" s="63"/>
      <c r="E996" s="64"/>
      <c r="F996" s="64"/>
      <c r="G996" s="65"/>
      <c r="H996" s="66" t="str">
        <f t="shared" si="223"/>
        <v/>
      </c>
      <c r="I996" s="67" t="str">
        <f t="shared" si="224"/>
        <v/>
      </c>
      <c r="J996" s="68" t="str">
        <f t="shared" si="225"/>
        <v/>
      </c>
      <c r="K996" s="69" t="str">
        <f t="shared" si="226"/>
        <v/>
      </c>
      <c r="L996" s="70" t="str">
        <f t="shared" si="227"/>
        <v/>
      </c>
      <c r="M996" s="71"/>
      <c r="N996" s="71"/>
      <c r="O996" s="71"/>
      <c r="P996" s="71"/>
      <c r="Q996" s="61"/>
      <c r="R996" s="63"/>
      <c r="S996" s="72"/>
      <c r="T996" s="61"/>
      <c r="U996" s="73"/>
      <c r="V996" s="62"/>
      <c r="W996" s="62"/>
      <c r="X996" s="62"/>
      <c r="Y996" s="93"/>
      <c r="Z996" s="94"/>
      <c r="AA996" s="74"/>
      <c r="AB996" s="75"/>
      <c r="AC996" s="75"/>
      <c r="AD996" s="76"/>
      <c r="AE996" s="77"/>
      <c r="AF996" s="75"/>
      <c r="AG996" s="78"/>
      <c r="AH996" s="79"/>
      <c r="AI996" s="74"/>
      <c r="AJ996" s="75"/>
      <c r="AK996" s="75"/>
      <c r="AL996" s="80">
        <f t="shared" si="228"/>
        <v>0</v>
      </c>
      <c r="AM996" s="74"/>
      <c r="AN996" s="74"/>
      <c r="AO996" s="81" t="str">
        <f t="shared" si="229"/>
        <v/>
      </c>
      <c r="AP996" s="82"/>
      <c r="AQ996" s="75"/>
      <c r="AR996" s="75"/>
      <c r="AS996" s="80">
        <f t="shared" si="230"/>
        <v>0</v>
      </c>
      <c r="AT996" s="74"/>
      <c r="AU996" s="75"/>
      <c r="AV996" s="75"/>
      <c r="AW996" s="75"/>
      <c r="AX996" s="80">
        <f t="shared" si="231"/>
        <v>0</v>
      </c>
      <c r="AY996" s="81" t="str">
        <f t="shared" si="232"/>
        <v/>
      </c>
      <c r="AZ996" s="83" t="str">
        <f t="shared" si="233"/>
        <v/>
      </c>
      <c r="BA996" s="80" t="str">
        <f t="shared" si="234"/>
        <v/>
      </c>
      <c r="BB996" s="84">
        <f t="shared" si="235"/>
        <v>0</v>
      </c>
      <c r="BC996" s="85" t="str">
        <f t="shared" si="236"/>
        <v/>
      </c>
      <c r="BD996" s="86" t="str">
        <f t="shared" si="237"/>
        <v/>
      </c>
      <c r="BE996" s="84">
        <f t="shared" si="238"/>
        <v>0</v>
      </c>
      <c r="BF996" s="87" t="str">
        <f t="shared" si="239"/>
        <v/>
      </c>
      <c r="BG996" s="88" t="str">
        <f t="shared" si="240"/>
        <v/>
      </c>
      <c r="BH996" s="89" t="str">
        <f t="shared" si="241"/>
        <v/>
      </c>
      <c r="BI996" s="90" t="str">
        <f t="shared" si="242"/>
        <v/>
      </c>
      <c r="BJ996" s="90" t="str">
        <f t="shared" si="243"/>
        <v/>
      </c>
      <c r="BK996" s="91">
        <f t="shared" si="244"/>
        <v>0</v>
      </c>
      <c r="BL996" s="92">
        <f t="shared" si="245"/>
        <v>0</v>
      </c>
      <c r="BM996" s="95"/>
    </row>
    <row r="997" spans="1:65">
      <c r="A997" s="61">
        <f t="shared" si="246"/>
        <v>0</v>
      </c>
      <c r="B997" s="62"/>
      <c r="C997" s="62"/>
      <c r="D997" s="63"/>
      <c r="E997" s="64"/>
      <c r="F997" s="64"/>
      <c r="G997" s="65"/>
      <c r="H997" s="66" t="str">
        <f t="shared" si="223"/>
        <v/>
      </c>
      <c r="I997" s="67" t="str">
        <f t="shared" si="224"/>
        <v/>
      </c>
      <c r="J997" s="68" t="str">
        <f t="shared" si="225"/>
        <v/>
      </c>
      <c r="K997" s="69" t="str">
        <f t="shared" si="226"/>
        <v/>
      </c>
      <c r="L997" s="70" t="str">
        <f t="shared" si="227"/>
        <v/>
      </c>
      <c r="M997" s="71"/>
      <c r="N997" s="71"/>
      <c r="O997" s="71"/>
      <c r="P997" s="71"/>
      <c r="Q997" s="61"/>
      <c r="R997" s="63"/>
      <c r="S997" s="72"/>
      <c r="T997" s="61"/>
      <c r="U997" s="73"/>
      <c r="V997" s="62"/>
      <c r="W997" s="62"/>
      <c r="X997" s="62"/>
      <c r="Y997" s="93"/>
      <c r="Z997" s="94"/>
      <c r="AA997" s="74"/>
      <c r="AB997" s="75"/>
      <c r="AC997" s="75"/>
      <c r="AD997" s="76"/>
      <c r="AE997" s="77"/>
      <c r="AF997" s="75"/>
      <c r="AG997" s="78"/>
      <c r="AH997" s="79"/>
      <c r="AI997" s="74"/>
      <c r="AJ997" s="75"/>
      <c r="AK997" s="75"/>
      <c r="AL997" s="80">
        <f t="shared" si="228"/>
        <v>0</v>
      </c>
      <c r="AM997" s="74"/>
      <c r="AN997" s="74"/>
      <c r="AO997" s="81" t="str">
        <f t="shared" si="229"/>
        <v/>
      </c>
      <c r="AP997" s="82"/>
      <c r="AQ997" s="75"/>
      <c r="AR997" s="75"/>
      <c r="AS997" s="80">
        <f t="shared" si="230"/>
        <v>0</v>
      </c>
      <c r="AT997" s="74"/>
      <c r="AU997" s="75"/>
      <c r="AV997" s="75"/>
      <c r="AW997" s="75"/>
      <c r="AX997" s="80">
        <f t="shared" si="231"/>
        <v>0</v>
      </c>
      <c r="AY997" s="81" t="str">
        <f t="shared" si="232"/>
        <v/>
      </c>
      <c r="AZ997" s="83" t="str">
        <f t="shared" si="233"/>
        <v/>
      </c>
      <c r="BA997" s="80" t="str">
        <f t="shared" si="234"/>
        <v/>
      </c>
      <c r="BB997" s="84">
        <f t="shared" si="235"/>
        <v>0</v>
      </c>
      <c r="BC997" s="85" t="str">
        <f t="shared" si="236"/>
        <v/>
      </c>
      <c r="BD997" s="86" t="str">
        <f t="shared" si="237"/>
        <v/>
      </c>
      <c r="BE997" s="84">
        <f t="shared" si="238"/>
        <v>0</v>
      </c>
      <c r="BF997" s="87" t="str">
        <f t="shared" si="239"/>
        <v/>
      </c>
      <c r="BG997" s="88" t="str">
        <f t="shared" si="240"/>
        <v/>
      </c>
      <c r="BH997" s="89" t="str">
        <f t="shared" si="241"/>
        <v/>
      </c>
      <c r="BI997" s="90" t="str">
        <f t="shared" si="242"/>
        <v/>
      </c>
      <c r="BJ997" s="90" t="str">
        <f t="shared" si="243"/>
        <v/>
      </c>
      <c r="BK997" s="91">
        <f t="shared" si="244"/>
        <v>0</v>
      </c>
      <c r="BL997" s="92">
        <f t="shared" si="245"/>
        <v>0</v>
      </c>
      <c r="BM997" s="95"/>
    </row>
    <row r="998" spans="1:65">
      <c r="A998" s="61">
        <f t="shared" si="246"/>
        <v>0</v>
      </c>
      <c r="B998" s="62"/>
      <c r="C998" s="62"/>
      <c r="D998" s="63"/>
      <c r="E998" s="64"/>
      <c r="F998" s="64"/>
      <c r="G998" s="65"/>
      <c r="H998" s="66" t="str">
        <f t="shared" si="223"/>
        <v/>
      </c>
      <c r="I998" s="67" t="str">
        <f t="shared" si="224"/>
        <v/>
      </c>
      <c r="J998" s="68" t="str">
        <f t="shared" si="225"/>
        <v/>
      </c>
      <c r="K998" s="69" t="str">
        <f t="shared" si="226"/>
        <v/>
      </c>
      <c r="L998" s="70" t="str">
        <f t="shared" si="227"/>
        <v/>
      </c>
      <c r="M998" s="71"/>
      <c r="N998" s="71"/>
      <c r="O998" s="71"/>
      <c r="P998" s="71"/>
      <c r="Q998" s="61"/>
      <c r="R998" s="63"/>
      <c r="S998" s="72"/>
      <c r="T998" s="61"/>
      <c r="U998" s="73"/>
      <c r="V998" s="62"/>
      <c r="W998" s="62"/>
      <c r="X998" s="62"/>
      <c r="Y998" s="93"/>
      <c r="Z998" s="94"/>
      <c r="AA998" s="74"/>
      <c r="AB998" s="75"/>
      <c r="AC998" s="75"/>
      <c r="AD998" s="76"/>
      <c r="AE998" s="77"/>
      <c r="AF998" s="75"/>
      <c r="AG998" s="78"/>
      <c r="AH998" s="79"/>
      <c r="AI998" s="74"/>
      <c r="AJ998" s="75"/>
      <c r="AK998" s="75"/>
      <c r="AL998" s="80">
        <f t="shared" si="228"/>
        <v>0</v>
      </c>
      <c r="AM998" s="74"/>
      <c r="AN998" s="74"/>
      <c r="AO998" s="81" t="str">
        <f t="shared" si="229"/>
        <v/>
      </c>
      <c r="AP998" s="82"/>
      <c r="AQ998" s="75"/>
      <c r="AR998" s="75"/>
      <c r="AS998" s="80">
        <f t="shared" si="230"/>
        <v>0</v>
      </c>
      <c r="AT998" s="74"/>
      <c r="AU998" s="75"/>
      <c r="AV998" s="75"/>
      <c r="AW998" s="75"/>
      <c r="AX998" s="80">
        <f t="shared" si="231"/>
        <v>0</v>
      </c>
      <c r="AY998" s="81" t="str">
        <f t="shared" si="232"/>
        <v/>
      </c>
      <c r="AZ998" s="83" t="str">
        <f t="shared" si="233"/>
        <v/>
      </c>
      <c r="BA998" s="80" t="str">
        <f t="shared" si="234"/>
        <v/>
      </c>
      <c r="BB998" s="84">
        <f t="shared" si="235"/>
        <v>0</v>
      </c>
      <c r="BC998" s="85" t="str">
        <f t="shared" si="236"/>
        <v/>
      </c>
      <c r="BD998" s="86" t="str">
        <f t="shared" si="237"/>
        <v/>
      </c>
      <c r="BE998" s="84">
        <f t="shared" si="238"/>
        <v>0</v>
      </c>
      <c r="BF998" s="87" t="str">
        <f t="shared" si="239"/>
        <v/>
      </c>
      <c r="BG998" s="88" t="str">
        <f t="shared" si="240"/>
        <v/>
      </c>
      <c r="BH998" s="89" t="str">
        <f t="shared" si="241"/>
        <v/>
      </c>
      <c r="BI998" s="90" t="str">
        <f t="shared" si="242"/>
        <v/>
      </c>
      <c r="BJ998" s="90" t="str">
        <f t="shared" si="243"/>
        <v/>
      </c>
      <c r="BK998" s="91">
        <f t="shared" si="244"/>
        <v>0</v>
      </c>
      <c r="BL998" s="92">
        <f t="shared" si="245"/>
        <v>0</v>
      </c>
      <c r="BM998" s="95"/>
    </row>
    <row r="999" spans="1:65">
      <c r="A999" s="61">
        <f t="shared" si="246"/>
        <v>0</v>
      </c>
      <c r="B999" s="62"/>
      <c r="C999" s="62"/>
      <c r="D999" s="63"/>
      <c r="E999" s="64"/>
      <c r="F999" s="64"/>
      <c r="G999" s="65"/>
      <c r="H999" s="66" t="str">
        <f t="shared" si="223"/>
        <v/>
      </c>
      <c r="I999" s="67" t="str">
        <f t="shared" si="224"/>
        <v/>
      </c>
      <c r="J999" s="68" t="str">
        <f t="shared" si="225"/>
        <v/>
      </c>
      <c r="K999" s="69" t="str">
        <f t="shared" si="226"/>
        <v/>
      </c>
      <c r="L999" s="70" t="str">
        <f t="shared" si="227"/>
        <v/>
      </c>
      <c r="M999" s="71"/>
      <c r="N999" s="71"/>
      <c r="O999" s="71"/>
      <c r="P999" s="71"/>
      <c r="Q999" s="61"/>
      <c r="R999" s="63"/>
      <c r="S999" s="72"/>
      <c r="T999" s="61"/>
      <c r="U999" s="73"/>
      <c r="V999" s="62"/>
      <c r="W999" s="62"/>
      <c r="X999" s="62"/>
      <c r="Y999" s="93"/>
      <c r="Z999" s="94"/>
      <c r="AA999" s="74"/>
      <c r="AB999" s="75"/>
      <c r="AC999" s="75"/>
      <c r="AD999" s="76"/>
      <c r="AE999" s="77"/>
      <c r="AF999" s="75"/>
      <c r="AG999" s="78"/>
      <c r="AH999" s="79"/>
      <c r="AI999" s="74"/>
      <c r="AJ999" s="75"/>
      <c r="AK999" s="75"/>
      <c r="AL999" s="80">
        <f t="shared" si="228"/>
        <v>0</v>
      </c>
      <c r="AM999" s="74"/>
      <c r="AN999" s="74"/>
      <c r="AO999" s="81" t="str">
        <f t="shared" si="229"/>
        <v/>
      </c>
      <c r="AP999" s="82"/>
      <c r="AQ999" s="75"/>
      <c r="AR999" s="75"/>
      <c r="AS999" s="80">
        <f t="shared" si="230"/>
        <v>0</v>
      </c>
      <c r="AT999" s="74"/>
      <c r="AU999" s="75"/>
      <c r="AV999" s="75"/>
      <c r="AW999" s="75"/>
      <c r="AX999" s="80">
        <f t="shared" si="231"/>
        <v>0</v>
      </c>
      <c r="AY999" s="81" t="str">
        <f t="shared" si="232"/>
        <v/>
      </c>
      <c r="AZ999" s="83" t="str">
        <f t="shared" si="233"/>
        <v/>
      </c>
      <c r="BA999" s="80" t="str">
        <f t="shared" si="234"/>
        <v/>
      </c>
      <c r="BB999" s="84">
        <f t="shared" si="235"/>
        <v>0</v>
      </c>
      <c r="BC999" s="85" t="str">
        <f t="shared" si="236"/>
        <v/>
      </c>
      <c r="BD999" s="86" t="str">
        <f t="shared" si="237"/>
        <v/>
      </c>
      <c r="BE999" s="84">
        <f t="shared" si="238"/>
        <v>0</v>
      </c>
      <c r="BF999" s="87" t="str">
        <f t="shared" si="239"/>
        <v/>
      </c>
      <c r="BG999" s="88" t="str">
        <f t="shared" si="240"/>
        <v/>
      </c>
      <c r="BH999" s="89" t="str">
        <f t="shared" si="241"/>
        <v/>
      </c>
      <c r="BI999" s="90" t="str">
        <f t="shared" si="242"/>
        <v/>
      </c>
      <c r="BJ999" s="90" t="str">
        <f t="shared" si="243"/>
        <v/>
      </c>
      <c r="BK999" s="91">
        <f t="shared" si="244"/>
        <v>0</v>
      </c>
      <c r="BL999" s="92">
        <f t="shared" si="245"/>
        <v>0</v>
      </c>
      <c r="BM999" s="95"/>
    </row>
    <row r="1000" spans="1:65">
      <c r="A1000" s="61">
        <f t="shared" si="246"/>
        <v>0</v>
      </c>
      <c r="B1000" s="62"/>
      <c r="C1000" s="62"/>
      <c r="D1000" s="63"/>
      <c r="E1000" s="64"/>
      <c r="F1000" s="64"/>
      <c r="G1000" s="65"/>
      <c r="H1000" s="66" t="str">
        <f t="shared" si="223"/>
        <v/>
      </c>
      <c r="I1000" s="67" t="str">
        <f t="shared" si="224"/>
        <v/>
      </c>
      <c r="J1000" s="68" t="str">
        <f t="shared" si="225"/>
        <v/>
      </c>
      <c r="K1000" s="69" t="str">
        <f t="shared" si="226"/>
        <v/>
      </c>
      <c r="L1000" s="70" t="str">
        <f t="shared" si="227"/>
        <v/>
      </c>
      <c r="M1000" s="71"/>
      <c r="N1000" s="71"/>
      <c r="O1000" s="71"/>
      <c r="P1000" s="71"/>
      <c r="Q1000" s="61"/>
      <c r="R1000" s="63"/>
      <c r="S1000" s="72"/>
      <c r="T1000" s="61"/>
      <c r="U1000" s="73"/>
      <c r="V1000" s="62"/>
      <c r="W1000" s="62"/>
      <c r="X1000" s="62"/>
      <c r="Y1000" s="93"/>
      <c r="Z1000" s="94"/>
      <c r="AA1000" s="74"/>
      <c r="AB1000" s="75"/>
      <c r="AC1000" s="75"/>
      <c r="AD1000" s="76"/>
      <c r="AE1000" s="77"/>
      <c r="AF1000" s="75"/>
      <c r="AG1000" s="78"/>
      <c r="AH1000" s="79"/>
      <c r="AI1000" s="74"/>
      <c r="AJ1000" s="75"/>
      <c r="AK1000" s="75"/>
      <c r="AL1000" s="80">
        <f t="shared" si="228"/>
        <v>0</v>
      </c>
      <c r="AM1000" s="74"/>
      <c r="AN1000" s="74"/>
      <c r="AO1000" s="81" t="str">
        <f t="shared" si="229"/>
        <v/>
      </c>
      <c r="AP1000" s="82"/>
      <c r="AQ1000" s="75"/>
      <c r="AR1000" s="75"/>
      <c r="AS1000" s="80">
        <f t="shared" si="230"/>
        <v>0</v>
      </c>
      <c r="AT1000" s="74"/>
      <c r="AU1000" s="75"/>
      <c r="AV1000" s="75"/>
      <c r="AW1000" s="75"/>
      <c r="AX1000" s="80">
        <f t="shared" si="231"/>
        <v>0</v>
      </c>
      <c r="AY1000" s="81" t="str">
        <f t="shared" si="232"/>
        <v/>
      </c>
      <c r="AZ1000" s="83" t="str">
        <f t="shared" si="233"/>
        <v/>
      </c>
      <c r="BA1000" s="80" t="str">
        <f t="shared" si="234"/>
        <v/>
      </c>
      <c r="BB1000" s="84">
        <f t="shared" si="235"/>
        <v>0</v>
      </c>
      <c r="BC1000" s="85" t="str">
        <f t="shared" si="236"/>
        <v/>
      </c>
      <c r="BD1000" s="86" t="str">
        <f t="shared" si="237"/>
        <v/>
      </c>
      <c r="BE1000" s="84">
        <f t="shared" si="238"/>
        <v>0</v>
      </c>
      <c r="BF1000" s="87" t="str">
        <f t="shared" si="239"/>
        <v/>
      </c>
      <c r="BG1000" s="88" t="str">
        <f t="shared" si="240"/>
        <v/>
      </c>
      <c r="BH1000" s="89" t="str">
        <f t="shared" si="241"/>
        <v/>
      </c>
      <c r="BI1000" s="90" t="str">
        <f t="shared" si="242"/>
        <v/>
      </c>
      <c r="BJ1000" s="90" t="str">
        <f t="shared" si="243"/>
        <v/>
      </c>
      <c r="BK1000" s="91">
        <f t="shared" si="244"/>
        <v>0</v>
      </c>
      <c r="BL1000" s="92">
        <f t="shared" si="245"/>
        <v>0</v>
      </c>
      <c r="BM1000" s="95"/>
    </row>
    <row r="1001" spans="1:65">
      <c r="A1001" s="61">
        <f t="shared" si="246"/>
        <v>0</v>
      </c>
      <c r="B1001" s="62"/>
      <c r="C1001" s="62"/>
      <c r="D1001" s="63"/>
      <c r="E1001" s="64"/>
      <c r="F1001" s="64"/>
      <c r="G1001" s="65"/>
      <c r="H1001" s="66" t="str">
        <f t="shared" si="223"/>
        <v/>
      </c>
      <c r="I1001" s="67" t="str">
        <f t="shared" si="224"/>
        <v/>
      </c>
      <c r="J1001" s="68" t="str">
        <f t="shared" si="225"/>
        <v/>
      </c>
      <c r="K1001" s="69" t="str">
        <f t="shared" si="226"/>
        <v/>
      </c>
      <c r="L1001" s="70" t="str">
        <f t="shared" si="227"/>
        <v/>
      </c>
      <c r="M1001" s="71"/>
      <c r="N1001" s="71"/>
      <c r="O1001" s="71"/>
      <c r="P1001" s="71"/>
      <c r="Q1001" s="61"/>
      <c r="R1001" s="63"/>
      <c r="S1001" s="72"/>
      <c r="T1001" s="61"/>
      <c r="U1001" s="73"/>
      <c r="V1001" s="62"/>
      <c r="W1001" s="62"/>
      <c r="X1001" s="62"/>
      <c r="Y1001" s="93"/>
      <c r="Z1001" s="94"/>
      <c r="AA1001" s="74"/>
      <c r="AB1001" s="75"/>
      <c r="AC1001" s="75"/>
      <c r="AD1001" s="76"/>
      <c r="AE1001" s="77"/>
      <c r="AF1001" s="75"/>
      <c r="AG1001" s="78"/>
      <c r="AH1001" s="79"/>
      <c r="AI1001" s="74"/>
      <c r="AJ1001" s="75"/>
      <c r="AK1001" s="75"/>
      <c r="AL1001" s="80">
        <f t="shared" si="228"/>
        <v>0</v>
      </c>
      <c r="AM1001" s="74"/>
      <c r="AN1001" s="74"/>
      <c r="AO1001" s="81" t="str">
        <f t="shared" si="229"/>
        <v/>
      </c>
      <c r="AP1001" s="82"/>
      <c r="AQ1001" s="75"/>
      <c r="AR1001" s="75"/>
      <c r="AS1001" s="80">
        <f t="shared" si="230"/>
        <v>0</v>
      </c>
      <c r="AT1001" s="74"/>
      <c r="AU1001" s="75"/>
      <c r="AV1001" s="75"/>
      <c r="AW1001" s="75"/>
      <c r="AX1001" s="80">
        <f t="shared" si="231"/>
        <v>0</v>
      </c>
      <c r="AY1001" s="81" t="str">
        <f t="shared" si="232"/>
        <v/>
      </c>
      <c r="AZ1001" s="83" t="str">
        <f t="shared" si="233"/>
        <v/>
      </c>
      <c r="BA1001" s="80" t="str">
        <f t="shared" si="234"/>
        <v/>
      </c>
      <c r="BB1001" s="84">
        <f t="shared" si="235"/>
        <v>0</v>
      </c>
      <c r="BC1001" s="85" t="str">
        <f t="shared" si="236"/>
        <v/>
      </c>
      <c r="BD1001" s="86" t="str">
        <f t="shared" si="237"/>
        <v/>
      </c>
      <c r="BE1001" s="84">
        <f t="shared" si="238"/>
        <v>0</v>
      </c>
      <c r="BF1001" s="87" t="str">
        <f t="shared" si="239"/>
        <v/>
      </c>
      <c r="BG1001" s="88" t="str">
        <f t="shared" si="240"/>
        <v/>
      </c>
      <c r="BH1001" s="89" t="str">
        <f t="shared" si="241"/>
        <v/>
      </c>
      <c r="BI1001" s="90" t="str">
        <f t="shared" si="242"/>
        <v/>
      </c>
      <c r="BJ1001" s="90" t="str">
        <f t="shared" si="243"/>
        <v/>
      </c>
      <c r="BK1001" s="91">
        <f t="shared" si="244"/>
        <v>0</v>
      </c>
      <c r="BL1001" s="92">
        <f t="shared" si="245"/>
        <v>0</v>
      </c>
      <c r="BM1001" s="95"/>
    </row>
    <row r="1002" spans="1:65">
      <c r="A1002" s="61">
        <f t="shared" si="246"/>
        <v>0</v>
      </c>
      <c r="B1002" s="62"/>
      <c r="C1002" s="62"/>
      <c r="D1002" s="63"/>
      <c r="E1002" s="64"/>
      <c r="F1002" s="64"/>
      <c r="G1002" s="65"/>
      <c r="H1002" s="66" t="str">
        <f t="shared" si="223"/>
        <v/>
      </c>
      <c r="I1002" s="67" t="str">
        <f t="shared" si="224"/>
        <v/>
      </c>
      <c r="J1002" s="68" t="str">
        <f t="shared" si="225"/>
        <v/>
      </c>
      <c r="K1002" s="69" t="str">
        <f t="shared" si="226"/>
        <v/>
      </c>
      <c r="L1002" s="70" t="str">
        <f t="shared" si="227"/>
        <v/>
      </c>
      <c r="M1002" s="71"/>
      <c r="N1002" s="71"/>
      <c r="O1002" s="71"/>
      <c r="P1002" s="71"/>
      <c r="Q1002" s="61"/>
      <c r="R1002" s="63"/>
      <c r="S1002" s="72"/>
      <c r="T1002" s="61"/>
      <c r="U1002" s="73"/>
      <c r="V1002" s="62"/>
      <c r="W1002" s="62"/>
      <c r="X1002" s="62"/>
      <c r="Y1002" s="93"/>
      <c r="Z1002" s="94"/>
      <c r="AA1002" s="74"/>
      <c r="AB1002" s="75"/>
      <c r="AC1002" s="75"/>
      <c r="AD1002" s="76"/>
      <c r="AE1002" s="77"/>
      <c r="AF1002" s="75"/>
      <c r="AG1002" s="78"/>
      <c r="AH1002" s="79"/>
      <c r="AI1002" s="74"/>
      <c r="AJ1002" s="75"/>
      <c r="AK1002" s="75"/>
      <c r="AL1002" s="80">
        <f t="shared" si="228"/>
        <v>0</v>
      </c>
      <c r="AM1002" s="74"/>
      <c r="AN1002" s="74"/>
      <c r="AO1002" s="81" t="str">
        <f t="shared" si="229"/>
        <v/>
      </c>
      <c r="AP1002" s="82"/>
      <c r="AQ1002" s="75"/>
      <c r="AR1002" s="75"/>
      <c r="AS1002" s="80">
        <f t="shared" si="230"/>
        <v>0</v>
      </c>
      <c r="AT1002" s="74"/>
      <c r="AU1002" s="75"/>
      <c r="AV1002" s="75"/>
      <c r="AW1002" s="75"/>
      <c r="AX1002" s="80">
        <f t="shared" si="231"/>
        <v>0</v>
      </c>
      <c r="AY1002" s="81" t="str">
        <f t="shared" si="232"/>
        <v/>
      </c>
      <c r="AZ1002" s="83" t="str">
        <f t="shared" si="233"/>
        <v/>
      </c>
      <c r="BA1002" s="80" t="str">
        <f t="shared" si="234"/>
        <v/>
      </c>
      <c r="BB1002" s="84">
        <f t="shared" si="235"/>
        <v>0</v>
      </c>
      <c r="BC1002" s="85" t="str">
        <f t="shared" si="236"/>
        <v/>
      </c>
      <c r="BD1002" s="86" t="str">
        <f t="shared" si="237"/>
        <v/>
      </c>
      <c r="BE1002" s="84">
        <f t="shared" si="238"/>
        <v>0</v>
      </c>
      <c r="BF1002" s="87" t="str">
        <f t="shared" si="239"/>
        <v/>
      </c>
      <c r="BG1002" s="88" t="str">
        <f t="shared" si="240"/>
        <v/>
      </c>
      <c r="BH1002" s="89" t="str">
        <f t="shared" si="241"/>
        <v/>
      </c>
      <c r="BI1002" s="90" t="str">
        <f t="shared" si="242"/>
        <v/>
      </c>
      <c r="BJ1002" s="90" t="str">
        <f t="shared" si="243"/>
        <v/>
      </c>
      <c r="BK1002" s="91">
        <f t="shared" si="244"/>
        <v>0</v>
      </c>
      <c r="BL1002" s="92">
        <f t="shared" si="245"/>
        <v>0</v>
      </c>
      <c r="BM1002" s="95"/>
    </row>
    <row r="1003" spans="1:65">
      <c r="A1003" s="61">
        <f t="shared" si="246"/>
        <v>0</v>
      </c>
      <c r="B1003" s="62"/>
      <c r="C1003" s="62"/>
      <c r="D1003" s="63"/>
      <c r="E1003" s="64"/>
      <c r="F1003" s="64"/>
      <c r="G1003" s="65"/>
      <c r="H1003" s="66" t="str">
        <f t="shared" si="223"/>
        <v/>
      </c>
      <c r="I1003" s="67" t="str">
        <f t="shared" si="224"/>
        <v/>
      </c>
      <c r="J1003" s="68" t="str">
        <f t="shared" si="225"/>
        <v/>
      </c>
      <c r="K1003" s="69" t="str">
        <f t="shared" si="226"/>
        <v/>
      </c>
      <c r="L1003" s="70" t="str">
        <f t="shared" si="227"/>
        <v/>
      </c>
      <c r="M1003" s="71"/>
      <c r="N1003" s="71"/>
      <c r="O1003" s="71"/>
      <c r="P1003" s="71"/>
      <c r="Q1003" s="61"/>
      <c r="R1003" s="63"/>
      <c r="S1003" s="72"/>
      <c r="T1003" s="61"/>
      <c r="U1003" s="73"/>
      <c r="V1003" s="62"/>
      <c r="W1003" s="62"/>
      <c r="X1003" s="62"/>
      <c r="Y1003" s="93"/>
      <c r="Z1003" s="94"/>
      <c r="AA1003" s="74"/>
      <c r="AB1003" s="75"/>
      <c r="AC1003" s="75"/>
      <c r="AD1003" s="76"/>
      <c r="AE1003" s="77"/>
      <c r="AF1003" s="75"/>
      <c r="AG1003" s="78"/>
      <c r="AH1003" s="79"/>
      <c r="AI1003" s="74"/>
      <c r="AJ1003" s="75"/>
      <c r="AK1003" s="75"/>
      <c r="AL1003" s="80">
        <f t="shared" si="228"/>
        <v>0</v>
      </c>
      <c r="AM1003" s="74"/>
      <c r="AN1003" s="74"/>
      <c r="AO1003" s="81" t="str">
        <f t="shared" si="229"/>
        <v/>
      </c>
      <c r="AP1003" s="82"/>
      <c r="AQ1003" s="75"/>
      <c r="AR1003" s="75"/>
      <c r="AS1003" s="80">
        <f t="shared" si="230"/>
        <v>0</v>
      </c>
      <c r="AT1003" s="74"/>
      <c r="AU1003" s="75"/>
      <c r="AV1003" s="75"/>
      <c r="AW1003" s="75"/>
      <c r="AX1003" s="80">
        <f t="shared" si="231"/>
        <v>0</v>
      </c>
      <c r="AY1003" s="81" t="str">
        <f t="shared" si="232"/>
        <v/>
      </c>
      <c r="AZ1003" s="83" t="str">
        <f t="shared" si="233"/>
        <v/>
      </c>
      <c r="BA1003" s="80" t="str">
        <f t="shared" si="234"/>
        <v/>
      </c>
      <c r="BB1003" s="84">
        <f t="shared" si="235"/>
        <v>0</v>
      </c>
      <c r="BC1003" s="85" t="str">
        <f t="shared" si="236"/>
        <v/>
      </c>
      <c r="BD1003" s="86" t="str">
        <f t="shared" si="237"/>
        <v/>
      </c>
      <c r="BE1003" s="84">
        <f t="shared" si="238"/>
        <v>0</v>
      </c>
      <c r="BF1003" s="87" t="str">
        <f t="shared" si="239"/>
        <v/>
      </c>
      <c r="BG1003" s="88" t="str">
        <f t="shared" si="240"/>
        <v/>
      </c>
      <c r="BH1003" s="89" t="str">
        <f t="shared" si="241"/>
        <v/>
      </c>
      <c r="BI1003" s="90" t="str">
        <f t="shared" si="242"/>
        <v/>
      </c>
      <c r="BJ1003" s="90" t="str">
        <f t="shared" si="243"/>
        <v/>
      </c>
      <c r="BK1003" s="91">
        <f t="shared" si="244"/>
        <v>0</v>
      </c>
      <c r="BL1003" s="92">
        <f t="shared" si="245"/>
        <v>0</v>
      </c>
      <c r="BM1003" s="95"/>
    </row>
    <row r="1004" spans="1:65">
      <c r="A1004" s="61">
        <f t="shared" si="246"/>
        <v>0</v>
      </c>
      <c r="B1004" s="62"/>
      <c r="C1004" s="62"/>
      <c r="D1004" s="63"/>
      <c r="E1004" s="64"/>
      <c r="F1004" s="64"/>
      <c r="G1004" s="65"/>
      <c r="H1004" s="66" t="str">
        <f t="shared" si="223"/>
        <v/>
      </c>
      <c r="I1004" s="67" t="str">
        <f t="shared" si="224"/>
        <v/>
      </c>
      <c r="J1004" s="68" t="str">
        <f t="shared" si="225"/>
        <v/>
      </c>
      <c r="K1004" s="69" t="str">
        <f t="shared" si="226"/>
        <v/>
      </c>
      <c r="L1004" s="70" t="str">
        <f t="shared" si="227"/>
        <v/>
      </c>
      <c r="M1004" s="71"/>
      <c r="N1004" s="71"/>
      <c r="O1004" s="71"/>
      <c r="P1004" s="71"/>
      <c r="Q1004" s="61"/>
      <c r="R1004" s="63"/>
      <c r="S1004" s="72"/>
      <c r="T1004" s="61"/>
      <c r="U1004" s="73"/>
      <c r="V1004" s="62"/>
      <c r="W1004" s="62"/>
      <c r="X1004" s="62"/>
      <c r="Y1004" s="93"/>
      <c r="Z1004" s="94"/>
      <c r="AA1004" s="74"/>
      <c r="AB1004" s="75"/>
      <c r="AC1004" s="75"/>
      <c r="AD1004" s="76"/>
      <c r="AE1004" s="77"/>
      <c r="AF1004" s="75"/>
      <c r="AG1004" s="78"/>
      <c r="AH1004" s="79"/>
      <c r="AI1004" s="74"/>
      <c r="AJ1004" s="75"/>
      <c r="AK1004" s="75"/>
      <c r="AL1004" s="80">
        <f t="shared" si="228"/>
        <v>0</v>
      </c>
      <c r="AM1004" s="74"/>
      <c r="AN1004" s="74"/>
      <c r="AO1004" s="81" t="str">
        <f t="shared" si="229"/>
        <v/>
      </c>
      <c r="AP1004" s="82"/>
      <c r="AQ1004" s="75"/>
      <c r="AR1004" s="75"/>
      <c r="AS1004" s="80">
        <f t="shared" si="230"/>
        <v>0</v>
      </c>
      <c r="AT1004" s="74"/>
      <c r="AU1004" s="75"/>
      <c r="AV1004" s="75"/>
      <c r="AW1004" s="75"/>
      <c r="AX1004" s="80">
        <f t="shared" si="231"/>
        <v>0</v>
      </c>
      <c r="AY1004" s="81" t="str">
        <f t="shared" si="232"/>
        <v/>
      </c>
      <c r="AZ1004" s="83" t="str">
        <f t="shared" si="233"/>
        <v/>
      </c>
      <c r="BA1004" s="80" t="str">
        <f t="shared" si="234"/>
        <v/>
      </c>
      <c r="BB1004" s="84">
        <f t="shared" si="235"/>
        <v>0</v>
      </c>
      <c r="BC1004" s="85" t="str">
        <f t="shared" si="236"/>
        <v/>
      </c>
      <c r="BD1004" s="86" t="str">
        <f t="shared" si="237"/>
        <v/>
      </c>
      <c r="BE1004" s="84">
        <f t="shared" si="238"/>
        <v>0</v>
      </c>
      <c r="BF1004" s="87" t="str">
        <f t="shared" si="239"/>
        <v/>
      </c>
      <c r="BG1004" s="88" t="str">
        <f t="shared" si="240"/>
        <v/>
      </c>
      <c r="BH1004" s="89" t="str">
        <f t="shared" si="241"/>
        <v/>
      </c>
      <c r="BI1004" s="90" t="str">
        <f t="shared" si="242"/>
        <v/>
      </c>
      <c r="BJ1004" s="90" t="str">
        <f t="shared" si="243"/>
        <v/>
      </c>
      <c r="BK1004" s="91">
        <f t="shared" si="244"/>
        <v>0</v>
      </c>
      <c r="BL1004" s="92">
        <f t="shared" si="245"/>
        <v>0</v>
      </c>
      <c r="BM1004" s="95"/>
    </row>
    <row r="1005" spans="1:65">
      <c r="A1005" s="61">
        <f t="shared" si="246"/>
        <v>0</v>
      </c>
      <c r="B1005" s="62"/>
      <c r="C1005" s="62"/>
      <c r="D1005" s="63"/>
      <c r="E1005" s="64"/>
      <c r="F1005" s="64"/>
      <c r="G1005" s="65"/>
      <c r="H1005" s="66" t="str">
        <f t="shared" si="223"/>
        <v/>
      </c>
      <c r="I1005" s="67" t="str">
        <f t="shared" si="224"/>
        <v/>
      </c>
      <c r="J1005" s="68" t="str">
        <f t="shared" si="225"/>
        <v/>
      </c>
      <c r="K1005" s="69" t="str">
        <f t="shared" si="226"/>
        <v/>
      </c>
      <c r="L1005" s="70" t="str">
        <f t="shared" si="227"/>
        <v/>
      </c>
      <c r="M1005" s="71"/>
      <c r="N1005" s="71"/>
      <c r="O1005" s="71"/>
      <c r="P1005" s="71"/>
      <c r="Q1005" s="61"/>
      <c r="R1005" s="63"/>
      <c r="S1005" s="72"/>
      <c r="T1005" s="61"/>
      <c r="U1005" s="73"/>
      <c r="V1005" s="62"/>
      <c r="W1005" s="62"/>
      <c r="X1005" s="62"/>
      <c r="Y1005" s="93"/>
      <c r="Z1005" s="94"/>
      <c r="AA1005" s="74"/>
      <c r="AB1005" s="75"/>
      <c r="AC1005" s="75"/>
      <c r="AD1005" s="76"/>
      <c r="AE1005" s="77"/>
      <c r="AF1005" s="75"/>
      <c r="AG1005" s="78"/>
      <c r="AH1005" s="79"/>
      <c r="AI1005" s="74"/>
      <c r="AJ1005" s="75"/>
      <c r="AK1005" s="75"/>
      <c r="AL1005" s="80">
        <f t="shared" si="228"/>
        <v>0</v>
      </c>
      <c r="AM1005" s="74"/>
      <c r="AN1005" s="74"/>
      <c r="AO1005" s="81" t="str">
        <f t="shared" si="229"/>
        <v/>
      </c>
      <c r="AP1005" s="82"/>
      <c r="AQ1005" s="75"/>
      <c r="AR1005" s="75"/>
      <c r="AS1005" s="80">
        <f t="shared" si="230"/>
        <v>0</v>
      </c>
      <c r="AT1005" s="74"/>
      <c r="AU1005" s="75"/>
      <c r="AV1005" s="75"/>
      <c r="AW1005" s="75"/>
      <c r="AX1005" s="80">
        <f t="shared" si="231"/>
        <v>0</v>
      </c>
      <c r="AY1005" s="81" t="str">
        <f t="shared" si="232"/>
        <v/>
      </c>
      <c r="AZ1005" s="83" t="str">
        <f t="shared" si="233"/>
        <v/>
      </c>
      <c r="BA1005" s="80" t="str">
        <f t="shared" si="234"/>
        <v/>
      </c>
      <c r="BB1005" s="84">
        <f t="shared" si="235"/>
        <v>0</v>
      </c>
      <c r="BC1005" s="85" t="str">
        <f t="shared" si="236"/>
        <v/>
      </c>
      <c r="BD1005" s="86" t="str">
        <f t="shared" si="237"/>
        <v/>
      </c>
      <c r="BE1005" s="84">
        <f t="shared" si="238"/>
        <v>0</v>
      </c>
      <c r="BF1005" s="87" t="str">
        <f t="shared" si="239"/>
        <v/>
      </c>
      <c r="BG1005" s="88" t="str">
        <f t="shared" si="240"/>
        <v/>
      </c>
      <c r="BH1005" s="89" t="str">
        <f t="shared" si="241"/>
        <v/>
      </c>
      <c r="BI1005" s="90" t="str">
        <f t="shared" si="242"/>
        <v/>
      </c>
      <c r="BJ1005" s="90" t="str">
        <f t="shared" si="243"/>
        <v/>
      </c>
      <c r="BK1005" s="91">
        <f t="shared" si="244"/>
        <v>0</v>
      </c>
      <c r="BL1005" s="92">
        <f t="shared" si="245"/>
        <v>0</v>
      </c>
      <c r="BM1005" s="95"/>
    </row>
  </sheetData>
  <dataValidations count="7">
    <dataValidation type="list" allowBlank="1" showInputMessage="1" showErrorMessage="1" sqref="X5:X1005">
      <formula1>"Yes,No"</formula1>
    </dataValidation>
    <dataValidation type="whole" allowBlank="1" showInputMessage="1" showErrorMessage="1" sqref="Y5:Z1005">
      <formula1>-999999999999</formula1>
      <formula2>999999999999</formula2>
    </dataValidation>
    <dataValidation operator="greaterThan" allowBlank="1" showInputMessage="1" showErrorMessage="1" sqref="H5:H1005"/>
    <dataValidation type="whole" operator="greaterThan" allowBlank="1" showInputMessage="1" showErrorMessage="1" sqref="I5:I1005 K5:L1005">
      <formula1>0</formula1>
    </dataValidation>
    <dataValidation type="date" operator="greaterThan" allowBlank="1" showInputMessage="1" showErrorMessage="1" sqref="E5:G1005">
      <formula1>1</formula1>
    </dataValidation>
    <dataValidation type="whole" operator="greaterThan" allowBlank="1" showInputMessage="1" showErrorMessage="1" sqref="J5:J1005">
      <formula1>1900</formula1>
    </dataValidation>
    <dataValidation type="decimal" allowBlank="1" showInputMessage="1" showErrorMessage="1" sqref="AA5:BL1005">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Drop_Down_Lists!$C$2:$C$90</xm:f>
          </x14:formula1>
          <xm:sqref>C5:C1005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Drop_Down_Lists!$H$2:$H$4</xm:f>
          </x14:formula1>
          <xm:sqref>O5:O1005</xm:sqref>
        </x14:dataValidation>
        <x14:dataValidation type="list" allowBlank="1" showInputMessage="1" showErrorMessage="1">
          <x14:formula1>
            <xm:f>Drop_Down_Lists!$K$2:$K$18</xm:f>
          </x14:formula1>
          <xm:sqref>R5:R1005</xm:sqref>
        </x14:dataValidation>
        <x14:dataValidation type="list" allowBlank="1" showInputMessage="1" showErrorMessage="1">
          <x14:formula1>
            <xm:f>Drop_Down_Lists!$J$2</xm:f>
          </x14:formula1>
          <xm:sqref>P5:P1005</xm:sqref>
        </x14:dataValidation>
        <x14:dataValidation type="list" allowBlank="1" showInputMessage="1" showErrorMessage="1">
          <x14:formula1>
            <xm:f>Drop_Down_Lists!$D$2:$D$5</xm:f>
          </x14:formula1>
          <xm:sqref>D5:D1005</xm:sqref>
        </x14:dataValidation>
        <x14:dataValidation type="list" allowBlank="1" showInputMessage="1" showErrorMessage="1">
          <x14:formula1>
            <xm:f>Drop_Down_Lists!$A$2:$A$29</xm:f>
          </x14:formula1>
          <xm:sqref>A5:B1005</xm:sqref>
        </x14:dataValidation>
        <x14:dataValidation type="list" allowBlank="1" showInputMessage="1" showErrorMessage="1">
          <x14:formula1>
            <xm:f>Drop_Down_Lists!$I$2:$I$20</xm:f>
          </x14:formula1>
          <xm:sqref>Q5:Q1005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L1005"/>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9" defaultRowHeight="1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4.7109375" bestFit="1"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1.5703125" bestFit="1"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282</v>
      </c>
      <c r="AC3" s="21" t="s">
        <v>283</v>
      </c>
      <c r="AD3" s="23" t="s">
        <v>278</v>
      </c>
      <c r="AE3" s="17" t="s">
        <v>285</v>
      </c>
      <c r="AF3" s="17" t="s">
        <v>286</v>
      </c>
      <c r="AG3" s="21" t="s">
        <v>287</v>
      </c>
      <c r="AH3" s="16" t="s">
        <v>30</v>
      </c>
      <c r="AI3" s="17" t="s">
        <v>31</v>
      </c>
      <c r="AJ3" s="17" t="s">
        <v>169</v>
      </c>
      <c r="AK3" s="15" t="s">
        <v>84</v>
      </c>
      <c r="AL3" s="16" t="s">
        <v>173</v>
      </c>
      <c r="AM3" s="16" t="s">
        <v>148</v>
      </c>
      <c r="AN3" s="16" t="s">
        <v>149</v>
      </c>
      <c r="AO3" s="16" t="s">
        <v>151</v>
      </c>
      <c r="AP3" s="17" t="s">
        <v>329</v>
      </c>
      <c r="AQ3" s="17" t="s">
        <v>288</v>
      </c>
      <c r="AR3" s="15" t="s">
        <v>289</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c r="A5" s="61"/>
      <c r="B5" s="62"/>
      <c r="C5" s="63"/>
      <c r="D5" s="64"/>
      <c r="E5" s="64"/>
      <c r="F5" s="65"/>
      <c r="G5" s="66" t="str">
        <f t="shared" ref="G5:G68" si="0">IF(E5="","",IF(E5="","",IF((E5-D5+1)&gt;360,"Most Recently 12 Months","Year To Date")))</f>
        <v/>
      </c>
      <c r="H5" s="67" t="str">
        <f t="shared" ref="H5:H68" si="1">IF(E5="","",ROUND((E5-D5+1)/(((365*3+366)/4)/12),0))</f>
        <v/>
      </c>
      <c r="I5" s="68" t="str">
        <f t="shared" ref="I5:I68" si="2">IF(E5="","",YEAR(E5))</f>
        <v/>
      </c>
      <c r="J5" s="69" t="str">
        <f t="shared" ref="J5:J68" si="3">IF(E5="","",CEILING(K5/3,1))</f>
        <v/>
      </c>
      <c r="K5" s="70" t="str">
        <f t="shared" ref="K5:K68" si="4">IF(E5="","",MONTH(E5))</f>
        <v/>
      </c>
      <c r="L5" s="71"/>
      <c r="M5" s="71"/>
      <c r="N5" s="71"/>
      <c r="O5" s="71"/>
      <c r="P5" s="61"/>
      <c r="Q5" s="63"/>
      <c r="R5" s="72"/>
      <c r="S5" s="61"/>
      <c r="T5" s="73"/>
      <c r="U5" s="62"/>
      <c r="V5" s="62"/>
      <c r="W5" s="62"/>
      <c r="X5" s="93"/>
      <c r="Y5" s="94"/>
      <c r="Z5" s="74"/>
      <c r="AA5" s="75"/>
      <c r="AB5" s="75"/>
      <c r="AC5" s="76"/>
      <c r="AD5" s="77"/>
      <c r="AE5" s="75"/>
      <c r="AF5" s="78"/>
      <c r="AG5" s="79"/>
      <c r="AH5" s="74"/>
      <c r="AI5" s="75"/>
      <c r="AJ5" s="75"/>
      <c r="AK5" s="80">
        <f t="shared" ref="AK5:AK68" si="5">SUM(AH5:AJ5)</f>
        <v>0</v>
      </c>
      <c r="AL5" s="74"/>
      <c r="AM5" s="74"/>
      <c r="AN5" s="81" t="str">
        <f t="shared" ref="AN5:AN68" si="6">IFERROR(AM5/AL5,"")</f>
        <v/>
      </c>
      <c r="AO5" s="82"/>
      <c r="AP5" s="75"/>
      <c r="AQ5" s="75"/>
      <c r="AR5" s="80">
        <f t="shared" ref="AR5:AR68" si="7">SUM(AP5:AQ5)</f>
        <v>0</v>
      </c>
      <c r="AS5" s="74"/>
      <c r="AT5" s="75"/>
      <c r="AU5" s="75"/>
      <c r="AV5" s="75"/>
      <c r="AW5" s="80">
        <f t="shared" ref="AW5:AW68" si="8">SUM(AS5:AV5)</f>
        <v>0</v>
      </c>
      <c r="AX5" s="81" t="str">
        <f t="shared" ref="AX5:AX68" si="9">IFERROR(AO5/AE5,"")</f>
        <v/>
      </c>
      <c r="AY5" s="83" t="str">
        <f t="shared" ref="AY5:AY68" si="10">IFERROR(AR5/AO5,"")</f>
        <v/>
      </c>
      <c r="AZ5" s="80" t="str">
        <f t="shared" ref="AZ5:AZ68" si="11">IFERROR(AX5*AY5,"")</f>
        <v/>
      </c>
      <c r="BA5" s="84">
        <f t="shared" ref="BA5:BA68" si="12">AF5-SUM(AK5,AR5:AT5,AV5)</f>
        <v>0</v>
      </c>
      <c r="BB5" s="85" t="str">
        <f t="shared" ref="BB5:BB68" si="13">IFERROR(BA5/AU5,"")</f>
        <v/>
      </c>
      <c r="BC5" s="86" t="str">
        <f t="shared" ref="BC5:BC68" si="14">IFERROR(BA5/AF5,"")</f>
        <v/>
      </c>
      <c r="BD5" s="84">
        <f t="shared" ref="BD5:BD68" si="15">AF5-SUM(AK5,AR5:AT5)</f>
        <v>0</v>
      </c>
      <c r="BE5" s="87" t="str">
        <f t="shared" ref="BE5:BE68" si="16">IFERROR(BD5/SUM(AU5:AV5),"")</f>
        <v/>
      </c>
      <c r="BF5" s="88" t="str">
        <f t="shared" ref="BF5:BF68" si="17">IFERROR(BD5/AF5,"")</f>
        <v/>
      </c>
      <c r="BG5" s="89" t="str">
        <f t="shared" ref="BG5:BG68" si="18">IFERROR(AR5/AF5,"")</f>
        <v/>
      </c>
      <c r="BH5" s="90" t="str">
        <f t="shared" ref="BH5:BH68" si="19">IFERROR(AK5/AF5,"")</f>
        <v/>
      </c>
      <c r="BI5" s="90" t="str">
        <f t="shared" ref="BI5:BI68" si="20">IFERROR(AW5/AF5,"")</f>
        <v/>
      </c>
      <c r="BJ5" s="91">
        <f t="shared" ref="BJ5:BJ68" si="21">SUM(BG5:BI5)</f>
        <v>0</v>
      </c>
      <c r="BK5" s="92">
        <f t="shared" ref="BK5:BK68" si="22">AF5-SUM(AK5,AR5,AW5)</f>
        <v>0</v>
      </c>
      <c r="BL5" s="95"/>
    </row>
    <row r="6" spans="1:64">
      <c r="A6" s="61"/>
      <c r="B6" s="62"/>
      <c r="C6" s="63"/>
      <c r="D6" s="64"/>
      <c r="E6" s="64"/>
      <c r="F6" s="65"/>
      <c r="G6" s="66" t="str">
        <f t="shared" si="0"/>
        <v/>
      </c>
      <c r="H6" s="67" t="str">
        <f t="shared" si="1"/>
        <v/>
      </c>
      <c r="I6" s="68" t="str">
        <f t="shared" si="2"/>
        <v/>
      </c>
      <c r="J6" s="69" t="str">
        <f t="shared" si="3"/>
        <v/>
      </c>
      <c r="K6" s="70" t="str">
        <f t="shared" si="4"/>
        <v/>
      </c>
      <c r="L6" s="71"/>
      <c r="M6" s="71"/>
      <c r="N6" s="71"/>
      <c r="O6" s="71"/>
      <c r="P6" s="61"/>
      <c r="Q6" s="63"/>
      <c r="R6" s="72"/>
      <c r="S6" s="61"/>
      <c r="T6" s="73"/>
      <c r="U6" s="62"/>
      <c r="V6" s="62"/>
      <c r="W6" s="62"/>
      <c r="X6" s="93"/>
      <c r="Y6" s="94"/>
      <c r="Z6" s="74"/>
      <c r="AA6" s="75"/>
      <c r="AB6" s="75"/>
      <c r="AC6" s="76"/>
      <c r="AD6" s="77"/>
      <c r="AE6" s="75"/>
      <c r="AF6" s="78"/>
      <c r="AG6" s="79"/>
      <c r="AH6" s="74"/>
      <c r="AI6" s="75"/>
      <c r="AJ6" s="75"/>
      <c r="AK6" s="80">
        <f t="shared" si="5"/>
        <v>0</v>
      </c>
      <c r="AL6" s="74"/>
      <c r="AM6" s="74"/>
      <c r="AN6" s="81" t="str">
        <f t="shared" si="6"/>
        <v/>
      </c>
      <c r="AO6" s="82"/>
      <c r="AP6" s="75"/>
      <c r="AQ6" s="75"/>
      <c r="AR6" s="80">
        <f t="shared" si="7"/>
        <v>0</v>
      </c>
      <c r="AS6" s="74"/>
      <c r="AT6" s="75"/>
      <c r="AU6" s="75"/>
      <c r="AV6" s="75"/>
      <c r="AW6" s="80">
        <f t="shared" si="8"/>
        <v>0</v>
      </c>
      <c r="AX6" s="81" t="str">
        <f t="shared" si="9"/>
        <v/>
      </c>
      <c r="AY6" s="83" t="str">
        <f t="shared" si="10"/>
        <v/>
      </c>
      <c r="AZ6" s="80" t="str">
        <f t="shared" si="11"/>
        <v/>
      </c>
      <c r="BA6" s="84">
        <f t="shared" si="12"/>
        <v>0</v>
      </c>
      <c r="BB6" s="85" t="str">
        <f t="shared" si="13"/>
        <v/>
      </c>
      <c r="BC6" s="86" t="str">
        <f t="shared" si="14"/>
        <v/>
      </c>
      <c r="BD6" s="84">
        <f t="shared" si="15"/>
        <v>0</v>
      </c>
      <c r="BE6" s="87" t="str">
        <f t="shared" si="16"/>
        <v/>
      </c>
      <c r="BF6" s="88" t="str">
        <f t="shared" si="17"/>
        <v/>
      </c>
      <c r="BG6" s="89" t="str">
        <f t="shared" si="18"/>
        <v/>
      </c>
      <c r="BH6" s="90" t="str">
        <f t="shared" si="19"/>
        <v/>
      </c>
      <c r="BI6" s="90" t="str">
        <f t="shared" si="20"/>
        <v/>
      </c>
      <c r="BJ6" s="91">
        <f t="shared" si="21"/>
        <v>0</v>
      </c>
      <c r="BK6" s="92">
        <f t="shared" si="22"/>
        <v>0</v>
      </c>
      <c r="BL6" s="95"/>
    </row>
    <row r="7" spans="1:64">
      <c r="A7" s="61"/>
      <c r="B7" s="62"/>
      <c r="C7" s="63"/>
      <c r="D7" s="64"/>
      <c r="E7" s="64"/>
      <c r="F7" s="65"/>
      <c r="G7" s="66" t="str">
        <f t="shared" si="0"/>
        <v/>
      </c>
      <c r="H7" s="67" t="str">
        <f t="shared" si="1"/>
        <v/>
      </c>
      <c r="I7" s="68" t="str">
        <f t="shared" si="2"/>
        <v/>
      </c>
      <c r="J7" s="69" t="str">
        <f t="shared" si="3"/>
        <v/>
      </c>
      <c r="K7" s="70" t="str">
        <f t="shared" si="4"/>
        <v/>
      </c>
      <c r="L7" s="71"/>
      <c r="M7" s="71"/>
      <c r="N7" s="71"/>
      <c r="O7" s="71"/>
      <c r="P7" s="61"/>
      <c r="Q7" s="63"/>
      <c r="R7" s="72"/>
      <c r="S7" s="61"/>
      <c r="T7" s="73"/>
      <c r="U7" s="62"/>
      <c r="V7" s="62"/>
      <c r="W7" s="62"/>
      <c r="X7" s="93"/>
      <c r="Y7" s="94"/>
      <c r="Z7" s="74"/>
      <c r="AA7" s="75"/>
      <c r="AB7" s="75"/>
      <c r="AC7" s="76"/>
      <c r="AD7" s="77"/>
      <c r="AE7" s="75"/>
      <c r="AF7" s="78"/>
      <c r="AG7" s="79"/>
      <c r="AH7" s="74"/>
      <c r="AI7" s="75"/>
      <c r="AJ7" s="75"/>
      <c r="AK7" s="80">
        <f t="shared" si="5"/>
        <v>0</v>
      </c>
      <c r="AL7" s="74"/>
      <c r="AM7" s="74"/>
      <c r="AN7" s="81" t="str">
        <f t="shared" si="6"/>
        <v/>
      </c>
      <c r="AO7" s="82"/>
      <c r="AP7" s="75"/>
      <c r="AQ7" s="75"/>
      <c r="AR7" s="80">
        <f t="shared" si="7"/>
        <v>0</v>
      </c>
      <c r="AS7" s="74"/>
      <c r="AT7" s="75"/>
      <c r="AU7" s="75"/>
      <c r="AV7" s="75"/>
      <c r="AW7" s="80">
        <f t="shared" si="8"/>
        <v>0</v>
      </c>
      <c r="AX7" s="81" t="str">
        <f t="shared" si="9"/>
        <v/>
      </c>
      <c r="AY7" s="83" t="str">
        <f t="shared" si="10"/>
        <v/>
      </c>
      <c r="AZ7" s="80" t="str">
        <f t="shared" si="11"/>
        <v/>
      </c>
      <c r="BA7" s="84">
        <f t="shared" si="12"/>
        <v>0</v>
      </c>
      <c r="BB7" s="85" t="str">
        <f t="shared" si="13"/>
        <v/>
      </c>
      <c r="BC7" s="86" t="str">
        <f t="shared" si="14"/>
        <v/>
      </c>
      <c r="BD7" s="84">
        <f t="shared" si="15"/>
        <v>0</v>
      </c>
      <c r="BE7" s="87" t="str">
        <f t="shared" si="16"/>
        <v/>
      </c>
      <c r="BF7" s="88" t="str">
        <f t="shared" si="17"/>
        <v/>
      </c>
      <c r="BG7" s="89" t="str">
        <f t="shared" si="18"/>
        <v/>
      </c>
      <c r="BH7" s="90" t="str">
        <f t="shared" si="19"/>
        <v/>
      </c>
      <c r="BI7" s="90" t="str">
        <f t="shared" si="20"/>
        <v/>
      </c>
      <c r="BJ7" s="91">
        <f t="shared" si="21"/>
        <v>0</v>
      </c>
      <c r="BK7" s="92">
        <f t="shared" si="22"/>
        <v>0</v>
      </c>
      <c r="BL7" s="95"/>
    </row>
    <row r="8" spans="1:64">
      <c r="A8" s="61"/>
      <c r="B8" s="62"/>
      <c r="C8" s="63"/>
      <c r="D8" s="64"/>
      <c r="E8" s="64"/>
      <c r="F8" s="65"/>
      <c r="G8" s="66" t="str">
        <f t="shared" si="0"/>
        <v/>
      </c>
      <c r="H8" s="67" t="str">
        <f t="shared" si="1"/>
        <v/>
      </c>
      <c r="I8" s="68" t="str">
        <f t="shared" si="2"/>
        <v/>
      </c>
      <c r="J8" s="69" t="str">
        <f t="shared" si="3"/>
        <v/>
      </c>
      <c r="K8" s="70" t="str">
        <f t="shared" si="4"/>
        <v/>
      </c>
      <c r="L8" s="71"/>
      <c r="M8" s="71"/>
      <c r="N8" s="71"/>
      <c r="O8" s="71"/>
      <c r="P8" s="61"/>
      <c r="Q8" s="63"/>
      <c r="R8" s="72"/>
      <c r="S8" s="61"/>
      <c r="T8" s="73"/>
      <c r="U8" s="62"/>
      <c r="V8" s="62"/>
      <c r="W8" s="62"/>
      <c r="X8" s="93"/>
      <c r="Y8" s="94"/>
      <c r="Z8" s="74"/>
      <c r="AA8" s="75"/>
      <c r="AB8" s="75"/>
      <c r="AC8" s="76"/>
      <c r="AD8" s="77"/>
      <c r="AE8" s="75"/>
      <c r="AF8" s="78"/>
      <c r="AG8" s="79"/>
      <c r="AH8" s="74"/>
      <c r="AI8" s="75"/>
      <c r="AJ8" s="75"/>
      <c r="AK8" s="80">
        <f t="shared" si="5"/>
        <v>0</v>
      </c>
      <c r="AL8" s="74"/>
      <c r="AM8" s="74"/>
      <c r="AN8" s="81" t="str">
        <f t="shared" si="6"/>
        <v/>
      </c>
      <c r="AO8" s="82"/>
      <c r="AP8" s="75"/>
      <c r="AQ8" s="75"/>
      <c r="AR8" s="80">
        <f t="shared" si="7"/>
        <v>0</v>
      </c>
      <c r="AS8" s="74"/>
      <c r="AT8" s="75"/>
      <c r="AU8" s="75"/>
      <c r="AV8" s="75"/>
      <c r="AW8" s="80">
        <f t="shared" si="8"/>
        <v>0</v>
      </c>
      <c r="AX8" s="81" t="str">
        <f t="shared" si="9"/>
        <v/>
      </c>
      <c r="AY8" s="83" t="str">
        <f t="shared" si="10"/>
        <v/>
      </c>
      <c r="AZ8" s="80" t="str">
        <f t="shared" si="11"/>
        <v/>
      </c>
      <c r="BA8" s="84">
        <f t="shared" si="12"/>
        <v>0</v>
      </c>
      <c r="BB8" s="85" t="str">
        <f t="shared" si="13"/>
        <v/>
      </c>
      <c r="BC8" s="86" t="str">
        <f t="shared" si="14"/>
        <v/>
      </c>
      <c r="BD8" s="84">
        <f t="shared" si="15"/>
        <v>0</v>
      </c>
      <c r="BE8" s="87" t="str">
        <f t="shared" si="16"/>
        <v/>
      </c>
      <c r="BF8" s="88" t="str">
        <f t="shared" si="17"/>
        <v/>
      </c>
      <c r="BG8" s="89" t="str">
        <f t="shared" si="18"/>
        <v/>
      </c>
      <c r="BH8" s="90" t="str">
        <f t="shared" si="19"/>
        <v/>
      </c>
      <c r="BI8" s="90" t="str">
        <f t="shared" si="20"/>
        <v/>
      </c>
      <c r="BJ8" s="91">
        <f t="shared" si="21"/>
        <v>0</v>
      </c>
      <c r="BK8" s="92">
        <f t="shared" si="22"/>
        <v>0</v>
      </c>
      <c r="BL8" s="95"/>
    </row>
    <row r="9" spans="1:64">
      <c r="A9" s="61"/>
      <c r="B9" s="62"/>
      <c r="C9" s="63"/>
      <c r="D9" s="64"/>
      <c r="E9" s="64"/>
      <c r="F9" s="65"/>
      <c r="G9" s="66" t="str">
        <f t="shared" si="0"/>
        <v/>
      </c>
      <c r="H9" s="67" t="str">
        <f t="shared" si="1"/>
        <v/>
      </c>
      <c r="I9" s="68" t="str">
        <f t="shared" si="2"/>
        <v/>
      </c>
      <c r="J9" s="69" t="str">
        <f t="shared" si="3"/>
        <v/>
      </c>
      <c r="K9" s="70" t="str">
        <f t="shared" si="4"/>
        <v/>
      </c>
      <c r="L9" s="71"/>
      <c r="M9" s="71"/>
      <c r="N9" s="71"/>
      <c r="O9" s="71"/>
      <c r="P9" s="61"/>
      <c r="Q9" s="63"/>
      <c r="R9" s="72"/>
      <c r="S9" s="61"/>
      <c r="T9" s="73"/>
      <c r="U9" s="62"/>
      <c r="V9" s="62"/>
      <c r="W9" s="62"/>
      <c r="X9" s="93"/>
      <c r="Y9" s="94"/>
      <c r="Z9" s="74"/>
      <c r="AA9" s="75"/>
      <c r="AB9" s="75"/>
      <c r="AC9" s="76"/>
      <c r="AD9" s="77"/>
      <c r="AE9" s="75"/>
      <c r="AF9" s="78"/>
      <c r="AG9" s="79"/>
      <c r="AH9" s="74"/>
      <c r="AI9" s="75"/>
      <c r="AJ9" s="75"/>
      <c r="AK9" s="80">
        <f t="shared" si="5"/>
        <v>0</v>
      </c>
      <c r="AL9" s="74"/>
      <c r="AM9" s="74"/>
      <c r="AN9" s="81" t="str">
        <f t="shared" si="6"/>
        <v/>
      </c>
      <c r="AO9" s="82"/>
      <c r="AP9" s="75"/>
      <c r="AQ9" s="75"/>
      <c r="AR9" s="80">
        <f t="shared" si="7"/>
        <v>0</v>
      </c>
      <c r="AS9" s="74"/>
      <c r="AT9" s="75"/>
      <c r="AU9" s="75"/>
      <c r="AV9" s="75"/>
      <c r="AW9" s="80">
        <f t="shared" si="8"/>
        <v>0</v>
      </c>
      <c r="AX9" s="81" t="str">
        <f t="shared" si="9"/>
        <v/>
      </c>
      <c r="AY9" s="83" t="str">
        <f t="shared" si="10"/>
        <v/>
      </c>
      <c r="AZ9" s="80" t="str">
        <f t="shared" si="11"/>
        <v/>
      </c>
      <c r="BA9" s="84">
        <f t="shared" si="12"/>
        <v>0</v>
      </c>
      <c r="BB9" s="85" t="str">
        <f t="shared" si="13"/>
        <v/>
      </c>
      <c r="BC9" s="86" t="str">
        <f t="shared" si="14"/>
        <v/>
      </c>
      <c r="BD9" s="84">
        <f t="shared" si="15"/>
        <v>0</v>
      </c>
      <c r="BE9" s="87" t="str">
        <f t="shared" si="16"/>
        <v/>
      </c>
      <c r="BF9" s="88" t="str">
        <f t="shared" si="17"/>
        <v/>
      </c>
      <c r="BG9" s="89" t="str">
        <f t="shared" si="18"/>
        <v/>
      </c>
      <c r="BH9" s="90" t="str">
        <f t="shared" si="19"/>
        <v/>
      </c>
      <c r="BI9" s="90" t="str">
        <f t="shared" si="20"/>
        <v/>
      </c>
      <c r="BJ9" s="91">
        <f t="shared" si="21"/>
        <v>0</v>
      </c>
      <c r="BK9" s="92">
        <f t="shared" si="22"/>
        <v>0</v>
      </c>
      <c r="BL9" s="95"/>
    </row>
    <row r="10" spans="1:64">
      <c r="A10" s="61"/>
      <c r="B10" s="62"/>
      <c r="C10" s="63"/>
      <c r="D10" s="64"/>
      <c r="E10" s="64"/>
      <c r="F10" s="65"/>
      <c r="G10" s="66" t="str">
        <f t="shared" si="0"/>
        <v/>
      </c>
      <c r="H10" s="67" t="str">
        <f t="shared" si="1"/>
        <v/>
      </c>
      <c r="I10" s="68" t="str">
        <f t="shared" si="2"/>
        <v/>
      </c>
      <c r="J10" s="69" t="str">
        <f t="shared" si="3"/>
        <v/>
      </c>
      <c r="K10" s="70" t="str">
        <f t="shared" si="4"/>
        <v/>
      </c>
      <c r="L10" s="71"/>
      <c r="M10" s="71"/>
      <c r="N10" s="71"/>
      <c r="O10" s="71"/>
      <c r="P10" s="61"/>
      <c r="Q10" s="63"/>
      <c r="R10" s="72"/>
      <c r="S10" s="61"/>
      <c r="T10" s="73"/>
      <c r="U10" s="62"/>
      <c r="V10" s="62"/>
      <c r="W10" s="62"/>
      <c r="X10" s="93"/>
      <c r="Y10" s="94"/>
      <c r="Z10" s="74"/>
      <c r="AA10" s="75"/>
      <c r="AB10" s="75"/>
      <c r="AC10" s="76"/>
      <c r="AD10" s="77"/>
      <c r="AE10" s="75"/>
      <c r="AF10" s="78"/>
      <c r="AG10" s="79"/>
      <c r="AH10" s="74"/>
      <c r="AI10" s="75"/>
      <c r="AJ10" s="75"/>
      <c r="AK10" s="80">
        <f t="shared" si="5"/>
        <v>0</v>
      </c>
      <c r="AL10" s="74"/>
      <c r="AM10" s="74"/>
      <c r="AN10" s="81" t="str">
        <f t="shared" si="6"/>
        <v/>
      </c>
      <c r="AO10" s="82"/>
      <c r="AP10" s="75"/>
      <c r="AQ10" s="75"/>
      <c r="AR10" s="80">
        <f t="shared" si="7"/>
        <v>0</v>
      </c>
      <c r="AS10" s="74"/>
      <c r="AT10" s="75"/>
      <c r="AU10" s="75"/>
      <c r="AV10" s="75"/>
      <c r="AW10" s="80">
        <f t="shared" si="8"/>
        <v>0</v>
      </c>
      <c r="AX10" s="81" t="str">
        <f t="shared" si="9"/>
        <v/>
      </c>
      <c r="AY10" s="83" t="str">
        <f t="shared" si="10"/>
        <v/>
      </c>
      <c r="AZ10" s="80" t="str">
        <f t="shared" si="11"/>
        <v/>
      </c>
      <c r="BA10" s="84">
        <f t="shared" si="12"/>
        <v>0</v>
      </c>
      <c r="BB10" s="85" t="str">
        <f t="shared" si="13"/>
        <v/>
      </c>
      <c r="BC10" s="86" t="str">
        <f t="shared" si="14"/>
        <v/>
      </c>
      <c r="BD10" s="84">
        <f t="shared" si="15"/>
        <v>0</v>
      </c>
      <c r="BE10" s="87" t="str">
        <f t="shared" si="16"/>
        <v/>
      </c>
      <c r="BF10" s="88" t="str">
        <f t="shared" si="17"/>
        <v/>
      </c>
      <c r="BG10" s="89" t="str">
        <f t="shared" si="18"/>
        <v/>
      </c>
      <c r="BH10" s="90" t="str">
        <f t="shared" si="19"/>
        <v/>
      </c>
      <c r="BI10" s="90" t="str">
        <f t="shared" si="20"/>
        <v/>
      </c>
      <c r="BJ10" s="91">
        <f t="shared" si="21"/>
        <v>0</v>
      </c>
      <c r="BK10" s="92">
        <f t="shared" si="22"/>
        <v>0</v>
      </c>
      <c r="BL10" s="95"/>
    </row>
    <row r="11" spans="1:64">
      <c r="A11" s="61"/>
      <c r="B11" s="62"/>
      <c r="C11" s="63"/>
      <c r="D11" s="64"/>
      <c r="E11" s="64"/>
      <c r="F11" s="65"/>
      <c r="G11" s="66" t="str">
        <f t="shared" si="0"/>
        <v/>
      </c>
      <c r="H11" s="67" t="str">
        <f t="shared" si="1"/>
        <v/>
      </c>
      <c r="I11" s="68" t="str">
        <f t="shared" si="2"/>
        <v/>
      </c>
      <c r="J11" s="69" t="str">
        <f t="shared" si="3"/>
        <v/>
      </c>
      <c r="K11" s="70" t="str">
        <f t="shared" si="4"/>
        <v/>
      </c>
      <c r="L11" s="71"/>
      <c r="M11" s="71"/>
      <c r="N11" s="71"/>
      <c r="O11" s="71"/>
      <c r="P11" s="61"/>
      <c r="Q11" s="63"/>
      <c r="R11" s="72"/>
      <c r="S11" s="61"/>
      <c r="T11" s="73"/>
      <c r="U11" s="62"/>
      <c r="V11" s="62"/>
      <c r="W11" s="62"/>
      <c r="X11" s="93"/>
      <c r="Y11" s="94"/>
      <c r="Z11" s="74"/>
      <c r="AA11" s="75"/>
      <c r="AB11" s="75"/>
      <c r="AC11" s="76"/>
      <c r="AD11" s="77"/>
      <c r="AE11" s="75"/>
      <c r="AF11" s="78"/>
      <c r="AG11" s="79"/>
      <c r="AH11" s="74"/>
      <c r="AI11" s="75"/>
      <c r="AJ11" s="75"/>
      <c r="AK11" s="80">
        <f t="shared" si="5"/>
        <v>0</v>
      </c>
      <c r="AL11" s="74"/>
      <c r="AM11" s="74"/>
      <c r="AN11" s="81" t="str">
        <f t="shared" si="6"/>
        <v/>
      </c>
      <c r="AO11" s="82"/>
      <c r="AP11" s="75"/>
      <c r="AQ11" s="75"/>
      <c r="AR11" s="80">
        <f t="shared" si="7"/>
        <v>0</v>
      </c>
      <c r="AS11" s="74"/>
      <c r="AT11" s="75"/>
      <c r="AU11" s="75"/>
      <c r="AV11" s="75"/>
      <c r="AW11" s="80">
        <f t="shared" si="8"/>
        <v>0</v>
      </c>
      <c r="AX11" s="81" t="str">
        <f t="shared" si="9"/>
        <v/>
      </c>
      <c r="AY11" s="83" t="str">
        <f t="shared" si="10"/>
        <v/>
      </c>
      <c r="AZ11" s="80" t="str">
        <f t="shared" si="11"/>
        <v/>
      </c>
      <c r="BA11" s="84">
        <f t="shared" si="12"/>
        <v>0</v>
      </c>
      <c r="BB11" s="85" t="str">
        <f t="shared" si="13"/>
        <v/>
      </c>
      <c r="BC11" s="86" t="str">
        <f t="shared" si="14"/>
        <v/>
      </c>
      <c r="BD11" s="84">
        <f t="shared" si="15"/>
        <v>0</v>
      </c>
      <c r="BE11" s="87" t="str">
        <f t="shared" si="16"/>
        <v/>
      </c>
      <c r="BF11" s="88" t="str">
        <f t="shared" si="17"/>
        <v/>
      </c>
      <c r="BG11" s="89" t="str">
        <f t="shared" si="18"/>
        <v/>
      </c>
      <c r="BH11" s="90" t="str">
        <f t="shared" si="19"/>
        <v/>
      </c>
      <c r="BI11" s="90" t="str">
        <f t="shared" si="20"/>
        <v/>
      </c>
      <c r="BJ11" s="91">
        <f t="shared" si="21"/>
        <v>0</v>
      </c>
      <c r="BK11" s="92">
        <f t="shared" si="22"/>
        <v>0</v>
      </c>
      <c r="BL11" s="95"/>
    </row>
    <row r="12" spans="1:64">
      <c r="A12" s="61"/>
      <c r="B12" s="62"/>
      <c r="C12" s="63"/>
      <c r="D12" s="64"/>
      <c r="E12" s="64"/>
      <c r="F12" s="65"/>
      <c r="G12" s="66" t="str">
        <f t="shared" si="0"/>
        <v/>
      </c>
      <c r="H12" s="67" t="str">
        <f t="shared" si="1"/>
        <v/>
      </c>
      <c r="I12" s="68" t="str">
        <f t="shared" si="2"/>
        <v/>
      </c>
      <c r="J12" s="69" t="str">
        <f t="shared" si="3"/>
        <v/>
      </c>
      <c r="K12" s="70" t="str">
        <f t="shared" si="4"/>
        <v/>
      </c>
      <c r="L12" s="71"/>
      <c r="M12" s="71"/>
      <c r="N12" s="71"/>
      <c r="O12" s="71"/>
      <c r="P12" s="61"/>
      <c r="Q12" s="63"/>
      <c r="R12" s="72"/>
      <c r="S12" s="61"/>
      <c r="T12" s="73"/>
      <c r="U12" s="62"/>
      <c r="V12" s="62"/>
      <c r="W12" s="62"/>
      <c r="X12" s="93"/>
      <c r="Y12" s="94"/>
      <c r="Z12" s="74"/>
      <c r="AA12" s="75"/>
      <c r="AB12" s="75"/>
      <c r="AC12" s="76"/>
      <c r="AD12" s="77"/>
      <c r="AE12" s="75"/>
      <c r="AF12" s="78"/>
      <c r="AG12" s="79"/>
      <c r="AH12" s="74"/>
      <c r="AI12" s="75"/>
      <c r="AJ12" s="75"/>
      <c r="AK12" s="80">
        <f t="shared" si="5"/>
        <v>0</v>
      </c>
      <c r="AL12" s="74"/>
      <c r="AM12" s="74"/>
      <c r="AN12" s="81" t="str">
        <f t="shared" si="6"/>
        <v/>
      </c>
      <c r="AO12" s="82"/>
      <c r="AP12" s="75"/>
      <c r="AQ12" s="75"/>
      <c r="AR12" s="80">
        <f t="shared" si="7"/>
        <v>0</v>
      </c>
      <c r="AS12" s="74"/>
      <c r="AT12" s="75"/>
      <c r="AU12" s="75"/>
      <c r="AV12" s="75"/>
      <c r="AW12" s="80">
        <f t="shared" si="8"/>
        <v>0</v>
      </c>
      <c r="AX12" s="81" t="str">
        <f t="shared" si="9"/>
        <v/>
      </c>
      <c r="AY12" s="83" t="str">
        <f t="shared" si="10"/>
        <v/>
      </c>
      <c r="AZ12" s="80" t="str">
        <f t="shared" si="11"/>
        <v/>
      </c>
      <c r="BA12" s="84">
        <f t="shared" si="12"/>
        <v>0</v>
      </c>
      <c r="BB12" s="85" t="str">
        <f t="shared" si="13"/>
        <v/>
      </c>
      <c r="BC12" s="86" t="str">
        <f t="shared" si="14"/>
        <v/>
      </c>
      <c r="BD12" s="84">
        <f t="shared" si="15"/>
        <v>0</v>
      </c>
      <c r="BE12" s="87" t="str">
        <f t="shared" si="16"/>
        <v/>
      </c>
      <c r="BF12" s="88" t="str">
        <f t="shared" si="17"/>
        <v/>
      </c>
      <c r="BG12" s="89" t="str">
        <f t="shared" si="18"/>
        <v/>
      </c>
      <c r="BH12" s="90" t="str">
        <f t="shared" si="19"/>
        <v/>
      </c>
      <c r="BI12" s="90" t="str">
        <f t="shared" si="20"/>
        <v/>
      </c>
      <c r="BJ12" s="91">
        <f t="shared" si="21"/>
        <v>0</v>
      </c>
      <c r="BK12" s="92">
        <f t="shared" si="22"/>
        <v>0</v>
      </c>
      <c r="BL12" s="95"/>
    </row>
    <row r="13" spans="1:64">
      <c r="A13" s="61"/>
      <c r="B13" s="62"/>
      <c r="C13" s="63"/>
      <c r="D13" s="64"/>
      <c r="E13" s="64"/>
      <c r="F13" s="65"/>
      <c r="G13" s="66" t="str">
        <f t="shared" si="0"/>
        <v/>
      </c>
      <c r="H13" s="67" t="str">
        <f t="shared" si="1"/>
        <v/>
      </c>
      <c r="I13" s="68" t="str">
        <f t="shared" si="2"/>
        <v/>
      </c>
      <c r="J13" s="69" t="str">
        <f t="shared" si="3"/>
        <v/>
      </c>
      <c r="K13" s="70" t="str">
        <f t="shared" si="4"/>
        <v/>
      </c>
      <c r="L13" s="71"/>
      <c r="M13" s="71"/>
      <c r="N13" s="71"/>
      <c r="O13" s="71"/>
      <c r="P13" s="61"/>
      <c r="Q13" s="63"/>
      <c r="R13" s="72"/>
      <c r="S13" s="61"/>
      <c r="T13" s="73"/>
      <c r="U13" s="62"/>
      <c r="V13" s="62"/>
      <c r="W13" s="62"/>
      <c r="X13" s="93"/>
      <c r="Y13" s="94"/>
      <c r="Z13" s="74"/>
      <c r="AA13" s="75"/>
      <c r="AB13" s="75"/>
      <c r="AC13" s="76"/>
      <c r="AD13" s="77"/>
      <c r="AE13" s="75"/>
      <c r="AF13" s="78"/>
      <c r="AG13" s="79"/>
      <c r="AH13" s="74"/>
      <c r="AI13" s="75"/>
      <c r="AJ13" s="75"/>
      <c r="AK13" s="80">
        <f t="shared" si="5"/>
        <v>0</v>
      </c>
      <c r="AL13" s="74"/>
      <c r="AM13" s="74"/>
      <c r="AN13" s="81" t="str">
        <f t="shared" si="6"/>
        <v/>
      </c>
      <c r="AO13" s="82"/>
      <c r="AP13" s="75"/>
      <c r="AQ13" s="75"/>
      <c r="AR13" s="80">
        <f t="shared" si="7"/>
        <v>0</v>
      </c>
      <c r="AS13" s="74"/>
      <c r="AT13" s="75"/>
      <c r="AU13" s="75"/>
      <c r="AV13" s="75"/>
      <c r="AW13" s="80">
        <f t="shared" si="8"/>
        <v>0</v>
      </c>
      <c r="AX13" s="81" t="str">
        <f t="shared" si="9"/>
        <v/>
      </c>
      <c r="AY13" s="83" t="str">
        <f t="shared" si="10"/>
        <v/>
      </c>
      <c r="AZ13" s="80" t="str">
        <f t="shared" si="11"/>
        <v/>
      </c>
      <c r="BA13" s="84">
        <f t="shared" si="12"/>
        <v>0</v>
      </c>
      <c r="BB13" s="85" t="str">
        <f t="shared" si="13"/>
        <v/>
      </c>
      <c r="BC13" s="86" t="str">
        <f t="shared" si="14"/>
        <v/>
      </c>
      <c r="BD13" s="84">
        <f t="shared" si="15"/>
        <v>0</v>
      </c>
      <c r="BE13" s="87" t="str">
        <f t="shared" si="16"/>
        <v/>
      </c>
      <c r="BF13" s="88" t="str">
        <f t="shared" si="17"/>
        <v/>
      </c>
      <c r="BG13" s="89" t="str">
        <f t="shared" si="18"/>
        <v/>
      </c>
      <c r="BH13" s="90" t="str">
        <f t="shared" si="19"/>
        <v/>
      </c>
      <c r="BI13" s="90" t="str">
        <f t="shared" si="20"/>
        <v/>
      </c>
      <c r="BJ13" s="91">
        <f t="shared" si="21"/>
        <v>0</v>
      </c>
      <c r="BK13" s="92">
        <f t="shared" si="22"/>
        <v>0</v>
      </c>
      <c r="BL13" s="95"/>
    </row>
    <row r="14" spans="1:64">
      <c r="A14" s="61"/>
      <c r="B14" s="62"/>
      <c r="C14" s="63"/>
      <c r="D14" s="64"/>
      <c r="E14" s="64"/>
      <c r="F14" s="65"/>
      <c r="G14" s="66" t="str">
        <f t="shared" si="0"/>
        <v/>
      </c>
      <c r="H14" s="67" t="str">
        <f t="shared" si="1"/>
        <v/>
      </c>
      <c r="I14" s="68" t="str">
        <f t="shared" si="2"/>
        <v/>
      </c>
      <c r="J14" s="69" t="str">
        <f t="shared" si="3"/>
        <v/>
      </c>
      <c r="K14" s="70" t="str">
        <f t="shared" si="4"/>
        <v/>
      </c>
      <c r="L14" s="71"/>
      <c r="M14" s="71"/>
      <c r="N14" s="71"/>
      <c r="O14" s="71"/>
      <c r="P14" s="61"/>
      <c r="Q14" s="63"/>
      <c r="R14" s="72"/>
      <c r="S14" s="61"/>
      <c r="T14" s="73"/>
      <c r="U14" s="62"/>
      <c r="V14" s="62"/>
      <c r="W14" s="62"/>
      <c r="X14" s="93"/>
      <c r="Y14" s="94"/>
      <c r="Z14" s="74"/>
      <c r="AA14" s="75"/>
      <c r="AB14" s="75"/>
      <c r="AC14" s="76"/>
      <c r="AD14" s="77"/>
      <c r="AE14" s="75"/>
      <c r="AF14" s="78"/>
      <c r="AG14" s="79"/>
      <c r="AH14" s="74"/>
      <c r="AI14" s="75"/>
      <c r="AJ14" s="75"/>
      <c r="AK14" s="80">
        <f t="shared" si="5"/>
        <v>0</v>
      </c>
      <c r="AL14" s="74"/>
      <c r="AM14" s="74"/>
      <c r="AN14" s="81" t="str">
        <f t="shared" si="6"/>
        <v/>
      </c>
      <c r="AO14" s="82"/>
      <c r="AP14" s="75"/>
      <c r="AQ14" s="75"/>
      <c r="AR14" s="80">
        <f t="shared" si="7"/>
        <v>0</v>
      </c>
      <c r="AS14" s="74"/>
      <c r="AT14" s="75"/>
      <c r="AU14" s="75"/>
      <c r="AV14" s="75"/>
      <c r="AW14" s="80">
        <f t="shared" si="8"/>
        <v>0</v>
      </c>
      <c r="AX14" s="81" t="str">
        <f t="shared" si="9"/>
        <v/>
      </c>
      <c r="AY14" s="83" t="str">
        <f t="shared" si="10"/>
        <v/>
      </c>
      <c r="AZ14" s="80" t="str">
        <f t="shared" si="11"/>
        <v/>
      </c>
      <c r="BA14" s="84">
        <f t="shared" si="12"/>
        <v>0</v>
      </c>
      <c r="BB14" s="85" t="str">
        <f t="shared" si="13"/>
        <v/>
      </c>
      <c r="BC14" s="86" t="str">
        <f t="shared" si="14"/>
        <v/>
      </c>
      <c r="BD14" s="84">
        <f t="shared" si="15"/>
        <v>0</v>
      </c>
      <c r="BE14" s="87" t="str">
        <f t="shared" si="16"/>
        <v/>
      </c>
      <c r="BF14" s="88" t="str">
        <f t="shared" si="17"/>
        <v/>
      </c>
      <c r="BG14" s="89" t="str">
        <f t="shared" si="18"/>
        <v/>
      </c>
      <c r="BH14" s="90" t="str">
        <f t="shared" si="19"/>
        <v/>
      </c>
      <c r="BI14" s="90" t="str">
        <f t="shared" si="20"/>
        <v/>
      </c>
      <c r="BJ14" s="91">
        <f t="shared" si="21"/>
        <v>0</v>
      </c>
      <c r="BK14" s="92">
        <f t="shared" si="22"/>
        <v>0</v>
      </c>
      <c r="BL14" s="95"/>
    </row>
    <row r="15" spans="1:64">
      <c r="A15" s="61"/>
      <c r="B15" s="62"/>
      <c r="C15" s="63"/>
      <c r="D15" s="64"/>
      <c r="E15" s="64"/>
      <c r="F15" s="65"/>
      <c r="G15" s="66" t="str">
        <f t="shared" si="0"/>
        <v/>
      </c>
      <c r="H15" s="67" t="str">
        <f t="shared" si="1"/>
        <v/>
      </c>
      <c r="I15" s="68" t="str">
        <f t="shared" si="2"/>
        <v/>
      </c>
      <c r="J15" s="69" t="str">
        <f t="shared" si="3"/>
        <v/>
      </c>
      <c r="K15" s="70" t="str">
        <f t="shared" si="4"/>
        <v/>
      </c>
      <c r="L15" s="71"/>
      <c r="M15" s="71"/>
      <c r="N15" s="71"/>
      <c r="O15" s="71"/>
      <c r="P15" s="61"/>
      <c r="Q15" s="63"/>
      <c r="R15" s="72"/>
      <c r="S15" s="61"/>
      <c r="T15" s="73"/>
      <c r="U15" s="62"/>
      <c r="V15" s="62"/>
      <c r="W15" s="62"/>
      <c r="X15" s="93"/>
      <c r="Y15" s="94"/>
      <c r="Z15" s="74"/>
      <c r="AA15" s="75"/>
      <c r="AB15" s="75"/>
      <c r="AC15" s="76"/>
      <c r="AD15" s="77"/>
      <c r="AE15" s="75"/>
      <c r="AF15" s="78"/>
      <c r="AG15" s="79"/>
      <c r="AH15" s="74"/>
      <c r="AI15" s="75"/>
      <c r="AJ15" s="75"/>
      <c r="AK15" s="80">
        <f t="shared" si="5"/>
        <v>0</v>
      </c>
      <c r="AL15" s="74"/>
      <c r="AM15" s="74"/>
      <c r="AN15" s="81" t="str">
        <f t="shared" si="6"/>
        <v/>
      </c>
      <c r="AO15" s="82"/>
      <c r="AP15" s="75"/>
      <c r="AQ15" s="75"/>
      <c r="AR15" s="80">
        <f t="shared" si="7"/>
        <v>0</v>
      </c>
      <c r="AS15" s="74"/>
      <c r="AT15" s="75"/>
      <c r="AU15" s="75"/>
      <c r="AV15" s="75"/>
      <c r="AW15" s="80">
        <f t="shared" si="8"/>
        <v>0</v>
      </c>
      <c r="AX15" s="81" t="str">
        <f t="shared" si="9"/>
        <v/>
      </c>
      <c r="AY15" s="83" t="str">
        <f t="shared" si="10"/>
        <v/>
      </c>
      <c r="AZ15" s="80" t="str">
        <f t="shared" si="11"/>
        <v/>
      </c>
      <c r="BA15" s="84">
        <f t="shared" si="12"/>
        <v>0</v>
      </c>
      <c r="BB15" s="85" t="str">
        <f t="shared" si="13"/>
        <v/>
      </c>
      <c r="BC15" s="86" t="str">
        <f t="shared" si="14"/>
        <v/>
      </c>
      <c r="BD15" s="84">
        <f t="shared" si="15"/>
        <v>0</v>
      </c>
      <c r="BE15" s="87" t="str">
        <f t="shared" si="16"/>
        <v/>
      </c>
      <c r="BF15" s="88" t="str">
        <f t="shared" si="17"/>
        <v/>
      </c>
      <c r="BG15" s="89" t="str">
        <f t="shared" si="18"/>
        <v/>
      </c>
      <c r="BH15" s="90" t="str">
        <f t="shared" si="19"/>
        <v/>
      </c>
      <c r="BI15" s="90" t="str">
        <f t="shared" si="20"/>
        <v/>
      </c>
      <c r="BJ15" s="91">
        <f t="shared" si="21"/>
        <v>0</v>
      </c>
      <c r="BK15" s="92">
        <f t="shared" si="22"/>
        <v>0</v>
      </c>
      <c r="BL15" s="95"/>
    </row>
    <row r="16" spans="1:64">
      <c r="A16" s="61"/>
      <c r="B16" s="62"/>
      <c r="C16" s="63"/>
      <c r="D16" s="64"/>
      <c r="E16" s="64"/>
      <c r="F16" s="65"/>
      <c r="G16" s="66" t="str">
        <f t="shared" si="0"/>
        <v/>
      </c>
      <c r="H16" s="67" t="str">
        <f t="shared" si="1"/>
        <v/>
      </c>
      <c r="I16" s="68" t="str">
        <f t="shared" si="2"/>
        <v/>
      </c>
      <c r="J16" s="69" t="str">
        <f t="shared" si="3"/>
        <v/>
      </c>
      <c r="K16" s="70" t="str">
        <f t="shared" si="4"/>
        <v/>
      </c>
      <c r="L16" s="71"/>
      <c r="M16" s="71"/>
      <c r="N16" s="71"/>
      <c r="O16" s="71"/>
      <c r="P16" s="61"/>
      <c r="Q16" s="63"/>
      <c r="R16" s="72"/>
      <c r="S16" s="61"/>
      <c r="T16" s="73"/>
      <c r="U16" s="62"/>
      <c r="V16" s="62"/>
      <c r="W16" s="62"/>
      <c r="X16" s="93"/>
      <c r="Y16" s="94"/>
      <c r="Z16" s="74"/>
      <c r="AA16" s="75"/>
      <c r="AB16" s="75"/>
      <c r="AC16" s="76"/>
      <c r="AD16" s="77"/>
      <c r="AE16" s="75"/>
      <c r="AF16" s="78"/>
      <c r="AG16" s="79"/>
      <c r="AH16" s="74"/>
      <c r="AI16" s="75"/>
      <c r="AJ16" s="75"/>
      <c r="AK16" s="80">
        <f t="shared" si="5"/>
        <v>0</v>
      </c>
      <c r="AL16" s="74"/>
      <c r="AM16" s="74"/>
      <c r="AN16" s="81" t="str">
        <f t="shared" si="6"/>
        <v/>
      </c>
      <c r="AO16" s="82"/>
      <c r="AP16" s="75"/>
      <c r="AQ16" s="75"/>
      <c r="AR16" s="80">
        <f t="shared" si="7"/>
        <v>0</v>
      </c>
      <c r="AS16" s="74"/>
      <c r="AT16" s="75"/>
      <c r="AU16" s="75"/>
      <c r="AV16" s="75"/>
      <c r="AW16" s="80">
        <f t="shared" si="8"/>
        <v>0</v>
      </c>
      <c r="AX16" s="81" t="str">
        <f t="shared" si="9"/>
        <v/>
      </c>
      <c r="AY16" s="83" t="str">
        <f t="shared" si="10"/>
        <v/>
      </c>
      <c r="AZ16" s="80" t="str">
        <f t="shared" si="11"/>
        <v/>
      </c>
      <c r="BA16" s="84">
        <f t="shared" si="12"/>
        <v>0</v>
      </c>
      <c r="BB16" s="85" t="str">
        <f t="shared" si="13"/>
        <v/>
      </c>
      <c r="BC16" s="86" t="str">
        <f t="shared" si="14"/>
        <v/>
      </c>
      <c r="BD16" s="84">
        <f t="shared" si="15"/>
        <v>0</v>
      </c>
      <c r="BE16" s="87" t="str">
        <f t="shared" si="16"/>
        <v/>
      </c>
      <c r="BF16" s="88" t="str">
        <f t="shared" si="17"/>
        <v/>
      </c>
      <c r="BG16" s="89" t="str">
        <f t="shared" si="18"/>
        <v/>
      </c>
      <c r="BH16" s="90" t="str">
        <f t="shared" si="19"/>
        <v/>
      </c>
      <c r="BI16" s="90" t="str">
        <f t="shared" si="20"/>
        <v/>
      </c>
      <c r="BJ16" s="91">
        <f t="shared" si="21"/>
        <v>0</v>
      </c>
      <c r="BK16" s="92">
        <f t="shared" si="22"/>
        <v>0</v>
      </c>
      <c r="BL16" s="95"/>
    </row>
    <row r="17" spans="1:64">
      <c r="A17" s="61"/>
      <c r="B17" s="62"/>
      <c r="C17" s="63"/>
      <c r="D17" s="64"/>
      <c r="E17" s="64"/>
      <c r="F17" s="65"/>
      <c r="G17" s="66" t="str">
        <f t="shared" si="0"/>
        <v/>
      </c>
      <c r="H17" s="67" t="str">
        <f t="shared" si="1"/>
        <v/>
      </c>
      <c r="I17" s="68" t="str">
        <f t="shared" si="2"/>
        <v/>
      </c>
      <c r="J17" s="69" t="str">
        <f t="shared" si="3"/>
        <v/>
      </c>
      <c r="K17" s="70" t="str">
        <f t="shared" si="4"/>
        <v/>
      </c>
      <c r="L17" s="71"/>
      <c r="M17" s="71"/>
      <c r="N17" s="71"/>
      <c r="O17" s="71"/>
      <c r="P17" s="61"/>
      <c r="Q17" s="63"/>
      <c r="R17" s="72"/>
      <c r="S17" s="61"/>
      <c r="T17" s="73"/>
      <c r="U17" s="62"/>
      <c r="V17" s="62"/>
      <c r="W17" s="62"/>
      <c r="X17" s="93"/>
      <c r="Y17" s="94"/>
      <c r="Z17" s="74"/>
      <c r="AA17" s="75"/>
      <c r="AB17" s="75"/>
      <c r="AC17" s="76"/>
      <c r="AD17" s="77"/>
      <c r="AE17" s="75"/>
      <c r="AF17" s="78"/>
      <c r="AG17" s="79"/>
      <c r="AH17" s="74"/>
      <c r="AI17" s="75"/>
      <c r="AJ17" s="75"/>
      <c r="AK17" s="80">
        <f t="shared" si="5"/>
        <v>0</v>
      </c>
      <c r="AL17" s="74"/>
      <c r="AM17" s="74"/>
      <c r="AN17" s="81" t="str">
        <f t="shared" si="6"/>
        <v/>
      </c>
      <c r="AO17" s="82"/>
      <c r="AP17" s="75"/>
      <c r="AQ17" s="75"/>
      <c r="AR17" s="80">
        <f t="shared" si="7"/>
        <v>0</v>
      </c>
      <c r="AS17" s="74"/>
      <c r="AT17" s="75"/>
      <c r="AU17" s="75"/>
      <c r="AV17" s="75"/>
      <c r="AW17" s="80">
        <f t="shared" si="8"/>
        <v>0</v>
      </c>
      <c r="AX17" s="81" t="str">
        <f t="shared" si="9"/>
        <v/>
      </c>
      <c r="AY17" s="83" t="str">
        <f t="shared" si="10"/>
        <v/>
      </c>
      <c r="AZ17" s="80" t="str">
        <f t="shared" si="11"/>
        <v/>
      </c>
      <c r="BA17" s="84">
        <f t="shared" si="12"/>
        <v>0</v>
      </c>
      <c r="BB17" s="85" t="str">
        <f t="shared" si="13"/>
        <v/>
      </c>
      <c r="BC17" s="86" t="str">
        <f t="shared" si="14"/>
        <v/>
      </c>
      <c r="BD17" s="84">
        <f t="shared" si="15"/>
        <v>0</v>
      </c>
      <c r="BE17" s="87" t="str">
        <f t="shared" si="16"/>
        <v/>
      </c>
      <c r="BF17" s="88" t="str">
        <f t="shared" si="17"/>
        <v/>
      </c>
      <c r="BG17" s="89" t="str">
        <f t="shared" si="18"/>
        <v/>
      </c>
      <c r="BH17" s="90" t="str">
        <f t="shared" si="19"/>
        <v/>
      </c>
      <c r="BI17" s="90" t="str">
        <f t="shared" si="20"/>
        <v/>
      </c>
      <c r="BJ17" s="91">
        <f t="shared" si="21"/>
        <v>0</v>
      </c>
      <c r="BK17" s="92">
        <f t="shared" si="22"/>
        <v>0</v>
      </c>
      <c r="BL17" s="95"/>
    </row>
    <row r="18" spans="1:64">
      <c r="A18" s="61"/>
      <c r="B18" s="62"/>
      <c r="C18" s="63"/>
      <c r="D18" s="64"/>
      <c r="E18" s="64"/>
      <c r="F18" s="65"/>
      <c r="G18" s="66" t="str">
        <f t="shared" si="0"/>
        <v/>
      </c>
      <c r="H18" s="67" t="str">
        <f t="shared" si="1"/>
        <v/>
      </c>
      <c r="I18" s="68" t="str">
        <f t="shared" si="2"/>
        <v/>
      </c>
      <c r="J18" s="69" t="str">
        <f t="shared" si="3"/>
        <v/>
      </c>
      <c r="K18" s="70" t="str">
        <f t="shared" si="4"/>
        <v/>
      </c>
      <c r="L18" s="71"/>
      <c r="M18" s="71"/>
      <c r="N18" s="71"/>
      <c r="O18" s="71"/>
      <c r="P18" s="61"/>
      <c r="Q18" s="63"/>
      <c r="R18" s="72"/>
      <c r="S18" s="61"/>
      <c r="T18" s="73"/>
      <c r="U18" s="62"/>
      <c r="V18" s="62"/>
      <c r="W18" s="62"/>
      <c r="X18" s="93"/>
      <c r="Y18" s="94"/>
      <c r="Z18" s="74"/>
      <c r="AA18" s="75"/>
      <c r="AB18" s="75"/>
      <c r="AC18" s="76"/>
      <c r="AD18" s="77"/>
      <c r="AE18" s="75"/>
      <c r="AF18" s="78"/>
      <c r="AG18" s="79"/>
      <c r="AH18" s="74"/>
      <c r="AI18" s="75"/>
      <c r="AJ18" s="75"/>
      <c r="AK18" s="80">
        <f t="shared" si="5"/>
        <v>0</v>
      </c>
      <c r="AL18" s="74"/>
      <c r="AM18" s="74"/>
      <c r="AN18" s="81" t="str">
        <f t="shared" si="6"/>
        <v/>
      </c>
      <c r="AO18" s="82"/>
      <c r="AP18" s="75"/>
      <c r="AQ18" s="75"/>
      <c r="AR18" s="80">
        <f t="shared" si="7"/>
        <v>0</v>
      </c>
      <c r="AS18" s="74"/>
      <c r="AT18" s="75"/>
      <c r="AU18" s="75"/>
      <c r="AV18" s="75"/>
      <c r="AW18" s="80">
        <f t="shared" si="8"/>
        <v>0</v>
      </c>
      <c r="AX18" s="81" t="str">
        <f t="shared" si="9"/>
        <v/>
      </c>
      <c r="AY18" s="83" t="str">
        <f t="shared" si="10"/>
        <v/>
      </c>
      <c r="AZ18" s="80" t="str">
        <f t="shared" si="11"/>
        <v/>
      </c>
      <c r="BA18" s="84">
        <f t="shared" si="12"/>
        <v>0</v>
      </c>
      <c r="BB18" s="85" t="str">
        <f t="shared" si="13"/>
        <v/>
      </c>
      <c r="BC18" s="86" t="str">
        <f t="shared" si="14"/>
        <v/>
      </c>
      <c r="BD18" s="84">
        <f t="shared" si="15"/>
        <v>0</v>
      </c>
      <c r="BE18" s="87" t="str">
        <f t="shared" si="16"/>
        <v/>
      </c>
      <c r="BF18" s="88" t="str">
        <f t="shared" si="17"/>
        <v/>
      </c>
      <c r="BG18" s="89" t="str">
        <f t="shared" si="18"/>
        <v/>
      </c>
      <c r="BH18" s="90" t="str">
        <f t="shared" si="19"/>
        <v/>
      </c>
      <c r="BI18" s="90" t="str">
        <f t="shared" si="20"/>
        <v/>
      </c>
      <c r="BJ18" s="91">
        <f t="shared" si="21"/>
        <v>0</v>
      </c>
      <c r="BK18" s="92">
        <f t="shared" si="22"/>
        <v>0</v>
      </c>
      <c r="BL18" s="95"/>
    </row>
    <row r="19" spans="1:64">
      <c r="A19" s="61"/>
      <c r="B19" s="62"/>
      <c r="C19" s="63"/>
      <c r="D19" s="64"/>
      <c r="E19" s="64"/>
      <c r="F19" s="65"/>
      <c r="G19" s="66" t="str">
        <f t="shared" si="0"/>
        <v/>
      </c>
      <c r="H19" s="67" t="str">
        <f t="shared" si="1"/>
        <v/>
      </c>
      <c r="I19" s="68" t="str">
        <f t="shared" si="2"/>
        <v/>
      </c>
      <c r="J19" s="69" t="str">
        <f t="shared" si="3"/>
        <v/>
      </c>
      <c r="K19" s="70" t="str">
        <f t="shared" si="4"/>
        <v/>
      </c>
      <c r="L19" s="71"/>
      <c r="M19" s="71"/>
      <c r="N19" s="71"/>
      <c r="O19" s="71"/>
      <c r="P19" s="61"/>
      <c r="Q19" s="63"/>
      <c r="R19" s="72"/>
      <c r="S19" s="61"/>
      <c r="T19" s="73"/>
      <c r="U19" s="62"/>
      <c r="V19" s="62"/>
      <c r="W19" s="62"/>
      <c r="X19" s="93"/>
      <c r="Y19" s="94"/>
      <c r="Z19" s="74"/>
      <c r="AA19" s="75"/>
      <c r="AB19" s="75"/>
      <c r="AC19" s="76"/>
      <c r="AD19" s="77"/>
      <c r="AE19" s="75"/>
      <c r="AF19" s="78"/>
      <c r="AG19" s="79"/>
      <c r="AH19" s="74"/>
      <c r="AI19" s="75"/>
      <c r="AJ19" s="75"/>
      <c r="AK19" s="80">
        <f t="shared" si="5"/>
        <v>0</v>
      </c>
      <c r="AL19" s="74"/>
      <c r="AM19" s="74"/>
      <c r="AN19" s="81" t="str">
        <f t="shared" si="6"/>
        <v/>
      </c>
      <c r="AO19" s="82"/>
      <c r="AP19" s="75"/>
      <c r="AQ19" s="75"/>
      <c r="AR19" s="80">
        <f t="shared" si="7"/>
        <v>0</v>
      </c>
      <c r="AS19" s="74"/>
      <c r="AT19" s="75"/>
      <c r="AU19" s="75"/>
      <c r="AV19" s="75"/>
      <c r="AW19" s="80">
        <f t="shared" si="8"/>
        <v>0</v>
      </c>
      <c r="AX19" s="81" t="str">
        <f t="shared" si="9"/>
        <v/>
      </c>
      <c r="AY19" s="83" t="str">
        <f t="shared" si="10"/>
        <v/>
      </c>
      <c r="AZ19" s="80" t="str">
        <f t="shared" si="11"/>
        <v/>
      </c>
      <c r="BA19" s="84">
        <f t="shared" si="12"/>
        <v>0</v>
      </c>
      <c r="BB19" s="85" t="str">
        <f t="shared" si="13"/>
        <v/>
      </c>
      <c r="BC19" s="86" t="str">
        <f t="shared" si="14"/>
        <v/>
      </c>
      <c r="BD19" s="84">
        <f t="shared" si="15"/>
        <v>0</v>
      </c>
      <c r="BE19" s="87" t="str">
        <f t="shared" si="16"/>
        <v/>
      </c>
      <c r="BF19" s="88" t="str">
        <f t="shared" si="17"/>
        <v/>
      </c>
      <c r="BG19" s="89" t="str">
        <f t="shared" si="18"/>
        <v/>
      </c>
      <c r="BH19" s="90" t="str">
        <f t="shared" si="19"/>
        <v/>
      </c>
      <c r="BI19" s="90" t="str">
        <f t="shared" si="20"/>
        <v/>
      </c>
      <c r="BJ19" s="91">
        <f t="shared" si="21"/>
        <v>0</v>
      </c>
      <c r="BK19" s="92">
        <f t="shared" si="22"/>
        <v>0</v>
      </c>
      <c r="BL19" s="95"/>
    </row>
    <row r="20" spans="1:64">
      <c r="A20" s="61"/>
      <c r="B20" s="62"/>
      <c r="C20" s="63"/>
      <c r="D20" s="64"/>
      <c r="E20" s="64"/>
      <c r="F20" s="65"/>
      <c r="G20" s="66" t="str">
        <f t="shared" si="0"/>
        <v/>
      </c>
      <c r="H20" s="67" t="str">
        <f t="shared" si="1"/>
        <v/>
      </c>
      <c r="I20" s="68" t="str">
        <f t="shared" si="2"/>
        <v/>
      </c>
      <c r="J20" s="69" t="str">
        <f t="shared" si="3"/>
        <v/>
      </c>
      <c r="K20" s="70" t="str">
        <f t="shared" si="4"/>
        <v/>
      </c>
      <c r="L20" s="71"/>
      <c r="M20" s="71"/>
      <c r="N20" s="71"/>
      <c r="O20" s="71"/>
      <c r="P20" s="61"/>
      <c r="Q20" s="63"/>
      <c r="R20" s="72"/>
      <c r="S20" s="61"/>
      <c r="T20" s="73"/>
      <c r="U20" s="62"/>
      <c r="V20" s="62"/>
      <c r="W20" s="62"/>
      <c r="X20" s="93"/>
      <c r="Y20" s="94"/>
      <c r="Z20" s="74"/>
      <c r="AA20" s="75"/>
      <c r="AB20" s="75"/>
      <c r="AC20" s="76"/>
      <c r="AD20" s="77"/>
      <c r="AE20" s="75"/>
      <c r="AF20" s="78"/>
      <c r="AG20" s="79"/>
      <c r="AH20" s="74"/>
      <c r="AI20" s="75"/>
      <c r="AJ20" s="75"/>
      <c r="AK20" s="80">
        <f t="shared" si="5"/>
        <v>0</v>
      </c>
      <c r="AL20" s="74"/>
      <c r="AM20" s="74"/>
      <c r="AN20" s="81" t="str">
        <f t="shared" si="6"/>
        <v/>
      </c>
      <c r="AO20" s="82"/>
      <c r="AP20" s="75"/>
      <c r="AQ20" s="75"/>
      <c r="AR20" s="80">
        <f t="shared" si="7"/>
        <v>0</v>
      </c>
      <c r="AS20" s="74"/>
      <c r="AT20" s="75"/>
      <c r="AU20" s="75"/>
      <c r="AV20" s="75"/>
      <c r="AW20" s="80">
        <f t="shared" si="8"/>
        <v>0</v>
      </c>
      <c r="AX20" s="81" t="str">
        <f t="shared" si="9"/>
        <v/>
      </c>
      <c r="AY20" s="83" t="str">
        <f t="shared" si="10"/>
        <v/>
      </c>
      <c r="AZ20" s="80" t="str">
        <f t="shared" si="11"/>
        <v/>
      </c>
      <c r="BA20" s="84">
        <f t="shared" si="12"/>
        <v>0</v>
      </c>
      <c r="BB20" s="85" t="str">
        <f t="shared" si="13"/>
        <v/>
      </c>
      <c r="BC20" s="86" t="str">
        <f t="shared" si="14"/>
        <v/>
      </c>
      <c r="BD20" s="84">
        <f t="shared" si="15"/>
        <v>0</v>
      </c>
      <c r="BE20" s="87" t="str">
        <f t="shared" si="16"/>
        <v/>
      </c>
      <c r="BF20" s="88" t="str">
        <f t="shared" si="17"/>
        <v/>
      </c>
      <c r="BG20" s="89" t="str">
        <f t="shared" si="18"/>
        <v/>
      </c>
      <c r="BH20" s="90" t="str">
        <f t="shared" si="19"/>
        <v/>
      </c>
      <c r="BI20" s="90" t="str">
        <f t="shared" si="20"/>
        <v/>
      </c>
      <c r="BJ20" s="91">
        <f t="shared" si="21"/>
        <v>0</v>
      </c>
      <c r="BK20" s="92">
        <f t="shared" si="22"/>
        <v>0</v>
      </c>
      <c r="BL20" s="95"/>
    </row>
    <row r="21" spans="1:64">
      <c r="A21" s="61"/>
      <c r="B21" s="62"/>
      <c r="C21" s="63"/>
      <c r="D21" s="64"/>
      <c r="E21" s="64"/>
      <c r="F21" s="65"/>
      <c r="G21" s="66" t="str">
        <f t="shared" si="0"/>
        <v/>
      </c>
      <c r="H21" s="67" t="str">
        <f t="shared" si="1"/>
        <v/>
      </c>
      <c r="I21" s="68" t="str">
        <f t="shared" si="2"/>
        <v/>
      </c>
      <c r="J21" s="69" t="str">
        <f t="shared" si="3"/>
        <v/>
      </c>
      <c r="K21" s="70" t="str">
        <f t="shared" si="4"/>
        <v/>
      </c>
      <c r="L21" s="71"/>
      <c r="M21" s="71"/>
      <c r="N21" s="71"/>
      <c r="O21" s="71"/>
      <c r="P21" s="61"/>
      <c r="Q21" s="63"/>
      <c r="R21" s="72"/>
      <c r="S21" s="61"/>
      <c r="T21" s="73"/>
      <c r="U21" s="62"/>
      <c r="V21" s="62"/>
      <c r="W21" s="62"/>
      <c r="X21" s="93"/>
      <c r="Y21" s="94"/>
      <c r="Z21" s="74"/>
      <c r="AA21" s="75"/>
      <c r="AB21" s="75"/>
      <c r="AC21" s="76"/>
      <c r="AD21" s="77"/>
      <c r="AE21" s="75"/>
      <c r="AF21" s="78"/>
      <c r="AG21" s="79"/>
      <c r="AH21" s="74"/>
      <c r="AI21" s="75"/>
      <c r="AJ21" s="75"/>
      <c r="AK21" s="80">
        <f t="shared" si="5"/>
        <v>0</v>
      </c>
      <c r="AL21" s="74"/>
      <c r="AM21" s="74"/>
      <c r="AN21" s="81" t="str">
        <f t="shared" si="6"/>
        <v/>
      </c>
      <c r="AO21" s="82"/>
      <c r="AP21" s="75"/>
      <c r="AQ21" s="75"/>
      <c r="AR21" s="80">
        <f t="shared" si="7"/>
        <v>0</v>
      </c>
      <c r="AS21" s="74"/>
      <c r="AT21" s="75"/>
      <c r="AU21" s="75"/>
      <c r="AV21" s="75"/>
      <c r="AW21" s="80">
        <f t="shared" si="8"/>
        <v>0</v>
      </c>
      <c r="AX21" s="81" t="str">
        <f t="shared" si="9"/>
        <v/>
      </c>
      <c r="AY21" s="83" t="str">
        <f t="shared" si="10"/>
        <v/>
      </c>
      <c r="AZ21" s="80" t="str">
        <f t="shared" si="11"/>
        <v/>
      </c>
      <c r="BA21" s="84">
        <f t="shared" si="12"/>
        <v>0</v>
      </c>
      <c r="BB21" s="85" t="str">
        <f t="shared" si="13"/>
        <v/>
      </c>
      <c r="BC21" s="86" t="str">
        <f t="shared" si="14"/>
        <v/>
      </c>
      <c r="BD21" s="84">
        <f t="shared" si="15"/>
        <v>0</v>
      </c>
      <c r="BE21" s="87" t="str">
        <f t="shared" si="16"/>
        <v/>
      </c>
      <c r="BF21" s="88" t="str">
        <f t="shared" si="17"/>
        <v/>
      </c>
      <c r="BG21" s="89" t="str">
        <f t="shared" si="18"/>
        <v/>
      </c>
      <c r="BH21" s="90" t="str">
        <f t="shared" si="19"/>
        <v/>
      </c>
      <c r="BI21" s="90" t="str">
        <f t="shared" si="20"/>
        <v/>
      </c>
      <c r="BJ21" s="91">
        <f t="shared" si="21"/>
        <v>0</v>
      </c>
      <c r="BK21" s="92">
        <f t="shared" si="22"/>
        <v>0</v>
      </c>
      <c r="BL21" s="95"/>
    </row>
    <row r="22" spans="1:64">
      <c r="A22" s="61"/>
      <c r="B22" s="62"/>
      <c r="C22" s="63"/>
      <c r="D22" s="64"/>
      <c r="E22" s="64"/>
      <c r="F22" s="65"/>
      <c r="G22" s="66" t="str">
        <f t="shared" si="0"/>
        <v/>
      </c>
      <c r="H22" s="67" t="str">
        <f t="shared" si="1"/>
        <v/>
      </c>
      <c r="I22" s="68" t="str">
        <f t="shared" si="2"/>
        <v/>
      </c>
      <c r="J22" s="69" t="str">
        <f t="shared" si="3"/>
        <v/>
      </c>
      <c r="K22" s="70" t="str">
        <f t="shared" si="4"/>
        <v/>
      </c>
      <c r="L22" s="71"/>
      <c r="M22" s="71"/>
      <c r="N22" s="71"/>
      <c r="O22" s="71"/>
      <c r="P22" s="61"/>
      <c r="Q22" s="63"/>
      <c r="R22" s="72"/>
      <c r="S22" s="61"/>
      <c r="T22" s="73"/>
      <c r="U22" s="62"/>
      <c r="V22" s="62"/>
      <c r="W22" s="62"/>
      <c r="X22" s="93"/>
      <c r="Y22" s="94"/>
      <c r="Z22" s="74"/>
      <c r="AA22" s="75"/>
      <c r="AB22" s="75"/>
      <c r="AC22" s="76"/>
      <c r="AD22" s="77"/>
      <c r="AE22" s="75"/>
      <c r="AF22" s="78"/>
      <c r="AG22" s="79"/>
      <c r="AH22" s="74"/>
      <c r="AI22" s="75"/>
      <c r="AJ22" s="75"/>
      <c r="AK22" s="80">
        <f t="shared" si="5"/>
        <v>0</v>
      </c>
      <c r="AL22" s="74"/>
      <c r="AM22" s="74"/>
      <c r="AN22" s="81" t="str">
        <f t="shared" si="6"/>
        <v/>
      </c>
      <c r="AO22" s="82"/>
      <c r="AP22" s="75"/>
      <c r="AQ22" s="75"/>
      <c r="AR22" s="80">
        <f t="shared" si="7"/>
        <v>0</v>
      </c>
      <c r="AS22" s="74"/>
      <c r="AT22" s="75"/>
      <c r="AU22" s="75"/>
      <c r="AV22" s="75"/>
      <c r="AW22" s="80">
        <f t="shared" si="8"/>
        <v>0</v>
      </c>
      <c r="AX22" s="81" t="str">
        <f t="shared" si="9"/>
        <v/>
      </c>
      <c r="AY22" s="83" t="str">
        <f t="shared" si="10"/>
        <v/>
      </c>
      <c r="AZ22" s="80" t="str">
        <f t="shared" si="11"/>
        <v/>
      </c>
      <c r="BA22" s="84">
        <f t="shared" si="12"/>
        <v>0</v>
      </c>
      <c r="BB22" s="85" t="str">
        <f t="shared" si="13"/>
        <v/>
      </c>
      <c r="BC22" s="86" t="str">
        <f t="shared" si="14"/>
        <v/>
      </c>
      <c r="BD22" s="84">
        <f t="shared" si="15"/>
        <v>0</v>
      </c>
      <c r="BE22" s="87" t="str">
        <f t="shared" si="16"/>
        <v/>
      </c>
      <c r="BF22" s="88" t="str">
        <f t="shared" si="17"/>
        <v/>
      </c>
      <c r="BG22" s="89" t="str">
        <f t="shared" si="18"/>
        <v/>
      </c>
      <c r="BH22" s="90" t="str">
        <f t="shared" si="19"/>
        <v/>
      </c>
      <c r="BI22" s="90" t="str">
        <f t="shared" si="20"/>
        <v/>
      </c>
      <c r="BJ22" s="91">
        <f t="shared" si="21"/>
        <v>0</v>
      </c>
      <c r="BK22" s="92">
        <f t="shared" si="22"/>
        <v>0</v>
      </c>
      <c r="BL22" s="95"/>
    </row>
    <row r="23" spans="1:64">
      <c r="A23" s="61"/>
      <c r="B23" s="62"/>
      <c r="C23" s="63"/>
      <c r="D23" s="64"/>
      <c r="E23" s="64"/>
      <c r="F23" s="65"/>
      <c r="G23" s="66" t="str">
        <f t="shared" si="0"/>
        <v/>
      </c>
      <c r="H23" s="67" t="str">
        <f t="shared" si="1"/>
        <v/>
      </c>
      <c r="I23" s="68" t="str">
        <f t="shared" si="2"/>
        <v/>
      </c>
      <c r="J23" s="69" t="str">
        <f t="shared" si="3"/>
        <v/>
      </c>
      <c r="K23" s="70" t="str">
        <f t="shared" si="4"/>
        <v/>
      </c>
      <c r="L23" s="71"/>
      <c r="M23" s="71"/>
      <c r="N23" s="71"/>
      <c r="O23" s="71"/>
      <c r="P23" s="61"/>
      <c r="Q23" s="63"/>
      <c r="R23" s="72"/>
      <c r="S23" s="61"/>
      <c r="T23" s="73"/>
      <c r="U23" s="62"/>
      <c r="V23" s="62"/>
      <c r="W23" s="62"/>
      <c r="X23" s="93"/>
      <c r="Y23" s="94"/>
      <c r="Z23" s="74"/>
      <c r="AA23" s="75"/>
      <c r="AB23" s="75"/>
      <c r="AC23" s="76"/>
      <c r="AD23" s="77"/>
      <c r="AE23" s="75"/>
      <c r="AF23" s="78"/>
      <c r="AG23" s="79"/>
      <c r="AH23" s="74"/>
      <c r="AI23" s="75"/>
      <c r="AJ23" s="75"/>
      <c r="AK23" s="80">
        <f t="shared" si="5"/>
        <v>0</v>
      </c>
      <c r="AL23" s="74"/>
      <c r="AM23" s="74"/>
      <c r="AN23" s="81" t="str">
        <f t="shared" si="6"/>
        <v/>
      </c>
      <c r="AO23" s="82"/>
      <c r="AP23" s="75"/>
      <c r="AQ23" s="75"/>
      <c r="AR23" s="80">
        <f t="shared" si="7"/>
        <v>0</v>
      </c>
      <c r="AS23" s="74"/>
      <c r="AT23" s="75"/>
      <c r="AU23" s="75"/>
      <c r="AV23" s="75"/>
      <c r="AW23" s="80">
        <f t="shared" si="8"/>
        <v>0</v>
      </c>
      <c r="AX23" s="81" t="str">
        <f t="shared" si="9"/>
        <v/>
      </c>
      <c r="AY23" s="83" t="str">
        <f t="shared" si="10"/>
        <v/>
      </c>
      <c r="AZ23" s="80" t="str">
        <f t="shared" si="11"/>
        <v/>
      </c>
      <c r="BA23" s="84">
        <f t="shared" si="12"/>
        <v>0</v>
      </c>
      <c r="BB23" s="85" t="str">
        <f t="shared" si="13"/>
        <v/>
      </c>
      <c r="BC23" s="86" t="str">
        <f t="shared" si="14"/>
        <v/>
      </c>
      <c r="BD23" s="84">
        <f t="shared" si="15"/>
        <v>0</v>
      </c>
      <c r="BE23" s="87" t="str">
        <f t="shared" si="16"/>
        <v/>
      </c>
      <c r="BF23" s="88" t="str">
        <f t="shared" si="17"/>
        <v/>
      </c>
      <c r="BG23" s="89" t="str">
        <f t="shared" si="18"/>
        <v/>
      </c>
      <c r="BH23" s="90" t="str">
        <f t="shared" si="19"/>
        <v/>
      </c>
      <c r="BI23" s="90" t="str">
        <f t="shared" si="20"/>
        <v/>
      </c>
      <c r="BJ23" s="91">
        <f t="shared" si="21"/>
        <v>0</v>
      </c>
      <c r="BK23" s="92">
        <f t="shared" si="22"/>
        <v>0</v>
      </c>
      <c r="BL23" s="95"/>
    </row>
    <row r="24" spans="1:64">
      <c r="A24" s="61"/>
      <c r="B24" s="62"/>
      <c r="C24" s="63"/>
      <c r="D24" s="64"/>
      <c r="E24" s="64"/>
      <c r="F24" s="65"/>
      <c r="G24" s="66" t="str">
        <f t="shared" si="0"/>
        <v/>
      </c>
      <c r="H24" s="67" t="str">
        <f t="shared" si="1"/>
        <v/>
      </c>
      <c r="I24" s="68" t="str">
        <f t="shared" si="2"/>
        <v/>
      </c>
      <c r="J24" s="69" t="str">
        <f t="shared" si="3"/>
        <v/>
      </c>
      <c r="K24" s="70" t="str">
        <f t="shared" si="4"/>
        <v/>
      </c>
      <c r="L24" s="71"/>
      <c r="M24" s="71"/>
      <c r="N24" s="71"/>
      <c r="O24" s="71"/>
      <c r="P24" s="61"/>
      <c r="Q24" s="63"/>
      <c r="R24" s="72"/>
      <c r="S24" s="61"/>
      <c r="T24" s="73"/>
      <c r="U24" s="62"/>
      <c r="V24" s="62"/>
      <c r="W24" s="62"/>
      <c r="X24" s="93"/>
      <c r="Y24" s="94"/>
      <c r="Z24" s="74"/>
      <c r="AA24" s="75"/>
      <c r="AB24" s="75"/>
      <c r="AC24" s="76"/>
      <c r="AD24" s="77"/>
      <c r="AE24" s="75"/>
      <c r="AF24" s="78"/>
      <c r="AG24" s="79"/>
      <c r="AH24" s="74"/>
      <c r="AI24" s="75"/>
      <c r="AJ24" s="75"/>
      <c r="AK24" s="80">
        <f t="shared" si="5"/>
        <v>0</v>
      </c>
      <c r="AL24" s="74"/>
      <c r="AM24" s="74"/>
      <c r="AN24" s="81" t="str">
        <f t="shared" si="6"/>
        <v/>
      </c>
      <c r="AO24" s="82"/>
      <c r="AP24" s="75"/>
      <c r="AQ24" s="75"/>
      <c r="AR24" s="80">
        <f t="shared" si="7"/>
        <v>0</v>
      </c>
      <c r="AS24" s="74"/>
      <c r="AT24" s="75"/>
      <c r="AU24" s="75"/>
      <c r="AV24" s="75"/>
      <c r="AW24" s="80">
        <f t="shared" si="8"/>
        <v>0</v>
      </c>
      <c r="AX24" s="81" t="str">
        <f t="shared" si="9"/>
        <v/>
      </c>
      <c r="AY24" s="83" t="str">
        <f t="shared" si="10"/>
        <v/>
      </c>
      <c r="AZ24" s="80" t="str">
        <f t="shared" si="11"/>
        <v/>
      </c>
      <c r="BA24" s="84">
        <f t="shared" si="12"/>
        <v>0</v>
      </c>
      <c r="BB24" s="85" t="str">
        <f t="shared" si="13"/>
        <v/>
      </c>
      <c r="BC24" s="86" t="str">
        <f t="shared" si="14"/>
        <v/>
      </c>
      <c r="BD24" s="84">
        <f t="shared" si="15"/>
        <v>0</v>
      </c>
      <c r="BE24" s="87" t="str">
        <f t="shared" si="16"/>
        <v/>
      </c>
      <c r="BF24" s="88" t="str">
        <f t="shared" si="17"/>
        <v/>
      </c>
      <c r="BG24" s="89" t="str">
        <f t="shared" si="18"/>
        <v/>
      </c>
      <c r="BH24" s="90" t="str">
        <f t="shared" si="19"/>
        <v/>
      </c>
      <c r="BI24" s="90" t="str">
        <f t="shared" si="20"/>
        <v/>
      </c>
      <c r="BJ24" s="91">
        <f t="shared" si="21"/>
        <v>0</v>
      </c>
      <c r="BK24" s="92">
        <f t="shared" si="22"/>
        <v>0</v>
      </c>
      <c r="BL24" s="95"/>
    </row>
    <row r="25" spans="1:64">
      <c r="A25" s="61"/>
      <c r="B25" s="62"/>
      <c r="C25" s="63"/>
      <c r="D25" s="64"/>
      <c r="E25" s="64"/>
      <c r="F25" s="65"/>
      <c r="G25" s="66" t="str">
        <f t="shared" si="0"/>
        <v/>
      </c>
      <c r="H25" s="67" t="str">
        <f t="shared" si="1"/>
        <v/>
      </c>
      <c r="I25" s="68" t="str">
        <f t="shared" si="2"/>
        <v/>
      </c>
      <c r="J25" s="69" t="str">
        <f t="shared" si="3"/>
        <v/>
      </c>
      <c r="K25" s="70" t="str">
        <f t="shared" si="4"/>
        <v/>
      </c>
      <c r="L25" s="71"/>
      <c r="M25" s="71"/>
      <c r="N25" s="71"/>
      <c r="O25" s="71"/>
      <c r="P25" s="61"/>
      <c r="Q25" s="63"/>
      <c r="R25" s="72"/>
      <c r="S25" s="61"/>
      <c r="T25" s="73"/>
      <c r="U25" s="62"/>
      <c r="V25" s="62"/>
      <c r="W25" s="62"/>
      <c r="X25" s="93"/>
      <c r="Y25" s="94"/>
      <c r="Z25" s="74"/>
      <c r="AA25" s="75"/>
      <c r="AB25" s="75"/>
      <c r="AC25" s="76"/>
      <c r="AD25" s="77"/>
      <c r="AE25" s="75"/>
      <c r="AF25" s="78"/>
      <c r="AG25" s="79"/>
      <c r="AH25" s="74"/>
      <c r="AI25" s="75"/>
      <c r="AJ25" s="75"/>
      <c r="AK25" s="80">
        <f t="shared" si="5"/>
        <v>0</v>
      </c>
      <c r="AL25" s="74"/>
      <c r="AM25" s="74"/>
      <c r="AN25" s="81" t="str">
        <f t="shared" si="6"/>
        <v/>
      </c>
      <c r="AO25" s="82"/>
      <c r="AP25" s="75"/>
      <c r="AQ25" s="75"/>
      <c r="AR25" s="80">
        <f t="shared" si="7"/>
        <v>0</v>
      </c>
      <c r="AS25" s="74"/>
      <c r="AT25" s="75"/>
      <c r="AU25" s="75"/>
      <c r="AV25" s="75"/>
      <c r="AW25" s="80">
        <f t="shared" si="8"/>
        <v>0</v>
      </c>
      <c r="AX25" s="81" t="str">
        <f t="shared" si="9"/>
        <v/>
      </c>
      <c r="AY25" s="83" t="str">
        <f t="shared" si="10"/>
        <v/>
      </c>
      <c r="AZ25" s="80" t="str">
        <f t="shared" si="11"/>
        <v/>
      </c>
      <c r="BA25" s="84">
        <f t="shared" si="12"/>
        <v>0</v>
      </c>
      <c r="BB25" s="85" t="str">
        <f t="shared" si="13"/>
        <v/>
      </c>
      <c r="BC25" s="86" t="str">
        <f t="shared" si="14"/>
        <v/>
      </c>
      <c r="BD25" s="84">
        <f t="shared" si="15"/>
        <v>0</v>
      </c>
      <c r="BE25" s="87" t="str">
        <f t="shared" si="16"/>
        <v/>
      </c>
      <c r="BF25" s="88" t="str">
        <f t="shared" si="17"/>
        <v/>
      </c>
      <c r="BG25" s="89" t="str">
        <f t="shared" si="18"/>
        <v/>
      </c>
      <c r="BH25" s="90" t="str">
        <f t="shared" si="19"/>
        <v/>
      </c>
      <c r="BI25" s="90" t="str">
        <f t="shared" si="20"/>
        <v/>
      </c>
      <c r="BJ25" s="91">
        <f t="shared" si="21"/>
        <v>0</v>
      </c>
      <c r="BK25" s="92">
        <f t="shared" si="22"/>
        <v>0</v>
      </c>
      <c r="BL25" s="95"/>
    </row>
    <row r="26" spans="1:64">
      <c r="A26" s="61"/>
      <c r="B26" s="62"/>
      <c r="C26" s="63"/>
      <c r="D26" s="64"/>
      <c r="E26" s="64"/>
      <c r="F26" s="65"/>
      <c r="G26" s="66" t="str">
        <f t="shared" si="0"/>
        <v/>
      </c>
      <c r="H26" s="67" t="str">
        <f t="shared" si="1"/>
        <v/>
      </c>
      <c r="I26" s="68" t="str">
        <f t="shared" si="2"/>
        <v/>
      </c>
      <c r="J26" s="69" t="str">
        <f t="shared" si="3"/>
        <v/>
      </c>
      <c r="K26" s="70" t="str">
        <f t="shared" si="4"/>
        <v/>
      </c>
      <c r="L26" s="71"/>
      <c r="M26" s="71"/>
      <c r="N26" s="71"/>
      <c r="O26" s="71"/>
      <c r="P26" s="61"/>
      <c r="Q26" s="63"/>
      <c r="R26" s="72"/>
      <c r="S26" s="61"/>
      <c r="T26" s="73"/>
      <c r="U26" s="62"/>
      <c r="V26" s="62"/>
      <c r="W26" s="62"/>
      <c r="X26" s="93"/>
      <c r="Y26" s="94"/>
      <c r="Z26" s="74"/>
      <c r="AA26" s="75"/>
      <c r="AB26" s="75"/>
      <c r="AC26" s="76"/>
      <c r="AD26" s="77"/>
      <c r="AE26" s="75"/>
      <c r="AF26" s="78"/>
      <c r="AG26" s="79"/>
      <c r="AH26" s="74"/>
      <c r="AI26" s="75"/>
      <c r="AJ26" s="75"/>
      <c r="AK26" s="80">
        <f t="shared" si="5"/>
        <v>0</v>
      </c>
      <c r="AL26" s="74"/>
      <c r="AM26" s="74"/>
      <c r="AN26" s="81" t="str">
        <f t="shared" si="6"/>
        <v/>
      </c>
      <c r="AO26" s="82"/>
      <c r="AP26" s="75"/>
      <c r="AQ26" s="75"/>
      <c r="AR26" s="80">
        <f t="shared" si="7"/>
        <v>0</v>
      </c>
      <c r="AS26" s="74"/>
      <c r="AT26" s="75"/>
      <c r="AU26" s="75"/>
      <c r="AV26" s="75"/>
      <c r="AW26" s="80">
        <f t="shared" si="8"/>
        <v>0</v>
      </c>
      <c r="AX26" s="81" t="str">
        <f t="shared" si="9"/>
        <v/>
      </c>
      <c r="AY26" s="83" t="str">
        <f t="shared" si="10"/>
        <v/>
      </c>
      <c r="AZ26" s="80" t="str">
        <f t="shared" si="11"/>
        <v/>
      </c>
      <c r="BA26" s="84">
        <f t="shared" si="12"/>
        <v>0</v>
      </c>
      <c r="BB26" s="85" t="str">
        <f t="shared" si="13"/>
        <v/>
      </c>
      <c r="BC26" s="86" t="str">
        <f t="shared" si="14"/>
        <v/>
      </c>
      <c r="BD26" s="84">
        <f t="shared" si="15"/>
        <v>0</v>
      </c>
      <c r="BE26" s="87" t="str">
        <f t="shared" si="16"/>
        <v/>
      </c>
      <c r="BF26" s="88" t="str">
        <f t="shared" si="17"/>
        <v/>
      </c>
      <c r="BG26" s="89" t="str">
        <f t="shared" si="18"/>
        <v/>
      </c>
      <c r="BH26" s="90" t="str">
        <f t="shared" si="19"/>
        <v/>
      </c>
      <c r="BI26" s="90" t="str">
        <f t="shared" si="20"/>
        <v/>
      </c>
      <c r="BJ26" s="91">
        <f t="shared" si="21"/>
        <v>0</v>
      </c>
      <c r="BK26" s="92">
        <f t="shared" si="22"/>
        <v>0</v>
      </c>
      <c r="BL26" s="95"/>
    </row>
    <row r="27" spans="1:64">
      <c r="A27" s="61"/>
      <c r="B27" s="62"/>
      <c r="C27" s="63"/>
      <c r="D27" s="64"/>
      <c r="E27" s="64"/>
      <c r="F27" s="65"/>
      <c r="G27" s="66" t="str">
        <f t="shared" si="0"/>
        <v/>
      </c>
      <c r="H27" s="67" t="str">
        <f t="shared" si="1"/>
        <v/>
      </c>
      <c r="I27" s="68" t="str">
        <f t="shared" si="2"/>
        <v/>
      </c>
      <c r="J27" s="69" t="str">
        <f t="shared" si="3"/>
        <v/>
      </c>
      <c r="K27" s="70" t="str">
        <f t="shared" si="4"/>
        <v/>
      </c>
      <c r="L27" s="71"/>
      <c r="M27" s="71"/>
      <c r="N27" s="71"/>
      <c r="O27" s="71"/>
      <c r="P27" s="61"/>
      <c r="Q27" s="63"/>
      <c r="R27" s="72"/>
      <c r="S27" s="61"/>
      <c r="T27" s="73"/>
      <c r="U27" s="62"/>
      <c r="V27" s="62"/>
      <c r="W27" s="62"/>
      <c r="X27" s="93"/>
      <c r="Y27" s="94"/>
      <c r="Z27" s="74"/>
      <c r="AA27" s="75"/>
      <c r="AB27" s="75"/>
      <c r="AC27" s="76"/>
      <c r="AD27" s="77"/>
      <c r="AE27" s="75"/>
      <c r="AF27" s="78"/>
      <c r="AG27" s="79"/>
      <c r="AH27" s="74"/>
      <c r="AI27" s="75"/>
      <c r="AJ27" s="75"/>
      <c r="AK27" s="80">
        <f t="shared" si="5"/>
        <v>0</v>
      </c>
      <c r="AL27" s="74"/>
      <c r="AM27" s="74"/>
      <c r="AN27" s="81" t="str">
        <f t="shared" si="6"/>
        <v/>
      </c>
      <c r="AO27" s="82"/>
      <c r="AP27" s="75"/>
      <c r="AQ27" s="75"/>
      <c r="AR27" s="80">
        <f t="shared" si="7"/>
        <v>0</v>
      </c>
      <c r="AS27" s="74"/>
      <c r="AT27" s="75"/>
      <c r="AU27" s="75"/>
      <c r="AV27" s="75"/>
      <c r="AW27" s="80">
        <f t="shared" si="8"/>
        <v>0</v>
      </c>
      <c r="AX27" s="81" t="str">
        <f t="shared" si="9"/>
        <v/>
      </c>
      <c r="AY27" s="83" t="str">
        <f t="shared" si="10"/>
        <v/>
      </c>
      <c r="AZ27" s="80" t="str">
        <f t="shared" si="11"/>
        <v/>
      </c>
      <c r="BA27" s="84">
        <f t="shared" si="12"/>
        <v>0</v>
      </c>
      <c r="BB27" s="85" t="str">
        <f t="shared" si="13"/>
        <v/>
      </c>
      <c r="BC27" s="86" t="str">
        <f t="shared" si="14"/>
        <v/>
      </c>
      <c r="BD27" s="84">
        <f t="shared" si="15"/>
        <v>0</v>
      </c>
      <c r="BE27" s="87" t="str">
        <f t="shared" si="16"/>
        <v/>
      </c>
      <c r="BF27" s="88" t="str">
        <f t="shared" si="17"/>
        <v/>
      </c>
      <c r="BG27" s="89" t="str">
        <f t="shared" si="18"/>
        <v/>
      </c>
      <c r="BH27" s="90" t="str">
        <f t="shared" si="19"/>
        <v/>
      </c>
      <c r="BI27" s="90" t="str">
        <f t="shared" si="20"/>
        <v/>
      </c>
      <c r="BJ27" s="91">
        <f t="shared" si="21"/>
        <v>0</v>
      </c>
      <c r="BK27" s="92">
        <f t="shared" si="22"/>
        <v>0</v>
      </c>
      <c r="BL27" s="95"/>
    </row>
    <row r="28" spans="1:64">
      <c r="A28" s="61"/>
      <c r="B28" s="62"/>
      <c r="C28" s="63"/>
      <c r="D28" s="64"/>
      <c r="E28" s="64"/>
      <c r="F28" s="65"/>
      <c r="G28" s="66" t="str">
        <f t="shared" si="0"/>
        <v/>
      </c>
      <c r="H28" s="67" t="str">
        <f t="shared" si="1"/>
        <v/>
      </c>
      <c r="I28" s="68" t="str">
        <f t="shared" si="2"/>
        <v/>
      </c>
      <c r="J28" s="69" t="str">
        <f t="shared" si="3"/>
        <v/>
      </c>
      <c r="K28" s="70" t="str">
        <f t="shared" si="4"/>
        <v/>
      </c>
      <c r="L28" s="71"/>
      <c r="M28" s="71"/>
      <c r="N28" s="71"/>
      <c r="O28" s="71"/>
      <c r="P28" s="61"/>
      <c r="Q28" s="63"/>
      <c r="R28" s="72"/>
      <c r="S28" s="61"/>
      <c r="T28" s="73"/>
      <c r="U28" s="62"/>
      <c r="V28" s="62"/>
      <c r="W28" s="62"/>
      <c r="X28" s="93"/>
      <c r="Y28" s="94"/>
      <c r="Z28" s="74"/>
      <c r="AA28" s="75"/>
      <c r="AB28" s="75"/>
      <c r="AC28" s="76"/>
      <c r="AD28" s="77"/>
      <c r="AE28" s="75"/>
      <c r="AF28" s="78"/>
      <c r="AG28" s="79"/>
      <c r="AH28" s="74"/>
      <c r="AI28" s="75"/>
      <c r="AJ28" s="75"/>
      <c r="AK28" s="80">
        <f t="shared" si="5"/>
        <v>0</v>
      </c>
      <c r="AL28" s="74"/>
      <c r="AM28" s="74"/>
      <c r="AN28" s="81" t="str">
        <f t="shared" si="6"/>
        <v/>
      </c>
      <c r="AO28" s="82"/>
      <c r="AP28" s="75"/>
      <c r="AQ28" s="75"/>
      <c r="AR28" s="80">
        <f t="shared" si="7"/>
        <v>0</v>
      </c>
      <c r="AS28" s="74"/>
      <c r="AT28" s="75"/>
      <c r="AU28" s="75"/>
      <c r="AV28" s="75"/>
      <c r="AW28" s="80">
        <f t="shared" si="8"/>
        <v>0</v>
      </c>
      <c r="AX28" s="81" t="str">
        <f t="shared" si="9"/>
        <v/>
      </c>
      <c r="AY28" s="83" t="str">
        <f t="shared" si="10"/>
        <v/>
      </c>
      <c r="AZ28" s="80" t="str">
        <f t="shared" si="11"/>
        <v/>
      </c>
      <c r="BA28" s="84">
        <f t="shared" si="12"/>
        <v>0</v>
      </c>
      <c r="BB28" s="85" t="str">
        <f t="shared" si="13"/>
        <v/>
      </c>
      <c r="BC28" s="86" t="str">
        <f t="shared" si="14"/>
        <v/>
      </c>
      <c r="BD28" s="84">
        <f t="shared" si="15"/>
        <v>0</v>
      </c>
      <c r="BE28" s="87" t="str">
        <f t="shared" si="16"/>
        <v/>
      </c>
      <c r="BF28" s="88" t="str">
        <f t="shared" si="17"/>
        <v/>
      </c>
      <c r="BG28" s="89" t="str">
        <f t="shared" si="18"/>
        <v/>
      </c>
      <c r="BH28" s="90" t="str">
        <f t="shared" si="19"/>
        <v/>
      </c>
      <c r="BI28" s="90" t="str">
        <f t="shared" si="20"/>
        <v/>
      </c>
      <c r="BJ28" s="91">
        <f t="shared" si="21"/>
        <v>0</v>
      </c>
      <c r="BK28" s="92">
        <f t="shared" si="22"/>
        <v>0</v>
      </c>
      <c r="BL28" s="95"/>
    </row>
    <row r="29" spans="1:64">
      <c r="A29" s="61"/>
      <c r="B29" s="62"/>
      <c r="C29" s="63"/>
      <c r="D29" s="64"/>
      <c r="E29" s="64"/>
      <c r="F29" s="65"/>
      <c r="G29" s="66" t="str">
        <f t="shared" si="0"/>
        <v/>
      </c>
      <c r="H29" s="67" t="str">
        <f t="shared" si="1"/>
        <v/>
      </c>
      <c r="I29" s="68" t="str">
        <f t="shared" si="2"/>
        <v/>
      </c>
      <c r="J29" s="69" t="str">
        <f t="shared" si="3"/>
        <v/>
      </c>
      <c r="K29" s="70" t="str">
        <f t="shared" si="4"/>
        <v/>
      </c>
      <c r="L29" s="71"/>
      <c r="M29" s="71"/>
      <c r="N29" s="71"/>
      <c r="O29" s="71"/>
      <c r="P29" s="61"/>
      <c r="Q29" s="63"/>
      <c r="R29" s="72"/>
      <c r="S29" s="61"/>
      <c r="T29" s="73"/>
      <c r="U29" s="62"/>
      <c r="V29" s="62"/>
      <c r="W29" s="62"/>
      <c r="X29" s="93"/>
      <c r="Y29" s="94"/>
      <c r="Z29" s="74"/>
      <c r="AA29" s="75"/>
      <c r="AB29" s="75"/>
      <c r="AC29" s="76"/>
      <c r="AD29" s="77"/>
      <c r="AE29" s="75"/>
      <c r="AF29" s="78"/>
      <c r="AG29" s="79"/>
      <c r="AH29" s="74"/>
      <c r="AI29" s="75"/>
      <c r="AJ29" s="75"/>
      <c r="AK29" s="80">
        <f t="shared" si="5"/>
        <v>0</v>
      </c>
      <c r="AL29" s="74"/>
      <c r="AM29" s="74"/>
      <c r="AN29" s="81" t="str">
        <f t="shared" si="6"/>
        <v/>
      </c>
      <c r="AO29" s="82"/>
      <c r="AP29" s="75"/>
      <c r="AQ29" s="75"/>
      <c r="AR29" s="80">
        <f t="shared" si="7"/>
        <v>0</v>
      </c>
      <c r="AS29" s="74"/>
      <c r="AT29" s="75"/>
      <c r="AU29" s="75"/>
      <c r="AV29" s="75"/>
      <c r="AW29" s="80">
        <f t="shared" si="8"/>
        <v>0</v>
      </c>
      <c r="AX29" s="81" t="str">
        <f t="shared" si="9"/>
        <v/>
      </c>
      <c r="AY29" s="83" t="str">
        <f t="shared" si="10"/>
        <v/>
      </c>
      <c r="AZ29" s="80" t="str">
        <f t="shared" si="11"/>
        <v/>
      </c>
      <c r="BA29" s="84">
        <f t="shared" si="12"/>
        <v>0</v>
      </c>
      <c r="BB29" s="85" t="str">
        <f t="shared" si="13"/>
        <v/>
      </c>
      <c r="BC29" s="86" t="str">
        <f t="shared" si="14"/>
        <v/>
      </c>
      <c r="BD29" s="84">
        <f t="shared" si="15"/>
        <v>0</v>
      </c>
      <c r="BE29" s="87" t="str">
        <f t="shared" si="16"/>
        <v/>
      </c>
      <c r="BF29" s="88" t="str">
        <f t="shared" si="17"/>
        <v/>
      </c>
      <c r="BG29" s="89" t="str">
        <f t="shared" si="18"/>
        <v/>
      </c>
      <c r="BH29" s="90" t="str">
        <f t="shared" si="19"/>
        <v/>
      </c>
      <c r="BI29" s="90" t="str">
        <f t="shared" si="20"/>
        <v/>
      </c>
      <c r="BJ29" s="91">
        <f t="shared" si="21"/>
        <v>0</v>
      </c>
      <c r="BK29" s="92">
        <f t="shared" si="22"/>
        <v>0</v>
      </c>
      <c r="BL29" s="95"/>
    </row>
    <row r="30" spans="1:64">
      <c r="A30" s="61"/>
      <c r="B30" s="62"/>
      <c r="C30" s="63"/>
      <c r="D30" s="64"/>
      <c r="E30" s="64"/>
      <c r="F30" s="65"/>
      <c r="G30" s="66" t="str">
        <f t="shared" si="0"/>
        <v/>
      </c>
      <c r="H30" s="67" t="str">
        <f t="shared" si="1"/>
        <v/>
      </c>
      <c r="I30" s="68" t="str">
        <f t="shared" si="2"/>
        <v/>
      </c>
      <c r="J30" s="69" t="str">
        <f t="shared" si="3"/>
        <v/>
      </c>
      <c r="K30" s="70" t="str">
        <f t="shared" si="4"/>
        <v/>
      </c>
      <c r="L30" s="71"/>
      <c r="M30" s="71"/>
      <c r="N30" s="71"/>
      <c r="O30" s="71"/>
      <c r="P30" s="61"/>
      <c r="Q30" s="63"/>
      <c r="R30" s="72"/>
      <c r="S30" s="61"/>
      <c r="T30" s="73"/>
      <c r="U30" s="62"/>
      <c r="V30" s="62"/>
      <c r="W30" s="62"/>
      <c r="X30" s="93"/>
      <c r="Y30" s="94"/>
      <c r="Z30" s="74"/>
      <c r="AA30" s="75"/>
      <c r="AB30" s="75"/>
      <c r="AC30" s="76"/>
      <c r="AD30" s="77"/>
      <c r="AE30" s="75"/>
      <c r="AF30" s="78"/>
      <c r="AG30" s="79"/>
      <c r="AH30" s="74"/>
      <c r="AI30" s="75"/>
      <c r="AJ30" s="75"/>
      <c r="AK30" s="80">
        <f t="shared" si="5"/>
        <v>0</v>
      </c>
      <c r="AL30" s="74"/>
      <c r="AM30" s="74"/>
      <c r="AN30" s="81" t="str">
        <f t="shared" si="6"/>
        <v/>
      </c>
      <c r="AO30" s="82"/>
      <c r="AP30" s="75"/>
      <c r="AQ30" s="75"/>
      <c r="AR30" s="80">
        <f t="shared" si="7"/>
        <v>0</v>
      </c>
      <c r="AS30" s="74"/>
      <c r="AT30" s="75"/>
      <c r="AU30" s="75"/>
      <c r="AV30" s="75"/>
      <c r="AW30" s="80">
        <f t="shared" si="8"/>
        <v>0</v>
      </c>
      <c r="AX30" s="81" t="str">
        <f t="shared" si="9"/>
        <v/>
      </c>
      <c r="AY30" s="83" t="str">
        <f t="shared" si="10"/>
        <v/>
      </c>
      <c r="AZ30" s="80" t="str">
        <f t="shared" si="11"/>
        <v/>
      </c>
      <c r="BA30" s="84">
        <f t="shared" si="12"/>
        <v>0</v>
      </c>
      <c r="BB30" s="85" t="str">
        <f t="shared" si="13"/>
        <v/>
      </c>
      <c r="BC30" s="86" t="str">
        <f t="shared" si="14"/>
        <v/>
      </c>
      <c r="BD30" s="84">
        <f t="shared" si="15"/>
        <v>0</v>
      </c>
      <c r="BE30" s="87" t="str">
        <f t="shared" si="16"/>
        <v/>
      </c>
      <c r="BF30" s="88" t="str">
        <f t="shared" si="17"/>
        <v/>
      </c>
      <c r="BG30" s="89" t="str">
        <f t="shared" si="18"/>
        <v/>
      </c>
      <c r="BH30" s="90" t="str">
        <f t="shared" si="19"/>
        <v/>
      </c>
      <c r="BI30" s="90" t="str">
        <f t="shared" si="20"/>
        <v/>
      </c>
      <c r="BJ30" s="91">
        <f t="shared" si="21"/>
        <v>0</v>
      </c>
      <c r="BK30" s="92">
        <f t="shared" si="22"/>
        <v>0</v>
      </c>
      <c r="BL30" s="95"/>
    </row>
    <row r="31" spans="1:64">
      <c r="A31" s="61"/>
      <c r="B31" s="62"/>
      <c r="C31" s="63"/>
      <c r="D31" s="64"/>
      <c r="E31" s="64"/>
      <c r="F31" s="65"/>
      <c r="G31" s="66" t="str">
        <f t="shared" si="0"/>
        <v/>
      </c>
      <c r="H31" s="67" t="str">
        <f t="shared" si="1"/>
        <v/>
      </c>
      <c r="I31" s="68" t="str">
        <f t="shared" si="2"/>
        <v/>
      </c>
      <c r="J31" s="69" t="str">
        <f t="shared" si="3"/>
        <v/>
      </c>
      <c r="K31" s="70" t="str">
        <f t="shared" si="4"/>
        <v/>
      </c>
      <c r="L31" s="71"/>
      <c r="M31" s="71"/>
      <c r="N31" s="71"/>
      <c r="O31" s="71"/>
      <c r="P31" s="61"/>
      <c r="Q31" s="63"/>
      <c r="R31" s="72"/>
      <c r="S31" s="61"/>
      <c r="T31" s="73"/>
      <c r="U31" s="62"/>
      <c r="V31" s="62"/>
      <c r="W31" s="62"/>
      <c r="X31" s="93"/>
      <c r="Y31" s="94"/>
      <c r="Z31" s="74"/>
      <c r="AA31" s="75"/>
      <c r="AB31" s="75"/>
      <c r="AC31" s="76"/>
      <c r="AD31" s="77"/>
      <c r="AE31" s="75"/>
      <c r="AF31" s="78"/>
      <c r="AG31" s="79"/>
      <c r="AH31" s="74"/>
      <c r="AI31" s="75"/>
      <c r="AJ31" s="75"/>
      <c r="AK31" s="80">
        <f t="shared" si="5"/>
        <v>0</v>
      </c>
      <c r="AL31" s="74"/>
      <c r="AM31" s="74"/>
      <c r="AN31" s="81" t="str">
        <f t="shared" si="6"/>
        <v/>
      </c>
      <c r="AO31" s="82"/>
      <c r="AP31" s="75"/>
      <c r="AQ31" s="75"/>
      <c r="AR31" s="80">
        <f t="shared" si="7"/>
        <v>0</v>
      </c>
      <c r="AS31" s="74"/>
      <c r="AT31" s="75"/>
      <c r="AU31" s="75"/>
      <c r="AV31" s="75"/>
      <c r="AW31" s="80">
        <f t="shared" si="8"/>
        <v>0</v>
      </c>
      <c r="AX31" s="81" t="str">
        <f t="shared" si="9"/>
        <v/>
      </c>
      <c r="AY31" s="83" t="str">
        <f t="shared" si="10"/>
        <v/>
      </c>
      <c r="AZ31" s="80" t="str">
        <f t="shared" si="11"/>
        <v/>
      </c>
      <c r="BA31" s="84">
        <f t="shared" si="12"/>
        <v>0</v>
      </c>
      <c r="BB31" s="85" t="str">
        <f t="shared" si="13"/>
        <v/>
      </c>
      <c r="BC31" s="86" t="str">
        <f t="shared" si="14"/>
        <v/>
      </c>
      <c r="BD31" s="84">
        <f t="shared" si="15"/>
        <v>0</v>
      </c>
      <c r="BE31" s="87" t="str">
        <f t="shared" si="16"/>
        <v/>
      </c>
      <c r="BF31" s="88" t="str">
        <f t="shared" si="17"/>
        <v/>
      </c>
      <c r="BG31" s="89" t="str">
        <f t="shared" si="18"/>
        <v/>
      </c>
      <c r="BH31" s="90" t="str">
        <f t="shared" si="19"/>
        <v/>
      </c>
      <c r="BI31" s="90" t="str">
        <f t="shared" si="20"/>
        <v/>
      </c>
      <c r="BJ31" s="91">
        <f t="shared" si="21"/>
        <v>0</v>
      </c>
      <c r="BK31" s="92">
        <f t="shared" si="22"/>
        <v>0</v>
      </c>
      <c r="BL31" s="95"/>
    </row>
    <row r="32" spans="1:64">
      <c r="A32" s="61"/>
      <c r="B32" s="62"/>
      <c r="C32" s="63"/>
      <c r="D32" s="64"/>
      <c r="E32" s="64"/>
      <c r="F32" s="65"/>
      <c r="G32" s="66" t="str">
        <f t="shared" si="0"/>
        <v/>
      </c>
      <c r="H32" s="67" t="str">
        <f t="shared" si="1"/>
        <v/>
      </c>
      <c r="I32" s="68" t="str">
        <f t="shared" si="2"/>
        <v/>
      </c>
      <c r="J32" s="69" t="str">
        <f t="shared" si="3"/>
        <v/>
      </c>
      <c r="K32" s="70" t="str">
        <f t="shared" si="4"/>
        <v/>
      </c>
      <c r="L32" s="71"/>
      <c r="M32" s="71"/>
      <c r="N32" s="71"/>
      <c r="O32" s="71"/>
      <c r="P32" s="61"/>
      <c r="Q32" s="63"/>
      <c r="R32" s="72"/>
      <c r="S32" s="61"/>
      <c r="T32" s="73"/>
      <c r="U32" s="62"/>
      <c r="V32" s="62"/>
      <c r="W32" s="62"/>
      <c r="X32" s="93"/>
      <c r="Y32" s="94"/>
      <c r="Z32" s="74"/>
      <c r="AA32" s="75"/>
      <c r="AB32" s="75"/>
      <c r="AC32" s="76"/>
      <c r="AD32" s="77"/>
      <c r="AE32" s="75"/>
      <c r="AF32" s="78"/>
      <c r="AG32" s="79"/>
      <c r="AH32" s="74"/>
      <c r="AI32" s="75"/>
      <c r="AJ32" s="75"/>
      <c r="AK32" s="80">
        <f t="shared" si="5"/>
        <v>0</v>
      </c>
      <c r="AL32" s="74"/>
      <c r="AM32" s="74"/>
      <c r="AN32" s="81" t="str">
        <f t="shared" si="6"/>
        <v/>
      </c>
      <c r="AO32" s="82"/>
      <c r="AP32" s="75"/>
      <c r="AQ32" s="75"/>
      <c r="AR32" s="80">
        <f t="shared" si="7"/>
        <v>0</v>
      </c>
      <c r="AS32" s="74"/>
      <c r="AT32" s="75"/>
      <c r="AU32" s="75"/>
      <c r="AV32" s="75"/>
      <c r="AW32" s="80">
        <f t="shared" si="8"/>
        <v>0</v>
      </c>
      <c r="AX32" s="81" t="str">
        <f t="shared" si="9"/>
        <v/>
      </c>
      <c r="AY32" s="83" t="str">
        <f t="shared" si="10"/>
        <v/>
      </c>
      <c r="AZ32" s="80" t="str">
        <f t="shared" si="11"/>
        <v/>
      </c>
      <c r="BA32" s="84">
        <f t="shared" si="12"/>
        <v>0</v>
      </c>
      <c r="BB32" s="85" t="str">
        <f t="shared" si="13"/>
        <v/>
      </c>
      <c r="BC32" s="86" t="str">
        <f t="shared" si="14"/>
        <v/>
      </c>
      <c r="BD32" s="84">
        <f t="shared" si="15"/>
        <v>0</v>
      </c>
      <c r="BE32" s="87" t="str">
        <f t="shared" si="16"/>
        <v/>
      </c>
      <c r="BF32" s="88" t="str">
        <f t="shared" si="17"/>
        <v/>
      </c>
      <c r="BG32" s="89" t="str">
        <f t="shared" si="18"/>
        <v/>
      </c>
      <c r="BH32" s="90" t="str">
        <f t="shared" si="19"/>
        <v/>
      </c>
      <c r="BI32" s="90" t="str">
        <f t="shared" si="20"/>
        <v/>
      </c>
      <c r="BJ32" s="91">
        <f t="shared" si="21"/>
        <v>0</v>
      </c>
      <c r="BK32" s="92">
        <f t="shared" si="22"/>
        <v>0</v>
      </c>
      <c r="BL32" s="95"/>
    </row>
    <row r="33" spans="1:64">
      <c r="A33" s="61"/>
      <c r="B33" s="62"/>
      <c r="C33" s="63"/>
      <c r="D33" s="64"/>
      <c r="E33" s="64"/>
      <c r="F33" s="65"/>
      <c r="G33" s="66" t="str">
        <f t="shared" si="0"/>
        <v/>
      </c>
      <c r="H33" s="67" t="str">
        <f t="shared" si="1"/>
        <v/>
      </c>
      <c r="I33" s="68" t="str">
        <f t="shared" si="2"/>
        <v/>
      </c>
      <c r="J33" s="69" t="str">
        <f t="shared" si="3"/>
        <v/>
      </c>
      <c r="K33" s="70" t="str">
        <f t="shared" si="4"/>
        <v/>
      </c>
      <c r="L33" s="71"/>
      <c r="M33" s="71"/>
      <c r="N33" s="71"/>
      <c r="O33" s="71"/>
      <c r="P33" s="61"/>
      <c r="Q33" s="63"/>
      <c r="R33" s="72"/>
      <c r="S33" s="61"/>
      <c r="T33" s="73"/>
      <c r="U33" s="62"/>
      <c r="V33" s="62"/>
      <c r="W33" s="62"/>
      <c r="X33" s="93"/>
      <c r="Y33" s="94"/>
      <c r="Z33" s="74"/>
      <c r="AA33" s="75"/>
      <c r="AB33" s="75"/>
      <c r="AC33" s="76"/>
      <c r="AD33" s="77"/>
      <c r="AE33" s="75"/>
      <c r="AF33" s="78"/>
      <c r="AG33" s="79"/>
      <c r="AH33" s="74"/>
      <c r="AI33" s="75"/>
      <c r="AJ33" s="75"/>
      <c r="AK33" s="80">
        <f t="shared" si="5"/>
        <v>0</v>
      </c>
      <c r="AL33" s="74"/>
      <c r="AM33" s="74"/>
      <c r="AN33" s="81" t="str">
        <f t="shared" si="6"/>
        <v/>
      </c>
      <c r="AO33" s="82"/>
      <c r="AP33" s="75"/>
      <c r="AQ33" s="75"/>
      <c r="AR33" s="80">
        <f t="shared" si="7"/>
        <v>0</v>
      </c>
      <c r="AS33" s="74"/>
      <c r="AT33" s="75"/>
      <c r="AU33" s="75"/>
      <c r="AV33" s="75"/>
      <c r="AW33" s="80">
        <f t="shared" si="8"/>
        <v>0</v>
      </c>
      <c r="AX33" s="81" t="str">
        <f t="shared" si="9"/>
        <v/>
      </c>
      <c r="AY33" s="83" t="str">
        <f t="shared" si="10"/>
        <v/>
      </c>
      <c r="AZ33" s="80" t="str">
        <f t="shared" si="11"/>
        <v/>
      </c>
      <c r="BA33" s="84">
        <f t="shared" si="12"/>
        <v>0</v>
      </c>
      <c r="BB33" s="85" t="str">
        <f t="shared" si="13"/>
        <v/>
      </c>
      <c r="BC33" s="86" t="str">
        <f t="shared" si="14"/>
        <v/>
      </c>
      <c r="BD33" s="84">
        <f t="shared" si="15"/>
        <v>0</v>
      </c>
      <c r="BE33" s="87" t="str">
        <f t="shared" si="16"/>
        <v/>
      </c>
      <c r="BF33" s="88" t="str">
        <f t="shared" si="17"/>
        <v/>
      </c>
      <c r="BG33" s="89" t="str">
        <f t="shared" si="18"/>
        <v/>
      </c>
      <c r="BH33" s="90" t="str">
        <f t="shared" si="19"/>
        <v/>
      </c>
      <c r="BI33" s="90" t="str">
        <f t="shared" si="20"/>
        <v/>
      </c>
      <c r="BJ33" s="91">
        <f t="shared" si="21"/>
        <v>0</v>
      </c>
      <c r="BK33" s="92">
        <f t="shared" si="22"/>
        <v>0</v>
      </c>
      <c r="BL33" s="95"/>
    </row>
    <row r="34" spans="1:64">
      <c r="A34" s="61"/>
      <c r="B34" s="62"/>
      <c r="C34" s="63"/>
      <c r="D34" s="64"/>
      <c r="E34" s="64"/>
      <c r="F34" s="65"/>
      <c r="G34" s="66" t="str">
        <f t="shared" si="0"/>
        <v/>
      </c>
      <c r="H34" s="67" t="str">
        <f t="shared" si="1"/>
        <v/>
      </c>
      <c r="I34" s="68" t="str">
        <f t="shared" si="2"/>
        <v/>
      </c>
      <c r="J34" s="69" t="str">
        <f t="shared" si="3"/>
        <v/>
      </c>
      <c r="K34" s="70" t="str">
        <f t="shared" si="4"/>
        <v/>
      </c>
      <c r="L34" s="71"/>
      <c r="M34" s="71"/>
      <c r="N34" s="71"/>
      <c r="O34" s="71"/>
      <c r="P34" s="61"/>
      <c r="Q34" s="63"/>
      <c r="R34" s="72"/>
      <c r="S34" s="61"/>
      <c r="T34" s="73"/>
      <c r="U34" s="62"/>
      <c r="V34" s="62"/>
      <c r="W34" s="62"/>
      <c r="X34" s="93"/>
      <c r="Y34" s="94"/>
      <c r="Z34" s="74"/>
      <c r="AA34" s="75"/>
      <c r="AB34" s="75"/>
      <c r="AC34" s="76"/>
      <c r="AD34" s="77"/>
      <c r="AE34" s="75"/>
      <c r="AF34" s="78"/>
      <c r="AG34" s="79"/>
      <c r="AH34" s="74"/>
      <c r="AI34" s="75"/>
      <c r="AJ34" s="75"/>
      <c r="AK34" s="80">
        <f t="shared" si="5"/>
        <v>0</v>
      </c>
      <c r="AL34" s="74"/>
      <c r="AM34" s="74"/>
      <c r="AN34" s="81" t="str">
        <f t="shared" si="6"/>
        <v/>
      </c>
      <c r="AO34" s="82"/>
      <c r="AP34" s="75"/>
      <c r="AQ34" s="75"/>
      <c r="AR34" s="80">
        <f t="shared" si="7"/>
        <v>0</v>
      </c>
      <c r="AS34" s="74"/>
      <c r="AT34" s="75"/>
      <c r="AU34" s="75"/>
      <c r="AV34" s="75"/>
      <c r="AW34" s="80">
        <f t="shared" si="8"/>
        <v>0</v>
      </c>
      <c r="AX34" s="81" t="str">
        <f t="shared" si="9"/>
        <v/>
      </c>
      <c r="AY34" s="83" t="str">
        <f t="shared" si="10"/>
        <v/>
      </c>
      <c r="AZ34" s="80" t="str">
        <f t="shared" si="11"/>
        <v/>
      </c>
      <c r="BA34" s="84">
        <f t="shared" si="12"/>
        <v>0</v>
      </c>
      <c r="BB34" s="85" t="str">
        <f t="shared" si="13"/>
        <v/>
      </c>
      <c r="BC34" s="86" t="str">
        <f t="shared" si="14"/>
        <v/>
      </c>
      <c r="BD34" s="84">
        <f t="shared" si="15"/>
        <v>0</v>
      </c>
      <c r="BE34" s="87" t="str">
        <f t="shared" si="16"/>
        <v/>
      </c>
      <c r="BF34" s="88" t="str">
        <f t="shared" si="17"/>
        <v/>
      </c>
      <c r="BG34" s="89" t="str">
        <f t="shared" si="18"/>
        <v/>
      </c>
      <c r="BH34" s="90" t="str">
        <f t="shared" si="19"/>
        <v/>
      </c>
      <c r="BI34" s="90" t="str">
        <f t="shared" si="20"/>
        <v/>
      </c>
      <c r="BJ34" s="91">
        <f t="shared" si="21"/>
        <v>0</v>
      </c>
      <c r="BK34" s="92">
        <f t="shared" si="22"/>
        <v>0</v>
      </c>
      <c r="BL34" s="95"/>
    </row>
    <row r="35" spans="1:64">
      <c r="A35" s="61"/>
      <c r="B35" s="62"/>
      <c r="C35" s="63"/>
      <c r="D35" s="64"/>
      <c r="E35" s="64"/>
      <c r="F35" s="65"/>
      <c r="G35" s="66" t="str">
        <f t="shared" si="0"/>
        <v/>
      </c>
      <c r="H35" s="67" t="str">
        <f t="shared" si="1"/>
        <v/>
      </c>
      <c r="I35" s="68" t="str">
        <f t="shared" si="2"/>
        <v/>
      </c>
      <c r="J35" s="69" t="str">
        <f t="shared" si="3"/>
        <v/>
      </c>
      <c r="K35" s="70" t="str">
        <f t="shared" si="4"/>
        <v/>
      </c>
      <c r="L35" s="71"/>
      <c r="M35" s="71"/>
      <c r="N35" s="71"/>
      <c r="O35" s="71"/>
      <c r="P35" s="61"/>
      <c r="Q35" s="63"/>
      <c r="R35" s="72"/>
      <c r="S35" s="61"/>
      <c r="T35" s="73"/>
      <c r="U35" s="62"/>
      <c r="V35" s="62"/>
      <c r="W35" s="62"/>
      <c r="X35" s="93"/>
      <c r="Y35" s="94"/>
      <c r="Z35" s="74"/>
      <c r="AA35" s="75"/>
      <c r="AB35" s="75"/>
      <c r="AC35" s="76"/>
      <c r="AD35" s="77"/>
      <c r="AE35" s="75"/>
      <c r="AF35" s="78"/>
      <c r="AG35" s="79"/>
      <c r="AH35" s="74"/>
      <c r="AI35" s="75"/>
      <c r="AJ35" s="75"/>
      <c r="AK35" s="80">
        <f t="shared" si="5"/>
        <v>0</v>
      </c>
      <c r="AL35" s="74"/>
      <c r="AM35" s="74"/>
      <c r="AN35" s="81" t="str">
        <f t="shared" si="6"/>
        <v/>
      </c>
      <c r="AO35" s="82"/>
      <c r="AP35" s="75"/>
      <c r="AQ35" s="75"/>
      <c r="AR35" s="80">
        <f t="shared" si="7"/>
        <v>0</v>
      </c>
      <c r="AS35" s="74"/>
      <c r="AT35" s="75"/>
      <c r="AU35" s="75"/>
      <c r="AV35" s="75"/>
      <c r="AW35" s="80">
        <f t="shared" si="8"/>
        <v>0</v>
      </c>
      <c r="AX35" s="81" t="str">
        <f t="shared" si="9"/>
        <v/>
      </c>
      <c r="AY35" s="83" t="str">
        <f t="shared" si="10"/>
        <v/>
      </c>
      <c r="AZ35" s="80" t="str">
        <f t="shared" si="11"/>
        <v/>
      </c>
      <c r="BA35" s="84">
        <f t="shared" si="12"/>
        <v>0</v>
      </c>
      <c r="BB35" s="85" t="str">
        <f t="shared" si="13"/>
        <v/>
      </c>
      <c r="BC35" s="86" t="str">
        <f t="shared" si="14"/>
        <v/>
      </c>
      <c r="BD35" s="84">
        <f t="shared" si="15"/>
        <v>0</v>
      </c>
      <c r="BE35" s="87" t="str">
        <f t="shared" si="16"/>
        <v/>
      </c>
      <c r="BF35" s="88" t="str">
        <f t="shared" si="17"/>
        <v/>
      </c>
      <c r="BG35" s="89" t="str">
        <f t="shared" si="18"/>
        <v/>
      </c>
      <c r="BH35" s="90" t="str">
        <f t="shared" si="19"/>
        <v/>
      </c>
      <c r="BI35" s="90" t="str">
        <f t="shared" si="20"/>
        <v/>
      </c>
      <c r="BJ35" s="91">
        <f t="shared" si="21"/>
        <v>0</v>
      </c>
      <c r="BK35" s="92">
        <f t="shared" si="22"/>
        <v>0</v>
      </c>
      <c r="BL35" s="95"/>
    </row>
    <row r="36" spans="1:64">
      <c r="A36" s="61"/>
      <c r="B36" s="62"/>
      <c r="C36" s="63"/>
      <c r="D36" s="64"/>
      <c r="E36" s="64"/>
      <c r="F36" s="65"/>
      <c r="G36" s="66" t="str">
        <f t="shared" si="0"/>
        <v/>
      </c>
      <c r="H36" s="67" t="str">
        <f t="shared" si="1"/>
        <v/>
      </c>
      <c r="I36" s="68" t="str">
        <f t="shared" si="2"/>
        <v/>
      </c>
      <c r="J36" s="69" t="str">
        <f t="shared" si="3"/>
        <v/>
      </c>
      <c r="K36" s="70" t="str">
        <f t="shared" si="4"/>
        <v/>
      </c>
      <c r="L36" s="71"/>
      <c r="M36" s="71"/>
      <c r="N36" s="71"/>
      <c r="O36" s="71"/>
      <c r="P36" s="61"/>
      <c r="Q36" s="63"/>
      <c r="R36" s="72"/>
      <c r="S36" s="61"/>
      <c r="T36" s="73"/>
      <c r="U36" s="62"/>
      <c r="V36" s="62"/>
      <c r="W36" s="62"/>
      <c r="X36" s="93"/>
      <c r="Y36" s="94"/>
      <c r="Z36" s="74"/>
      <c r="AA36" s="75"/>
      <c r="AB36" s="75"/>
      <c r="AC36" s="76"/>
      <c r="AD36" s="77"/>
      <c r="AE36" s="75"/>
      <c r="AF36" s="78"/>
      <c r="AG36" s="79"/>
      <c r="AH36" s="74"/>
      <c r="AI36" s="75"/>
      <c r="AJ36" s="75"/>
      <c r="AK36" s="80">
        <f t="shared" si="5"/>
        <v>0</v>
      </c>
      <c r="AL36" s="74"/>
      <c r="AM36" s="74"/>
      <c r="AN36" s="81" t="str">
        <f t="shared" si="6"/>
        <v/>
      </c>
      <c r="AO36" s="82"/>
      <c r="AP36" s="75"/>
      <c r="AQ36" s="75"/>
      <c r="AR36" s="80">
        <f t="shared" si="7"/>
        <v>0</v>
      </c>
      <c r="AS36" s="74"/>
      <c r="AT36" s="75"/>
      <c r="AU36" s="75"/>
      <c r="AV36" s="75"/>
      <c r="AW36" s="80">
        <f t="shared" si="8"/>
        <v>0</v>
      </c>
      <c r="AX36" s="81" t="str">
        <f t="shared" si="9"/>
        <v/>
      </c>
      <c r="AY36" s="83" t="str">
        <f t="shared" si="10"/>
        <v/>
      </c>
      <c r="AZ36" s="80" t="str">
        <f t="shared" si="11"/>
        <v/>
      </c>
      <c r="BA36" s="84">
        <f t="shared" si="12"/>
        <v>0</v>
      </c>
      <c r="BB36" s="85" t="str">
        <f t="shared" si="13"/>
        <v/>
      </c>
      <c r="BC36" s="86" t="str">
        <f t="shared" si="14"/>
        <v/>
      </c>
      <c r="BD36" s="84">
        <f t="shared" si="15"/>
        <v>0</v>
      </c>
      <c r="BE36" s="87" t="str">
        <f t="shared" si="16"/>
        <v/>
      </c>
      <c r="BF36" s="88" t="str">
        <f t="shared" si="17"/>
        <v/>
      </c>
      <c r="BG36" s="89" t="str">
        <f t="shared" si="18"/>
        <v/>
      </c>
      <c r="BH36" s="90" t="str">
        <f t="shared" si="19"/>
        <v/>
      </c>
      <c r="BI36" s="90" t="str">
        <f t="shared" si="20"/>
        <v/>
      </c>
      <c r="BJ36" s="91">
        <f t="shared" si="21"/>
        <v>0</v>
      </c>
      <c r="BK36" s="92">
        <f t="shared" si="22"/>
        <v>0</v>
      </c>
      <c r="BL36" s="95"/>
    </row>
    <row r="37" spans="1:64">
      <c r="A37" s="61"/>
      <c r="B37" s="62"/>
      <c r="C37" s="63"/>
      <c r="D37" s="64"/>
      <c r="E37" s="64"/>
      <c r="F37" s="65"/>
      <c r="G37" s="66" t="str">
        <f t="shared" si="0"/>
        <v/>
      </c>
      <c r="H37" s="67" t="str">
        <f t="shared" si="1"/>
        <v/>
      </c>
      <c r="I37" s="68" t="str">
        <f t="shared" si="2"/>
        <v/>
      </c>
      <c r="J37" s="69" t="str">
        <f t="shared" si="3"/>
        <v/>
      </c>
      <c r="K37" s="70" t="str">
        <f t="shared" si="4"/>
        <v/>
      </c>
      <c r="L37" s="71"/>
      <c r="M37" s="71"/>
      <c r="N37" s="71"/>
      <c r="O37" s="71"/>
      <c r="P37" s="61"/>
      <c r="Q37" s="63"/>
      <c r="R37" s="72"/>
      <c r="S37" s="61"/>
      <c r="T37" s="73"/>
      <c r="U37" s="62"/>
      <c r="V37" s="62"/>
      <c r="W37" s="62"/>
      <c r="X37" s="93"/>
      <c r="Y37" s="94"/>
      <c r="Z37" s="74"/>
      <c r="AA37" s="75"/>
      <c r="AB37" s="75"/>
      <c r="AC37" s="76"/>
      <c r="AD37" s="77"/>
      <c r="AE37" s="75"/>
      <c r="AF37" s="78"/>
      <c r="AG37" s="79"/>
      <c r="AH37" s="74"/>
      <c r="AI37" s="75"/>
      <c r="AJ37" s="75"/>
      <c r="AK37" s="80">
        <f t="shared" si="5"/>
        <v>0</v>
      </c>
      <c r="AL37" s="74"/>
      <c r="AM37" s="74"/>
      <c r="AN37" s="81" t="str">
        <f t="shared" si="6"/>
        <v/>
      </c>
      <c r="AO37" s="82"/>
      <c r="AP37" s="75"/>
      <c r="AQ37" s="75"/>
      <c r="AR37" s="80">
        <f t="shared" si="7"/>
        <v>0</v>
      </c>
      <c r="AS37" s="74"/>
      <c r="AT37" s="75"/>
      <c r="AU37" s="75"/>
      <c r="AV37" s="75"/>
      <c r="AW37" s="80">
        <f t="shared" si="8"/>
        <v>0</v>
      </c>
      <c r="AX37" s="81" t="str">
        <f t="shared" si="9"/>
        <v/>
      </c>
      <c r="AY37" s="83" t="str">
        <f t="shared" si="10"/>
        <v/>
      </c>
      <c r="AZ37" s="80" t="str">
        <f t="shared" si="11"/>
        <v/>
      </c>
      <c r="BA37" s="84">
        <f t="shared" si="12"/>
        <v>0</v>
      </c>
      <c r="BB37" s="85" t="str">
        <f t="shared" si="13"/>
        <v/>
      </c>
      <c r="BC37" s="86" t="str">
        <f t="shared" si="14"/>
        <v/>
      </c>
      <c r="BD37" s="84">
        <f t="shared" si="15"/>
        <v>0</v>
      </c>
      <c r="BE37" s="87" t="str">
        <f t="shared" si="16"/>
        <v/>
      </c>
      <c r="BF37" s="88" t="str">
        <f t="shared" si="17"/>
        <v/>
      </c>
      <c r="BG37" s="89" t="str">
        <f t="shared" si="18"/>
        <v/>
      </c>
      <c r="BH37" s="90" t="str">
        <f t="shared" si="19"/>
        <v/>
      </c>
      <c r="BI37" s="90" t="str">
        <f t="shared" si="20"/>
        <v/>
      </c>
      <c r="BJ37" s="91">
        <f t="shared" si="21"/>
        <v>0</v>
      </c>
      <c r="BK37" s="92">
        <f t="shared" si="22"/>
        <v>0</v>
      </c>
      <c r="BL37" s="95"/>
    </row>
    <row r="38" spans="1:64">
      <c r="A38" s="61"/>
      <c r="B38" s="62"/>
      <c r="C38" s="63"/>
      <c r="D38" s="64"/>
      <c r="E38" s="64"/>
      <c r="F38" s="65"/>
      <c r="G38" s="66" t="str">
        <f t="shared" si="0"/>
        <v/>
      </c>
      <c r="H38" s="67" t="str">
        <f t="shared" si="1"/>
        <v/>
      </c>
      <c r="I38" s="68" t="str">
        <f t="shared" si="2"/>
        <v/>
      </c>
      <c r="J38" s="69" t="str">
        <f t="shared" si="3"/>
        <v/>
      </c>
      <c r="K38" s="70" t="str">
        <f t="shared" si="4"/>
        <v/>
      </c>
      <c r="L38" s="71"/>
      <c r="M38" s="71"/>
      <c r="N38" s="71"/>
      <c r="O38" s="71"/>
      <c r="P38" s="61"/>
      <c r="Q38" s="63"/>
      <c r="R38" s="72"/>
      <c r="S38" s="61"/>
      <c r="T38" s="73"/>
      <c r="U38" s="62"/>
      <c r="V38" s="62"/>
      <c r="W38" s="62"/>
      <c r="X38" s="93"/>
      <c r="Y38" s="94"/>
      <c r="Z38" s="74"/>
      <c r="AA38" s="75"/>
      <c r="AB38" s="75"/>
      <c r="AC38" s="76"/>
      <c r="AD38" s="77"/>
      <c r="AE38" s="75"/>
      <c r="AF38" s="78"/>
      <c r="AG38" s="79"/>
      <c r="AH38" s="74"/>
      <c r="AI38" s="75"/>
      <c r="AJ38" s="75"/>
      <c r="AK38" s="80">
        <f t="shared" si="5"/>
        <v>0</v>
      </c>
      <c r="AL38" s="74"/>
      <c r="AM38" s="74"/>
      <c r="AN38" s="81" t="str">
        <f t="shared" si="6"/>
        <v/>
      </c>
      <c r="AO38" s="82"/>
      <c r="AP38" s="75"/>
      <c r="AQ38" s="75"/>
      <c r="AR38" s="80">
        <f t="shared" si="7"/>
        <v>0</v>
      </c>
      <c r="AS38" s="74"/>
      <c r="AT38" s="75"/>
      <c r="AU38" s="75"/>
      <c r="AV38" s="75"/>
      <c r="AW38" s="80">
        <f t="shared" si="8"/>
        <v>0</v>
      </c>
      <c r="AX38" s="81" t="str">
        <f t="shared" si="9"/>
        <v/>
      </c>
      <c r="AY38" s="83" t="str">
        <f t="shared" si="10"/>
        <v/>
      </c>
      <c r="AZ38" s="80" t="str">
        <f t="shared" si="11"/>
        <v/>
      </c>
      <c r="BA38" s="84">
        <f t="shared" si="12"/>
        <v>0</v>
      </c>
      <c r="BB38" s="85" t="str">
        <f t="shared" si="13"/>
        <v/>
      </c>
      <c r="BC38" s="86" t="str">
        <f t="shared" si="14"/>
        <v/>
      </c>
      <c r="BD38" s="84">
        <f t="shared" si="15"/>
        <v>0</v>
      </c>
      <c r="BE38" s="87" t="str">
        <f t="shared" si="16"/>
        <v/>
      </c>
      <c r="BF38" s="88" t="str">
        <f t="shared" si="17"/>
        <v/>
      </c>
      <c r="BG38" s="89" t="str">
        <f t="shared" si="18"/>
        <v/>
      </c>
      <c r="BH38" s="90" t="str">
        <f t="shared" si="19"/>
        <v/>
      </c>
      <c r="BI38" s="90" t="str">
        <f t="shared" si="20"/>
        <v/>
      </c>
      <c r="BJ38" s="91">
        <f t="shared" si="21"/>
        <v>0</v>
      </c>
      <c r="BK38" s="92">
        <f t="shared" si="22"/>
        <v>0</v>
      </c>
      <c r="BL38" s="95"/>
    </row>
    <row r="39" spans="1:64">
      <c r="A39" s="61"/>
      <c r="B39" s="62"/>
      <c r="C39" s="63"/>
      <c r="D39" s="64"/>
      <c r="E39" s="64"/>
      <c r="F39" s="65"/>
      <c r="G39" s="66" t="str">
        <f t="shared" si="0"/>
        <v/>
      </c>
      <c r="H39" s="67" t="str">
        <f t="shared" si="1"/>
        <v/>
      </c>
      <c r="I39" s="68" t="str">
        <f t="shared" si="2"/>
        <v/>
      </c>
      <c r="J39" s="69" t="str">
        <f t="shared" si="3"/>
        <v/>
      </c>
      <c r="K39" s="70" t="str">
        <f t="shared" si="4"/>
        <v/>
      </c>
      <c r="L39" s="71"/>
      <c r="M39" s="71"/>
      <c r="N39" s="71"/>
      <c r="O39" s="71"/>
      <c r="P39" s="61"/>
      <c r="Q39" s="63"/>
      <c r="R39" s="72"/>
      <c r="S39" s="61"/>
      <c r="T39" s="73"/>
      <c r="U39" s="62"/>
      <c r="V39" s="62"/>
      <c r="W39" s="62"/>
      <c r="X39" s="93"/>
      <c r="Y39" s="94"/>
      <c r="Z39" s="74"/>
      <c r="AA39" s="75"/>
      <c r="AB39" s="75"/>
      <c r="AC39" s="76"/>
      <c r="AD39" s="77"/>
      <c r="AE39" s="75"/>
      <c r="AF39" s="78"/>
      <c r="AG39" s="79"/>
      <c r="AH39" s="74"/>
      <c r="AI39" s="75"/>
      <c r="AJ39" s="75"/>
      <c r="AK39" s="80">
        <f t="shared" si="5"/>
        <v>0</v>
      </c>
      <c r="AL39" s="74"/>
      <c r="AM39" s="74"/>
      <c r="AN39" s="81" t="str">
        <f t="shared" si="6"/>
        <v/>
      </c>
      <c r="AO39" s="82"/>
      <c r="AP39" s="75"/>
      <c r="AQ39" s="75"/>
      <c r="AR39" s="80">
        <f t="shared" si="7"/>
        <v>0</v>
      </c>
      <c r="AS39" s="74"/>
      <c r="AT39" s="75"/>
      <c r="AU39" s="75"/>
      <c r="AV39" s="75"/>
      <c r="AW39" s="80">
        <f t="shared" si="8"/>
        <v>0</v>
      </c>
      <c r="AX39" s="81" t="str">
        <f t="shared" si="9"/>
        <v/>
      </c>
      <c r="AY39" s="83" t="str">
        <f t="shared" si="10"/>
        <v/>
      </c>
      <c r="AZ39" s="80" t="str">
        <f t="shared" si="11"/>
        <v/>
      </c>
      <c r="BA39" s="84">
        <f t="shared" si="12"/>
        <v>0</v>
      </c>
      <c r="BB39" s="85" t="str">
        <f t="shared" si="13"/>
        <v/>
      </c>
      <c r="BC39" s="86" t="str">
        <f t="shared" si="14"/>
        <v/>
      </c>
      <c r="BD39" s="84">
        <f t="shared" si="15"/>
        <v>0</v>
      </c>
      <c r="BE39" s="87" t="str">
        <f t="shared" si="16"/>
        <v/>
      </c>
      <c r="BF39" s="88" t="str">
        <f t="shared" si="17"/>
        <v/>
      </c>
      <c r="BG39" s="89" t="str">
        <f t="shared" si="18"/>
        <v/>
      </c>
      <c r="BH39" s="90" t="str">
        <f t="shared" si="19"/>
        <v/>
      </c>
      <c r="BI39" s="90" t="str">
        <f t="shared" si="20"/>
        <v/>
      </c>
      <c r="BJ39" s="91">
        <f t="shared" si="21"/>
        <v>0</v>
      </c>
      <c r="BK39" s="92">
        <f t="shared" si="22"/>
        <v>0</v>
      </c>
      <c r="BL39" s="95"/>
    </row>
    <row r="40" spans="1:64">
      <c r="A40" s="61"/>
      <c r="B40" s="62"/>
      <c r="C40" s="63"/>
      <c r="D40" s="64"/>
      <c r="E40" s="64"/>
      <c r="F40" s="65"/>
      <c r="G40" s="66" t="str">
        <f t="shared" si="0"/>
        <v/>
      </c>
      <c r="H40" s="67" t="str">
        <f t="shared" si="1"/>
        <v/>
      </c>
      <c r="I40" s="68" t="str">
        <f t="shared" si="2"/>
        <v/>
      </c>
      <c r="J40" s="69" t="str">
        <f t="shared" si="3"/>
        <v/>
      </c>
      <c r="K40" s="70" t="str">
        <f t="shared" si="4"/>
        <v/>
      </c>
      <c r="L40" s="71"/>
      <c r="M40" s="71"/>
      <c r="N40" s="71"/>
      <c r="O40" s="71"/>
      <c r="P40" s="61"/>
      <c r="Q40" s="63"/>
      <c r="R40" s="72"/>
      <c r="S40" s="61"/>
      <c r="T40" s="73"/>
      <c r="U40" s="62"/>
      <c r="V40" s="62"/>
      <c r="W40" s="62"/>
      <c r="X40" s="93"/>
      <c r="Y40" s="94"/>
      <c r="Z40" s="74"/>
      <c r="AA40" s="75"/>
      <c r="AB40" s="75"/>
      <c r="AC40" s="76"/>
      <c r="AD40" s="77"/>
      <c r="AE40" s="75"/>
      <c r="AF40" s="78"/>
      <c r="AG40" s="79"/>
      <c r="AH40" s="74"/>
      <c r="AI40" s="75"/>
      <c r="AJ40" s="75"/>
      <c r="AK40" s="80">
        <f t="shared" si="5"/>
        <v>0</v>
      </c>
      <c r="AL40" s="74"/>
      <c r="AM40" s="74"/>
      <c r="AN40" s="81" t="str">
        <f t="shared" si="6"/>
        <v/>
      </c>
      <c r="AO40" s="82"/>
      <c r="AP40" s="75"/>
      <c r="AQ40" s="75"/>
      <c r="AR40" s="80">
        <f t="shared" si="7"/>
        <v>0</v>
      </c>
      <c r="AS40" s="74"/>
      <c r="AT40" s="75"/>
      <c r="AU40" s="75"/>
      <c r="AV40" s="75"/>
      <c r="AW40" s="80">
        <f t="shared" si="8"/>
        <v>0</v>
      </c>
      <c r="AX40" s="81" t="str">
        <f t="shared" si="9"/>
        <v/>
      </c>
      <c r="AY40" s="83" t="str">
        <f t="shared" si="10"/>
        <v/>
      </c>
      <c r="AZ40" s="80" t="str">
        <f t="shared" si="11"/>
        <v/>
      </c>
      <c r="BA40" s="84">
        <f t="shared" si="12"/>
        <v>0</v>
      </c>
      <c r="BB40" s="85" t="str">
        <f t="shared" si="13"/>
        <v/>
      </c>
      <c r="BC40" s="86" t="str">
        <f t="shared" si="14"/>
        <v/>
      </c>
      <c r="BD40" s="84">
        <f t="shared" si="15"/>
        <v>0</v>
      </c>
      <c r="BE40" s="87" t="str">
        <f t="shared" si="16"/>
        <v/>
      </c>
      <c r="BF40" s="88" t="str">
        <f t="shared" si="17"/>
        <v/>
      </c>
      <c r="BG40" s="89" t="str">
        <f t="shared" si="18"/>
        <v/>
      </c>
      <c r="BH40" s="90" t="str">
        <f t="shared" si="19"/>
        <v/>
      </c>
      <c r="BI40" s="90" t="str">
        <f t="shared" si="20"/>
        <v/>
      </c>
      <c r="BJ40" s="91">
        <f t="shared" si="21"/>
        <v>0</v>
      </c>
      <c r="BK40" s="92">
        <f t="shared" si="22"/>
        <v>0</v>
      </c>
      <c r="BL40" s="95"/>
    </row>
    <row r="41" spans="1:64">
      <c r="A41" s="61"/>
      <c r="B41" s="62"/>
      <c r="C41" s="63"/>
      <c r="D41" s="64"/>
      <c r="E41" s="64"/>
      <c r="F41" s="65"/>
      <c r="G41" s="66" t="str">
        <f t="shared" si="0"/>
        <v/>
      </c>
      <c r="H41" s="67" t="str">
        <f t="shared" si="1"/>
        <v/>
      </c>
      <c r="I41" s="68" t="str">
        <f t="shared" si="2"/>
        <v/>
      </c>
      <c r="J41" s="69" t="str">
        <f t="shared" si="3"/>
        <v/>
      </c>
      <c r="K41" s="70" t="str">
        <f t="shared" si="4"/>
        <v/>
      </c>
      <c r="L41" s="71"/>
      <c r="M41" s="71"/>
      <c r="N41" s="71"/>
      <c r="O41" s="71"/>
      <c r="P41" s="61"/>
      <c r="Q41" s="63"/>
      <c r="R41" s="72"/>
      <c r="S41" s="61"/>
      <c r="T41" s="73"/>
      <c r="U41" s="62"/>
      <c r="V41" s="62"/>
      <c r="W41" s="62"/>
      <c r="X41" s="93"/>
      <c r="Y41" s="94"/>
      <c r="Z41" s="74"/>
      <c r="AA41" s="75"/>
      <c r="AB41" s="75"/>
      <c r="AC41" s="76"/>
      <c r="AD41" s="77"/>
      <c r="AE41" s="75"/>
      <c r="AF41" s="78"/>
      <c r="AG41" s="79"/>
      <c r="AH41" s="74"/>
      <c r="AI41" s="75"/>
      <c r="AJ41" s="75"/>
      <c r="AK41" s="80">
        <f t="shared" si="5"/>
        <v>0</v>
      </c>
      <c r="AL41" s="74"/>
      <c r="AM41" s="74"/>
      <c r="AN41" s="81" t="str">
        <f t="shared" si="6"/>
        <v/>
      </c>
      <c r="AO41" s="82"/>
      <c r="AP41" s="75"/>
      <c r="AQ41" s="75"/>
      <c r="AR41" s="80">
        <f t="shared" si="7"/>
        <v>0</v>
      </c>
      <c r="AS41" s="74"/>
      <c r="AT41" s="75"/>
      <c r="AU41" s="75"/>
      <c r="AV41" s="75"/>
      <c r="AW41" s="80">
        <f t="shared" si="8"/>
        <v>0</v>
      </c>
      <c r="AX41" s="81" t="str">
        <f t="shared" si="9"/>
        <v/>
      </c>
      <c r="AY41" s="83" t="str">
        <f t="shared" si="10"/>
        <v/>
      </c>
      <c r="AZ41" s="80" t="str">
        <f t="shared" si="11"/>
        <v/>
      </c>
      <c r="BA41" s="84">
        <f t="shared" si="12"/>
        <v>0</v>
      </c>
      <c r="BB41" s="85" t="str">
        <f t="shared" si="13"/>
        <v/>
      </c>
      <c r="BC41" s="86" t="str">
        <f t="shared" si="14"/>
        <v/>
      </c>
      <c r="BD41" s="84">
        <f t="shared" si="15"/>
        <v>0</v>
      </c>
      <c r="BE41" s="87" t="str">
        <f t="shared" si="16"/>
        <v/>
      </c>
      <c r="BF41" s="88" t="str">
        <f t="shared" si="17"/>
        <v/>
      </c>
      <c r="BG41" s="89" t="str">
        <f t="shared" si="18"/>
        <v/>
      </c>
      <c r="BH41" s="90" t="str">
        <f t="shared" si="19"/>
        <v/>
      </c>
      <c r="BI41" s="90" t="str">
        <f t="shared" si="20"/>
        <v/>
      </c>
      <c r="BJ41" s="91">
        <f t="shared" si="21"/>
        <v>0</v>
      </c>
      <c r="BK41" s="92">
        <f t="shared" si="22"/>
        <v>0</v>
      </c>
      <c r="BL41" s="95"/>
    </row>
    <row r="42" spans="1:64">
      <c r="A42" s="61"/>
      <c r="B42" s="62"/>
      <c r="C42" s="63"/>
      <c r="D42" s="64"/>
      <c r="E42" s="64"/>
      <c r="F42" s="65"/>
      <c r="G42" s="66" t="str">
        <f t="shared" si="0"/>
        <v/>
      </c>
      <c r="H42" s="67" t="str">
        <f t="shared" si="1"/>
        <v/>
      </c>
      <c r="I42" s="68" t="str">
        <f t="shared" si="2"/>
        <v/>
      </c>
      <c r="J42" s="69" t="str">
        <f t="shared" si="3"/>
        <v/>
      </c>
      <c r="K42" s="70" t="str">
        <f t="shared" si="4"/>
        <v/>
      </c>
      <c r="L42" s="71"/>
      <c r="M42" s="71"/>
      <c r="N42" s="71"/>
      <c r="O42" s="71"/>
      <c r="P42" s="61"/>
      <c r="Q42" s="63"/>
      <c r="R42" s="72"/>
      <c r="S42" s="61"/>
      <c r="T42" s="73"/>
      <c r="U42" s="62"/>
      <c r="V42" s="62"/>
      <c r="W42" s="62"/>
      <c r="X42" s="93"/>
      <c r="Y42" s="94"/>
      <c r="Z42" s="74"/>
      <c r="AA42" s="75"/>
      <c r="AB42" s="75"/>
      <c r="AC42" s="76"/>
      <c r="AD42" s="77"/>
      <c r="AE42" s="75"/>
      <c r="AF42" s="78"/>
      <c r="AG42" s="79"/>
      <c r="AH42" s="74"/>
      <c r="AI42" s="75"/>
      <c r="AJ42" s="75"/>
      <c r="AK42" s="80">
        <f t="shared" si="5"/>
        <v>0</v>
      </c>
      <c r="AL42" s="74"/>
      <c r="AM42" s="74"/>
      <c r="AN42" s="81" t="str">
        <f t="shared" si="6"/>
        <v/>
      </c>
      <c r="AO42" s="82"/>
      <c r="AP42" s="75"/>
      <c r="AQ42" s="75"/>
      <c r="AR42" s="80">
        <f t="shared" si="7"/>
        <v>0</v>
      </c>
      <c r="AS42" s="74"/>
      <c r="AT42" s="75"/>
      <c r="AU42" s="75"/>
      <c r="AV42" s="75"/>
      <c r="AW42" s="80">
        <f t="shared" si="8"/>
        <v>0</v>
      </c>
      <c r="AX42" s="81" t="str">
        <f t="shared" si="9"/>
        <v/>
      </c>
      <c r="AY42" s="83" t="str">
        <f t="shared" si="10"/>
        <v/>
      </c>
      <c r="AZ42" s="80" t="str">
        <f t="shared" si="11"/>
        <v/>
      </c>
      <c r="BA42" s="84">
        <f t="shared" si="12"/>
        <v>0</v>
      </c>
      <c r="BB42" s="85" t="str">
        <f t="shared" si="13"/>
        <v/>
      </c>
      <c r="BC42" s="86" t="str">
        <f t="shared" si="14"/>
        <v/>
      </c>
      <c r="BD42" s="84">
        <f t="shared" si="15"/>
        <v>0</v>
      </c>
      <c r="BE42" s="87" t="str">
        <f t="shared" si="16"/>
        <v/>
      </c>
      <c r="BF42" s="88" t="str">
        <f t="shared" si="17"/>
        <v/>
      </c>
      <c r="BG42" s="89" t="str">
        <f t="shared" si="18"/>
        <v/>
      </c>
      <c r="BH42" s="90" t="str">
        <f t="shared" si="19"/>
        <v/>
      </c>
      <c r="BI42" s="90" t="str">
        <f t="shared" si="20"/>
        <v/>
      </c>
      <c r="BJ42" s="91">
        <f t="shared" si="21"/>
        <v>0</v>
      </c>
      <c r="BK42" s="92">
        <f t="shared" si="22"/>
        <v>0</v>
      </c>
      <c r="BL42" s="95"/>
    </row>
    <row r="43" spans="1:64">
      <c r="A43" s="61"/>
      <c r="B43" s="62"/>
      <c r="C43" s="63"/>
      <c r="D43" s="64"/>
      <c r="E43" s="64"/>
      <c r="F43" s="65"/>
      <c r="G43" s="66" t="str">
        <f t="shared" si="0"/>
        <v/>
      </c>
      <c r="H43" s="67" t="str">
        <f t="shared" si="1"/>
        <v/>
      </c>
      <c r="I43" s="68" t="str">
        <f t="shared" si="2"/>
        <v/>
      </c>
      <c r="J43" s="69" t="str">
        <f t="shared" si="3"/>
        <v/>
      </c>
      <c r="K43" s="70" t="str">
        <f t="shared" si="4"/>
        <v/>
      </c>
      <c r="L43" s="71"/>
      <c r="M43" s="71"/>
      <c r="N43" s="71"/>
      <c r="O43" s="71"/>
      <c r="P43" s="61"/>
      <c r="Q43" s="63"/>
      <c r="R43" s="72"/>
      <c r="S43" s="61"/>
      <c r="T43" s="73"/>
      <c r="U43" s="62"/>
      <c r="V43" s="62"/>
      <c r="W43" s="62"/>
      <c r="X43" s="93"/>
      <c r="Y43" s="94"/>
      <c r="Z43" s="74"/>
      <c r="AA43" s="75"/>
      <c r="AB43" s="75"/>
      <c r="AC43" s="76"/>
      <c r="AD43" s="77"/>
      <c r="AE43" s="75"/>
      <c r="AF43" s="78"/>
      <c r="AG43" s="79"/>
      <c r="AH43" s="74"/>
      <c r="AI43" s="75"/>
      <c r="AJ43" s="75"/>
      <c r="AK43" s="80">
        <f t="shared" si="5"/>
        <v>0</v>
      </c>
      <c r="AL43" s="74"/>
      <c r="AM43" s="74"/>
      <c r="AN43" s="81" t="str">
        <f t="shared" si="6"/>
        <v/>
      </c>
      <c r="AO43" s="82"/>
      <c r="AP43" s="75"/>
      <c r="AQ43" s="75"/>
      <c r="AR43" s="80">
        <f t="shared" si="7"/>
        <v>0</v>
      </c>
      <c r="AS43" s="74"/>
      <c r="AT43" s="75"/>
      <c r="AU43" s="75"/>
      <c r="AV43" s="75"/>
      <c r="AW43" s="80">
        <f t="shared" si="8"/>
        <v>0</v>
      </c>
      <c r="AX43" s="81" t="str">
        <f t="shared" si="9"/>
        <v/>
      </c>
      <c r="AY43" s="83" t="str">
        <f t="shared" si="10"/>
        <v/>
      </c>
      <c r="AZ43" s="80" t="str">
        <f t="shared" si="11"/>
        <v/>
      </c>
      <c r="BA43" s="84">
        <f t="shared" si="12"/>
        <v>0</v>
      </c>
      <c r="BB43" s="85" t="str">
        <f t="shared" si="13"/>
        <v/>
      </c>
      <c r="BC43" s="86" t="str">
        <f t="shared" si="14"/>
        <v/>
      </c>
      <c r="BD43" s="84">
        <f t="shared" si="15"/>
        <v>0</v>
      </c>
      <c r="BE43" s="87" t="str">
        <f t="shared" si="16"/>
        <v/>
      </c>
      <c r="BF43" s="88" t="str">
        <f t="shared" si="17"/>
        <v/>
      </c>
      <c r="BG43" s="89" t="str">
        <f t="shared" si="18"/>
        <v/>
      </c>
      <c r="BH43" s="90" t="str">
        <f t="shared" si="19"/>
        <v/>
      </c>
      <c r="BI43" s="90" t="str">
        <f t="shared" si="20"/>
        <v/>
      </c>
      <c r="BJ43" s="91">
        <f t="shared" si="21"/>
        <v>0</v>
      </c>
      <c r="BK43" s="92">
        <f t="shared" si="22"/>
        <v>0</v>
      </c>
      <c r="BL43" s="95"/>
    </row>
    <row r="44" spans="1:64">
      <c r="A44" s="61"/>
      <c r="B44" s="62"/>
      <c r="C44" s="63"/>
      <c r="D44" s="64"/>
      <c r="E44" s="64"/>
      <c r="F44" s="65"/>
      <c r="G44" s="66" t="str">
        <f t="shared" si="0"/>
        <v/>
      </c>
      <c r="H44" s="67" t="str">
        <f t="shared" si="1"/>
        <v/>
      </c>
      <c r="I44" s="68" t="str">
        <f t="shared" si="2"/>
        <v/>
      </c>
      <c r="J44" s="69" t="str">
        <f t="shared" si="3"/>
        <v/>
      </c>
      <c r="K44" s="70" t="str">
        <f t="shared" si="4"/>
        <v/>
      </c>
      <c r="L44" s="71"/>
      <c r="M44" s="71"/>
      <c r="N44" s="71"/>
      <c r="O44" s="71"/>
      <c r="P44" s="61"/>
      <c r="Q44" s="63"/>
      <c r="R44" s="72"/>
      <c r="S44" s="61"/>
      <c r="T44" s="73"/>
      <c r="U44" s="62"/>
      <c r="V44" s="62"/>
      <c r="W44" s="62"/>
      <c r="X44" s="93"/>
      <c r="Y44" s="94"/>
      <c r="Z44" s="74"/>
      <c r="AA44" s="75"/>
      <c r="AB44" s="75"/>
      <c r="AC44" s="76"/>
      <c r="AD44" s="77"/>
      <c r="AE44" s="75"/>
      <c r="AF44" s="78"/>
      <c r="AG44" s="79"/>
      <c r="AH44" s="74"/>
      <c r="AI44" s="75"/>
      <c r="AJ44" s="75"/>
      <c r="AK44" s="80">
        <f t="shared" si="5"/>
        <v>0</v>
      </c>
      <c r="AL44" s="74"/>
      <c r="AM44" s="74"/>
      <c r="AN44" s="81" t="str">
        <f t="shared" si="6"/>
        <v/>
      </c>
      <c r="AO44" s="82"/>
      <c r="AP44" s="75"/>
      <c r="AQ44" s="75"/>
      <c r="AR44" s="80">
        <f t="shared" si="7"/>
        <v>0</v>
      </c>
      <c r="AS44" s="74"/>
      <c r="AT44" s="75"/>
      <c r="AU44" s="75"/>
      <c r="AV44" s="75"/>
      <c r="AW44" s="80">
        <f t="shared" si="8"/>
        <v>0</v>
      </c>
      <c r="AX44" s="81" t="str">
        <f t="shared" si="9"/>
        <v/>
      </c>
      <c r="AY44" s="83" t="str">
        <f t="shared" si="10"/>
        <v/>
      </c>
      <c r="AZ44" s="80" t="str">
        <f t="shared" si="11"/>
        <v/>
      </c>
      <c r="BA44" s="84">
        <f t="shared" si="12"/>
        <v>0</v>
      </c>
      <c r="BB44" s="85" t="str">
        <f t="shared" si="13"/>
        <v/>
      </c>
      <c r="BC44" s="86" t="str">
        <f t="shared" si="14"/>
        <v/>
      </c>
      <c r="BD44" s="84">
        <f t="shared" si="15"/>
        <v>0</v>
      </c>
      <c r="BE44" s="87" t="str">
        <f t="shared" si="16"/>
        <v/>
      </c>
      <c r="BF44" s="88" t="str">
        <f t="shared" si="17"/>
        <v/>
      </c>
      <c r="BG44" s="89" t="str">
        <f t="shared" si="18"/>
        <v/>
      </c>
      <c r="BH44" s="90" t="str">
        <f t="shared" si="19"/>
        <v/>
      </c>
      <c r="BI44" s="90" t="str">
        <f t="shared" si="20"/>
        <v/>
      </c>
      <c r="BJ44" s="91">
        <f t="shared" si="21"/>
        <v>0</v>
      </c>
      <c r="BK44" s="92">
        <f t="shared" si="22"/>
        <v>0</v>
      </c>
      <c r="BL44" s="95"/>
    </row>
    <row r="45" spans="1:64">
      <c r="A45" s="61"/>
      <c r="B45" s="62"/>
      <c r="C45" s="63"/>
      <c r="D45" s="64"/>
      <c r="E45" s="64"/>
      <c r="F45" s="65"/>
      <c r="G45" s="66" t="str">
        <f t="shared" si="0"/>
        <v/>
      </c>
      <c r="H45" s="67" t="str">
        <f t="shared" si="1"/>
        <v/>
      </c>
      <c r="I45" s="68" t="str">
        <f t="shared" si="2"/>
        <v/>
      </c>
      <c r="J45" s="69" t="str">
        <f t="shared" si="3"/>
        <v/>
      </c>
      <c r="K45" s="70" t="str">
        <f t="shared" si="4"/>
        <v/>
      </c>
      <c r="L45" s="71"/>
      <c r="M45" s="71"/>
      <c r="N45" s="71"/>
      <c r="O45" s="71"/>
      <c r="P45" s="61"/>
      <c r="Q45" s="63"/>
      <c r="R45" s="72"/>
      <c r="S45" s="61"/>
      <c r="T45" s="73"/>
      <c r="U45" s="62"/>
      <c r="V45" s="62"/>
      <c r="W45" s="62"/>
      <c r="X45" s="93"/>
      <c r="Y45" s="94"/>
      <c r="Z45" s="74"/>
      <c r="AA45" s="75"/>
      <c r="AB45" s="75"/>
      <c r="AC45" s="76"/>
      <c r="AD45" s="77"/>
      <c r="AE45" s="75"/>
      <c r="AF45" s="78"/>
      <c r="AG45" s="79"/>
      <c r="AH45" s="74"/>
      <c r="AI45" s="75"/>
      <c r="AJ45" s="75"/>
      <c r="AK45" s="80">
        <f t="shared" si="5"/>
        <v>0</v>
      </c>
      <c r="AL45" s="74"/>
      <c r="AM45" s="74"/>
      <c r="AN45" s="81" t="str">
        <f t="shared" si="6"/>
        <v/>
      </c>
      <c r="AO45" s="82"/>
      <c r="AP45" s="75"/>
      <c r="AQ45" s="75"/>
      <c r="AR45" s="80">
        <f t="shared" si="7"/>
        <v>0</v>
      </c>
      <c r="AS45" s="74"/>
      <c r="AT45" s="75"/>
      <c r="AU45" s="75"/>
      <c r="AV45" s="75"/>
      <c r="AW45" s="80">
        <f t="shared" si="8"/>
        <v>0</v>
      </c>
      <c r="AX45" s="81" t="str">
        <f t="shared" si="9"/>
        <v/>
      </c>
      <c r="AY45" s="83" t="str">
        <f t="shared" si="10"/>
        <v/>
      </c>
      <c r="AZ45" s="80" t="str">
        <f t="shared" si="11"/>
        <v/>
      </c>
      <c r="BA45" s="84">
        <f t="shared" si="12"/>
        <v>0</v>
      </c>
      <c r="BB45" s="85" t="str">
        <f t="shared" si="13"/>
        <v/>
      </c>
      <c r="BC45" s="86" t="str">
        <f t="shared" si="14"/>
        <v/>
      </c>
      <c r="BD45" s="84">
        <f t="shared" si="15"/>
        <v>0</v>
      </c>
      <c r="BE45" s="87" t="str">
        <f t="shared" si="16"/>
        <v/>
      </c>
      <c r="BF45" s="88" t="str">
        <f t="shared" si="17"/>
        <v/>
      </c>
      <c r="BG45" s="89" t="str">
        <f t="shared" si="18"/>
        <v/>
      </c>
      <c r="BH45" s="90" t="str">
        <f t="shared" si="19"/>
        <v/>
      </c>
      <c r="BI45" s="90" t="str">
        <f t="shared" si="20"/>
        <v/>
      </c>
      <c r="BJ45" s="91">
        <f t="shared" si="21"/>
        <v>0</v>
      </c>
      <c r="BK45" s="92">
        <f t="shared" si="22"/>
        <v>0</v>
      </c>
      <c r="BL45" s="95"/>
    </row>
    <row r="46" spans="1:64">
      <c r="A46" s="61"/>
      <c r="B46" s="62"/>
      <c r="C46" s="63"/>
      <c r="D46" s="64"/>
      <c r="E46" s="64"/>
      <c r="F46" s="65"/>
      <c r="G46" s="66" t="str">
        <f t="shared" si="0"/>
        <v/>
      </c>
      <c r="H46" s="67" t="str">
        <f t="shared" si="1"/>
        <v/>
      </c>
      <c r="I46" s="68" t="str">
        <f t="shared" si="2"/>
        <v/>
      </c>
      <c r="J46" s="69" t="str">
        <f t="shared" si="3"/>
        <v/>
      </c>
      <c r="K46" s="70" t="str">
        <f t="shared" si="4"/>
        <v/>
      </c>
      <c r="L46" s="71"/>
      <c r="M46" s="71"/>
      <c r="N46" s="71"/>
      <c r="O46" s="71"/>
      <c r="P46" s="61"/>
      <c r="Q46" s="63"/>
      <c r="R46" s="72"/>
      <c r="S46" s="61"/>
      <c r="T46" s="73"/>
      <c r="U46" s="62"/>
      <c r="V46" s="62"/>
      <c r="W46" s="62"/>
      <c r="X46" s="93"/>
      <c r="Y46" s="94"/>
      <c r="Z46" s="74"/>
      <c r="AA46" s="75"/>
      <c r="AB46" s="75"/>
      <c r="AC46" s="76"/>
      <c r="AD46" s="77"/>
      <c r="AE46" s="75"/>
      <c r="AF46" s="78"/>
      <c r="AG46" s="79"/>
      <c r="AH46" s="74"/>
      <c r="AI46" s="75"/>
      <c r="AJ46" s="75"/>
      <c r="AK46" s="80">
        <f t="shared" si="5"/>
        <v>0</v>
      </c>
      <c r="AL46" s="74"/>
      <c r="AM46" s="74"/>
      <c r="AN46" s="81" t="str">
        <f t="shared" si="6"/>
        <v/>
      </c>
      <c r="AO46" s="82"/>
      <c r="AP46" s="75"/>
      <c r="AQ46" s="75"/>
      <c r="AR46" s="80">
        <f t="shared" si="7"/>
        <v>0</v>
      </c>
      <c r="AS46" s="74"/>
      <c r="AT46" s="75"/>
      <c r="AU46" s="75"/>
      <c r="AV46" s="75"/>
      <c r="AW46" s="80">
        <f t="shared" si="8"/>
        <v>0</v>
      </c>
      <c r="AX46" s="81" t="str">
        <f t="shared" si="9"/>
        <v/>
      </c>
      <c r="AY46" s="83" t="str">
        <f t="shared" si="10"/>
        <v/>
      </c>
      <c r="AZ46" s="80" t="str">
        <f t="shared" si="11"/>
        <v/>
      </c>
      <c r="BA46" s="84">
        <f t="shared" si="12"/>
        <v>0</v>
      </c>
      <c r="BB46" s="85" t="str">
        <f t="shared" si="13"/>
        <v/>
      </c>
      <c r="BC46" s="86" t="str">
        <f t="shared" si="14"/>
        <v/>
      </c>
      <c r="BD46" s="84">
        <f t="shared" si="15"/>
        <v>0</v>
      </c>
      <c r="BE46" s="87" t="str">
        <f t="shared" si="16"/>
        <v/>
      </c>
      <c r="BF46" s="88" t="str">
        <f t="shared" si="17"/>
        <v/>
      </c>
      <c r="BG46" s="89" t="str">
        <f t="shared" si="18"/>
        <v/>
      </c>
      <c r="BH46" s="90" t="str">
        <f t="shared" si="19"/>
        <v/>
      </c>
      <c r="BI46" s="90" t="str">
        <f t="shared" si="20"/>
        <v/>
      </c>
      <c r="BJ46" s="91">
        <f t="shared" si="21"/>
        <v>0</v>
      </c>
      <c r="BK46" s="92">
        <f t="shared" si="22"/>
        <v>0</v>
      </c>
      <c r="BL46" s="95"/>
    </row>
    <row r="47" spans="1:64">
      <c r="A47" s="61"/>
      <c r="B47" s="62"/>
      <c r="C47" s="63"/>
      <c r="D47" s="64"/>
      <c r="E47" s="64"/>
      <c r="F47" s="65"/>
      <c r="G47" s="66" t="str">
        <f t="shared" si="0"/>
        <v/>
      </c>
      <c r="H47" s="67" t="str">
        <f t="shared" si="1"/>
        <v/>
      </c>
      <c r="I47" s="68" t="str">
        <f t="shared" si="2"/>
        <v/>
      </c>
      <c r="J47" s="69" t="str">
        <f t="shared" si="3"/>
        <v/>
      </c>
      <c r="K47" s="70" t="str">
        <f t="shared" si="4"/>
        <v/>
      </c>
      <c r="L47" s="71"/>
      <c r="M47" s="71"/>
      <c r="N47" s="71"/>
      <c r="O47" s="71"/>
      <c r="P47" s="61"/>
      <c r="Q47" s="63"/>
      <c r="R47" s="72"/>
      <c r="S47" s="61"/>
      <c r="T47" s="73"/>
      <c r="U47" s="62"/>
      <c r="V47" s="62"/>
      <c r="W47" s="62"/>
      <c r="X47" s="93"/>
      <c r="Y47" s="94"/>
      <c r="Z47" s="74"/>
      <c r="AA47" s="75"/>
      <c r="AB47" s="75"/>
      <c r="AC47" s="76"/>
      <c r="AD47" s="77"/>
      <c r="AE47" s="75"/>
      <c r="AF47" s="78"/>
      <c r="AG47" s="79"/>
      <c r="AH47" s="74"/>
      <c r="AI47" s="75"/>
      <c r="AJ47" s="75"/>
      <c r="AK47" s="80">
        <f t="shared" si="5"/>
        <v>0</v>
      </c>
      <c r="AL47" s="74"/>
      <c r="AM47" s="74"/>
      <c r="AN47" s="81" t="str">
        <f t="shared" si="6"/>
        <v/>
      </c>
      <c r="AO47" s="82"/>
      <c r="AP47" s="75"/>
      <c r="AQ47" s="75"/>
      <c r="AR47" s="80">
        <f t="shared" si="7"/>
        <v>0</v>
      </c>
      <c r="AS47" s="74"/>
      <c r="AT47" s="75"/>
      <c r="AU47" s="75"/>
      <c r="AV47" s="75"/>
      <c r="AW47" s="80">
        <f t="shared" si="8"/>
        <v>0</v>
      </c>
      <c r="AX47" s="81" t="str">
        <f t="shared" si="9"/>
        <v/>
      </c>
      <c r="AY47" s="83" t="str">
        <f t="shared" si="10"/>
        <v/>
      </c>
      <c r="AZ47" s="80" t="str">
        <f t="shared" si="11"/>
        <v/>
      </c>
      <c r="BA47" s="84">
        <f t="shared" si="12"/>
        <v>0</v>
      </c>
      <c r="BB47" s="85" t="str">
        <f t="shared" si="13"/>
        <v/>
      </c>
      <c r="BC47" s="86" t="str">
        <f t="shared" si="14"/>
        <v/>
      </c>
      <c r="BD47" s="84">
        <f t="shared" si="15"/>
        <v>0</v>
      </c>
      <c r="BE47" s="87" t="str">
        <f t="shared" si="16"/>
        <v/>
      </c>
      <c r="BF47" s="88" t="str">
        <f t="shared" si="17"/>
        <v/>
      </c>
      <c r="BG47" s="89" t="str">
        <f t="shared" si="18"/>
        <v/>
      </c>
      <c r="BH47" s="90" t="str">
        <f t="shared" si="19"/>
        <v/>
      </c>
      <c r="BI47" s="90" t="str">
        <f t="shared" si="20"/>
        <v/>
      </c>
      <c r="BJ47" s="91">
        <f t="shared" si="21"/>
        <v>0</v>
      </c>
      <c r="BK47" s="92">
        <f t="shared" si="22"/>
        <v>0</v>
      </c>
      <c r="BL47" s="95"/>
    </row>
    <row r="48" spans="1:64">
      <c r="A48" s="61"/>
      <c r="B48" s="62"/>
      <c r="C48" s="63"/>
      <c r="D48" s="64"/>
      <c r="E48" s="64"/>
      <c r="F48" s="65"/>
      <c r="G48" s="66" t="str">
        <f t="shared" si="0"/>
        <v/>
      </c>
      <c r="H48" s="67" t="str">
        <f t="shared" si="1"/>
        <v/>
      </c>
      <c r="I48" s="68" t="str">
        <f t="shared" si="2"/>
        <v/>
      </c>
      <c r="J48" s="69" t="str">
        <f t="shared" si="3"/>
        <v/>
      </c>
      <c r="K48" s="70" t="str">
        <f t="shared" si="4"/>
        <v/>
      </c>
      <c r="L48" s="71"/>
      <c r="M48" s="71"/>
      <c r="N48" s="71"/>
      <c r="O48" s="71"/>
      <c r="P48" s="61"/>
      <c r="Q48" s="63"/>
      <c r="R48" s="72"/>
      <c r="S48" s="61"/>
      <c r="T48" s="73"/>
      <c r="U48" s="62"/>
      <c r="V48" s="62"/>
      <c r="W48" s="62"/>
      <c r="X48" s="93"/>
      <c r="Y48" s="94"/>
      <c r="Z48" s="74"/>
      <c r="AA48" s="75"/>
      <c r="AB48" s="75"/>
      <c r="AC48" s="76"/>
      <c r="AD48" s="77"/>
      <c r="AE48" s="75"/>
      <c r="AF48" s="78"/>
      <c r="AG48" s="79"/>
      <c r="AH48" s="74"/>
      <c r="AI48" s="75"/>
      <c r="AJ48" s="75"/>
      <c r="AK48" s="80">
        <f t="shared" si="5"/>
        <v>0</v>
      </c>
      <c r="AL48" s="74"/>
      <c r="AM48" s="74"/>
      <c r="AN48" s="81" t="str">
        <f t="shared" si="6"/>
        <v/>
      </c>
      <c r="AO48" s="82"/>
      <c r="AP48" s="75"/>
      <c r="AQ48" s="75"/>
      <c r="AR48" s="80">
        <f t="shared" si="7"/>
        <v>0</v>
      </c>
      <c r="AS48" s="74"/>
      <c r="AT48" s="75"/>
      <c r="AU48" s="75"/>
      <c r="AV48" s="75"/>
      <c r="AW48" s="80">
        <f t="shared" si="8"/>
        <v>0</v>
      </c>
      <c r="AX48" s="81" t="str">
        <f t="shared" si="9"/>
        <v/>
      </c>
      <c r="AY48" s="83" t="str">
        <f t="shared" si="10"/>
        <v/>
      </c>
      <c r="AZ48" s="80" t="str">
        <f t="shared" si="11"/>
        <v/>
      </c>
      <c r="BA48" s="84">
        <f t="shared" si="12"/>
        <v>0</v>
      </c>
      <c r="BB48" s="85" t="str">
        <f t="shared" si="13"/>
        <v/>
      </c>
      <c r="BC48" s="86" t="str">
        <f t="shared" si="14"/>
        <v/>
      </c>
      <c r="BD48" s="84">
        <f t="shared" si="15"/>
        <v>0</v>
      </c>
      <c r="BE48" s="87" t="str">
        <f t="shared" si="16"/>
        <v/>
      </c>
      <c r="BF48" s="88" t="str">
        <f t="shared" si="17"/>
        <v/>
      </c>
      <c r="BG48" s="89" t="str">
        <f t="shared" si="18"/>
        <v/>
      </c>
      <c r="BH48" s="90" t="str">
        <f t="shared" si="19"/>
        <v/>
      </c>
      <c r="BI48" s="90" t="str">
        <f t="shared" si="20"/>
        <v/>
      </c>
      <c r="BJ48" s="91">
        <f t="shared" si="21"/>
        <v>0</v>
      </c>
      <c r="BK48" s="92">
        <f t="shared" si="22"/>
        <v>0</v>
      </c>
      <c r="BL48" s="95"/>
    </row>
    <row r="49" spans="1:64">
      <c r="A49" s="61"/>
      <c r="B49" s="62"/>
      <c r="C49" s="63"/>
      <c r="D49" s="64"/>
      <c r="E49" s="64"/>
      <c r="F49" s="65"/>
      <c r="G49" s="66" t="str">
        <f t="shared" si="0"/>
        <v/>
      </c>
      <c r="H49" s="67" t="str">
        <f t="shared" si="1"/>
        <v/>
      </c>
      <c r="I49" s="68" t="str">
        <f t="shared" si="2"/>
        <v/>
      </c>
      <c r="J49" s="69" t="str">
        <f t="shared" si="3"/>
        <v/>
      </c>
      <c r="K49" s="70" t="str">
        <f t="shared" si="4"/>
        <v/>
      </c>
      <c r="L49" s="71"/>
      <c r="M49" s="71"/>
      <c r="N49" s="71"/>
      <c r="O49" s="71"/>
      <c r="P49" s="61"/>
      <c r="Q49" s="63"/>
      <c r="R49" s="72"/>
      <c r="S49" s="61"/>
      <c r="T49" s="73"/>
      <c r="U49" s="62"/>
      <c r="V49" s="62"/>
      <c r="W49" s="62"/>
      <c r="X49" s="93"/>
      <c r="Y49" s="94"/>
      <c r="Z49" s="74"/>
      <c r="AA49" s="75"/>
      <c r="AB49" s="75"/>
      <c r="AC49" s="76"/>
      <c r="AD49" s="77"/>
      <c r="AE49" s="75"/>
      <c r="AF49" s="78"/>
      <c r="AG49" s="79"/>
      <c r="AH49" s="74"/>
      <c r="AI49" s="75"/>
      <c r="AJ49" s="75"/>
      <c r="AK49" s="80">
        <f t="shared" si="5"/>
        <v>0</v>
      </c>
      <c r="AL49" s="74"/>
      <c r="AM49" s="74"/>
      <c r="AN49" s="81" t="str">
        <f t="shared" si="6"/>
        <v/>
      </c>
      <c r="AO49" s="82"/>
      <c r="AP49" s="75"/>
      <c r="AQ49" s="75"/>
      <c r="AR49" s="80">
        <f t="shared" si="7"/>
        <v>0</v>
      </c>
      <c r="AS49" s="74"/>
      <c r="AT49" s="75"/>
      <c r="AU49" s="75"/>
      <c r="AV49" s="75"/>
      <c r="AW49" s="80">
        <f t="shared" si="8"/>
        <v>0</v>
      </c>
      <c r="AX49" s="81" t="str">
        <f t="shared" si="9"/>
        <v/>
      </c>
      <c r="AY49" s="83" t="str">
        <f t="shared" si="10"/>
        <v/>
      </c>
      <c r="AZ49" s="80" t="str">
        <f t="shared" si="11"/>
        <v/>
      </c>
      <c r="BA49" s="84">
        <f t="shared" si="12"/>
        <v>0</v>
      </c>
      <c r="BB49" s="85" t="str">
        <f t="shared" si="13"/>
        <v/>
      </c>
      <c r="BC49" s="86" t="str">
        <f t="shared" si="14"/>
        <v/>
      </c>
      <c r="BD49" s="84">
        <f t="shared" si="15"/>
        <v>0</v>
      </c>
      <c r="BE49" s="87" t="str">
        <f t="shared" si="16"/>
        <v/>
      </c>
      <c r="BF49" s="88" t="str">
        <f t="shared" si="17"/>
        <v/>
      </c>
      <c r="BG49" s="89" t="str">
        <f t="shared" si="18"/>
        <v/>
      </c>
      <c r="BH49" s="90" t="str">
        <f t="shared" si="19"/>
        <v/>
      </c>
      <c r="BI49" s="90" t="str">
        <f t="shared" si="20"/>
        <v/>
      </c>
      <c r="BJ49" s="91">
        <f t="shared" si="21"/>
        <v>0</v>
      </c>
      <c r="BK49" s="92">
        <f t="shared" si="22"/>
        <v>0</v>
      </c>
      <c r="BL49" s="95"/>
    </row>
    <row r="50" spans="1:64">
      <c r="A50" s="61"/>
      <c r="B50" s="62"/>
      <c r="C50" s="63"/>
      <c r="D50" s="64"/>
      <c r="E50" s="64"/>
      <c r="F50" s="65"/>
      <c r="G50" s="66" t="str">
        <f t="shared" si="0"/>
        <v/>
      </c>
      <c r="H50" s="67" t="str">
        <f t="shared" si="1"/>
        <v/>
      </c>
      <c r="I50" s="68" t="str">
        <f t="shared" si="2"/>
        <v/>
      </c>
      <c r="J50" s="69" t="str">
        <f t="shared" si="3"/>
        <v/>
      </c>
      <c r="K50" s="70" t="str">
        <f t="shared" si="4"/>
        <v/>
      </c>
      <c r="L50" s="71"/>
      <c r="M50" s="71"/>
      <c r="N50" s="71"/>
      <c r="O50" s="71"/>
      <c r="P50" s="61"/>
      <c r="Q50" s="63"/>
      <c r="R50" s="72"/>
      <c r="S50" s="61"/>
      <c r="T50" s="73"/>
      <c r="U50" s="62"/>
      <c r="V50" s="62"/>
      <c r="W50" s="62"/>
      <c r="X50" s="93"/>
      <c r="Y50" s="94"/>
      <c r="Z50" s="74"/>
      <c r="AA50" s="75"/>
      <c r="AB50" s="75"/>
      <c r="AC50" s="76"/>
      <c r="AD50" s="77"/>
      <c r="AE50" s="75"/>
      <c r="AF50" s="78"/>
      <c r="AG50" s="79"/>
      <c r="AH50" s="74"/>
      <c r="AI50" s="75"/>
      <c r="AJ50" s="75"/>
      <c r="AK50" s="80">
        <f t="shared" si="5"/>
        <v>0</v>
      </c>
      <c r="AL50" s="74"/>
      <c r="AM50" s="74"/>
      <c r="AN50" s="81" t="str">
        <f t="shared" si="6"/>
        <v/>
      </c>
      <c r="AO50" s="82"/>
      <c r="AP50" s="75"/>
      <c r="AQ50" s="75"/>
      <c r="AR50" s="80">
        <f t="shared" si="7"/>
        <v>0</v>
      </c>
      <c r="AS50" s="74"/>
      <c r="AT50" s="75"/>
      <c r="AU50" s="75"/>
      <c r="AV50" s="75"/>
      <c r="AW50" s="80">
        <f t="shared" si="8"/>
        <v>0</v>
      </c>
      <c r="AX50" s="81" t="str">
        <f t="shared" si="9"/>
        <v/>
      </c>
      <c r="AY50" s="83" t="str">
        <f t="shared" si="10"/>
        <v/>
      </c>
      <c r="AZ50" s="80" t="str">
        <f t="shared" si="11"/>
        <v/>
      </c>
      <c r="BA50" s="84">
        <f t="shared" si="12"/>
        <v>0</v>
      </c>
      <c r="BB50" s="85" t="str">
        <f t="shared" si="13"/>
        <v/>
      </c>
      <c r="BC50" s="86" t="str">
        <f t="shared" si="14"/>
        <v/>
      </c>
      <c r="BD50" s="84">
        <f t="shared" si="15"/>
        <v>0</v>
      </c>
      <c r="BE50" s="87" t="str">
        <f t="shared" si="16"/>
        <v/>
      </c>
      <c r="BF50" s="88" t="str">
        <f t="shared" si="17"/>
        <v/>
      </c>
      <c r="BG50" s="89" t="str">
        <f t="shared" si="18"/>
        <v/>
      </c>
      <c r="BH50" s="90" t="str">
        <f t="shared" si="19"/>
        <v/>
      </c>
      <c r="BI50" s="90" t="str">
        <f t="shared" si="20"/>
        <v/>
      </c>
      <c r="BJ50" s="91">
        <f t="shared" si="21"/>
        <v>0</v>
      </c>
      <c r="BK50" s="92">
        <f t="shared" si="22"/>
        <v>0</v>
      </c>
      <c r="BL50" s="95"/>
    </row>
    <row r="51" spans="1:64">
      <c r="A51" s="61"/>
      <c r="B51" s="62"/>
      <c r="C51" s="63"/>
      <c r="D51" s="64"/>
      <c r="E51" s="64"/>
      <c r="F51" s="65"/>
      <c r="G51" s="66" t="str">
        <f t="shared" si="0"/>
        <v/>
      </c>
      <c r="H51" s="67" t="str">
        <f t="shared" si="1"/>
        <v/>
      </c>
      <c r="I51" s="68" t="str">
        <f t="shared" si="2"/>
        <v/>
      </c>
      <c r="J51" s="69" t="str">
        <f t="shared" si="3"/>
        <v/>
      </c>
      <c r="K51" s="70" t="str">
        <f t="shared" si="4"/>
        <v/>
      </c>
      <c r="L51" s="71"/>
      <c r="M51" s="71"/>
      <c r="N51" s="71"/>
      <c r="O51" s="71"/>
      <c r="P51" s="61"/>
      <c r="Q51" s="63"/>
      <c r="R51" s="72"/>
      <c r="S51" s="61"/>
      <c r="T51" s="73"/>
      <c r="U51" s="62"/>
      <c r="V51" s="62"/>
      <c r="W51" s="62"/>
      <c r="X51" s="93"/>
      <c r="Y51" s="94"/>
      <c r="Z51" s="74"/>
      <c r="AA51" s="75"/>
      <c r="AB51" s="75"/>
      <c r="AC51" s="76"/>
      <c r="AD51" s="77"/>
      <c r="AE51" s="75"/>
      <c r="AF51" s="78"/>
      <c r="AG51" s="79"/>
      <c r="AH51" s="74"/>
      <c r="AI51" s="75"/>
      <c r="AJ51" s="75"/>
      <c r="AK51" s="80">
        <f t="shared" si="5"/>
        <v>0</v>
      </c>
      <c r="AL51" s="74"/>
      <c r="AM51" s="74"/>
      <c r="AN51" s="81" t="str">
        <f t="shared" si="6"/>
        <v/>
      </c>
      <c r="AO51" s="82"/>
      <c r="AP51" s="75"/>
      <c r="AQ51" s="75"/>
      <c r="AR51" s="80">
        <f t="shared" si="7"/>
        <v>0</v>
      </c>
      <c r="AS51" s="74"/>
      <c r="AT51" s="75"/>
      <c r="AU51" s="75"/>
      <c r="AV51" s="75"/>
      <c r="AW51" s="80">
        <f t="shared" si="8"/>
        <v>0</v>
      </c>
      <c r="AX51" s="81" t="str">
        <f t="shared" si="9"/>
        <v/>
      </c>
      <c r="AY51" s="83" t="str">
        <f t="shared" si="10"/>
        <v/>
      </c>
      <c r="AZ51" s="80" t="str">
        <f t="shared" si="11"/>
        <v/>
      </c>
      <c r="BA51" s="84">
        <f t="shared" si="12"/>
        <v>0</v>
      </c>
      <c r="BB51" s="85" t="str">
        <f t="shared" si="13"/>
        <v/>
      </c>
      <c r="BC51" s="86" t="str">
        <f t="shared" si="14"/>
        <v/>
      </c>
      <c r="BD51" s="84">
        <f t="shared" si="15"/>
        <v>0</v>
      </c>
      <c r="BE51" s="87" t="str">
        <f t="shared" si="16"/>
        <v/>
      </c>
      <c r="BF51" s="88" t="str">
        <f t="shared" si="17"/>
        <v/>
      </c>
      <c r="BG51" s="89" t="str">
        <f t="shared" si="18"/>
        <v/>
      </c>
      <c r="BH51" s="90" t="str">
        <f t="shared" si="19"/>
        <v/>
      </c>
      <c r="BI51" s="90" t="str">
        <f t="shared" si="20"/>
        <v/>
      </c>
      <c r="BJ51" s="91">
        <f t="shared" si="21"/>
        <v>0</v>
      </c>
      <c r="BK51" s="92">
        <f t="shared" si="22"/>
        <v>0</v>
      </c>
      <c r="BL51" s="95"/>
    </row>
    <row r="52" spans="1:64">
      <c r="A52" s="61"/>
      <c r="B52" s="62"/>
      <c r="C52" s="63"/>
      <c r="D52" s="64"/>
      <c r="E52" s="64"/>
      <c r="F52" s="65"/>
      <c r="G52" s="66" t="str">
        <f t="shared" si="0"/>
        <v/>
      </c>
      <c r="H52" s="67" t="str">
        <f t="shared" si="1"/>
        <v/>
      </c>
      <c r="I52" s="68" t="str">
        <f t="shared" si="2"/>
        <v/>
      </c>
      <c r="J52" s="69" t="str">
        <f t="shared" si="3"/>
        <v/>
      </c>
      <c r="K52" s="70" t="str">
        <f t="shared" si="4"/>
        <v/>
      </c>
      <c r="L52" s="71"/>
      <c r="M52" s="71"/>
      <c r="N52" s="71"/>
      <c r="O52" s="71"/>
      <c r="P52" s="61"/>
      <c r="Q52" s="63"/>
      <c r="R52" s="72"/>
      <c r="S52" s="61"/>
      <c r="T52" s="73"/>
      <c r="U52" s="62"/>
      <c r="V52" s="62"/>
      <c r="W52" s="62"/>
      <c r="X52" s="93"/>
      <c r="Y52" s="94"/>
      <c r="Z52" s="74"/>
      <c r="AA52" s="75"/>
      <c r="AB52" s="75"/>
      <c r="AC52" s="76"/>
      <c r="AD52" s="77"/>
      <c r="AE52" s="75"/>
      <c r="AF52" s="78"/>
      <c r="AG52" s="79"/>
      <c r="AH52" s="74"/>
      <c r="AI52" s="75"/>
      <c r="AJ52" s="75"/>
      <c r="AK52" s="80">
        <f t="shared" si="5"/>
        <v>0</v>
      </c>
      <c r="AL52" s="74"/>
      <c r="AM52" s="74"/>
      <c r="AN52" s="81" t="str">
        <f t="shared" si="6"/>
        <v/>
      </c>
      <c r="AO52" s="82"/>
      <c r="AP52" s="75"/>
      <c r="AQ52" s="75"/>
      <c r="AR52" s="80">
        <f t="shared" si="7"/>
        <v>0</v>
      </c>
      <c r="AS52" s="74"/>
      <c r="AT52" s="75"/>
      <c r="AU52" s="75"/>
      <c r="AV52" s="75"/>
      <c r="AW52" s="80">
        <f t="shared" si="8"/>
        <v>0</v>
      </c>
      <c r="AX52" s="81" t="str">
        <f t="shared" si="9"/>
        <v/>
      </c>
      <c r="AY52" s="83" t="str">
        <f t="shared" si="10"/>
        <v/>
      </c>
      <c r="AZ52" s="80" t="str">
        <f t="shared" si="11"/>
        <v/>
      </c>
      <c r="BA52" s="84">
        <f t="shared" si="12"/>
        <v>0</v>
      </c>
      <c r="BB52" s="85" t="str">
        <f t="shared" si="13"/>
        <v/>
      </c>
      <c r="BC52" s="86" t="str">
        <f t="shared" si="14"/>
        <v/>
      </c>
      <c r="BD52" s="84">
        <f t="shared" si="15"/>
        <v>0</v>
      </c>
      <c r="BE52" s="87" t="str">
        <f t="shared" si="16"/>
        <v/>
      </c>
      <c r="BF52" s="88" t="str">
        <f t="shared" si="17"/>
        <v/>
      </c>
      <c r="BG52" s="89" t="str">
        <f t="shared" si="18"/>
        <v/>
      </c>
      <c r="BH52" s="90" t="str">
        <f t="shared" si="19"/>
        <v/>
      </c>
      <c r="BI52" s="90" t="str">
        <f t="shared" si="20"/>
        <v/>
      </c>
      <c r="BJ52" s="91">
        <f t="shared" si="21"/>
        <v>0</v>
      </c>
      <c r="BK52" s="92">
        <f t="shared" si="22"/>
        <v>0</v>
      </c>
      <c r="BL52" s="95"/>
    </row>
    <row r="53" spans="1:64">
      <c r="A53" s="61"/>
      <c r="B53" s="62"/>
      <c r="C53" s="63"/>
      <c r="D53" s="64"/>
      <c r="E53" s="64"/>
      <c r="F53" s="65"/>
      <c r="G53" s="66" t="str">
        <f t="shared" si="0"/>
        <v/>
      </c>
      <c r="H53" s="67" t="str">
        <f t="shared" si="1"/>
        <v/>
      </c>
      <c r="I53" s="68" t="str">
        <f t="shared" si="2"/>
        <v/>
      </c>
      <c r="J53" s="69" t="str">
        <f t="shared" si="3"/>
        <v/>
      </c>
      <c r="K53" s="70" t="str">
        <f t="shared" si="4"/>
        <v/>
      </c>
      <c r="L53" s="71"/>
      <c r="M53" s="71"/>
      <c r="N53" s="71"/>
      <c r="O53" s="71"/>
      <c r="P53" s="61"/>
      <c r="Q53" s="63"/>
      <c r="R53" s="72"/>
      <c r="S53" s="61"/>
      <c r="T53" s="73"/>
      <c r="U53" s="62"/>
      <c r="V53" s="62"/>
      <c r="W53" s="62"/>
      <c r="X53" s="93"/>
      <c r="Y53" s="94"/>
      <c r="Z53" s="74"/>
      <c r="AA53" s="75"/>
      <c r="AB53" s="75"/>
      <c r="AC53" s="76"/>
      <c r="AD53" s="77"/>
      <c r="AE53" s="75"/>
      <c r="AF53" s="78"/>
      <c r="AG53" s="79"/>
      <c r="AH53" s="74"/>
      <c r="AI53" s="75"/>
      <c r="AJ53" s="75"/>
      <c r="AK53" s="80">
        <f t="shared" si="5"/>
        <v>0</v>
      </c>
      <c r="AL53" s="74"/>
      <c r="AM53" s="74"/>
      <c r="AN53" s="81" t="str">
        <f t="shared" si="6"/>
        <v/>
      </c>
      <c r="AO53" s="82"/>
      <c r="AP53" s="75"/>
      <c r="AQ53" s="75"/>
      <c r="AR53" s="80">
        <f t="shared" si="7"/>
        <v>0</v>
      </c>
      <c r="AS53" s="74"/>
      <c r="AT53" s="75"/>
      <c r="AU53" s="75"/>
      <c r="AV53" s="75"/>
      <c r="AW53" s="80">
        <f t="shared" si="8"/>
        <v>0</v>
      </c>
      <c r="AX53" s="81" t="str">
        <f t="shared" si="9"/>
        <v/>
      </c>
      <c r="AY53" s="83" t="str">
        <f t="shared" si="10"/>
        <v/>
      </c>
      <c r="AZ53" s="80" t="str">
        <f t="shared" si="11"/>
        <v/>
      </c>
      <c r="BA53" s="84">
        <f t="shared" si="12"/>
        <v>0</v>
      </c>
      <c r="BB53" s="85" t="str">
        <f t="shared" si="13"/>
        <v/>
      </c>
      <c r="BC53" s="86" t="str">
        <f t="shared" si="14"/>
        <v/>
      </c>
      <c r="BD53" s="84">
        <f t="shared" si="15"/>
        <v>0</v>
      </c>
      <c r="BE53" s="87" t="str">
        <f t="shared" si="16"/>
        <v/>
      </c>
      <c r="BF53" s="88" t="str">
        <f t="shared" si="17"/>
        <v/>
      </c>
      <c r="BG53" s="89" t="str">
        <f t="shared" si="18"/>
        <v/>
      </c>
      <c r="BH53" s="90" t="str">
        <f t="shared" si="19"/>
        <v/>
      </c>
      <c r="BI53" s="90" t="str">
        <f t="shared" si="20"/>
        <v/>
      </c>
      <c r="BJ53" s="91">
        <f t="shared" si="21"/>
        <v>0</v>
      </c>
      <c r="BK53" s="92">
        <f t="shared" si="22"/>
        <v>0</v>
      </c>
      <c r="BL53" s="95"/>
    </row>
    <row r="54" spans="1:64">
      <c r="A54" s="61"/>
      <c r="B54" s="62"/>
      <c r="C54" s="63"/>
      <c r="D54" s="64"/>
      <c r="E54" s="64"/>
      <c r="F54" s="65"/>
      <c r="G54" s="66" t="str">
        <f t="shared" si="0"/>
        <v/>
      </c>
      <c r="H54" s="67" t="str">
        <f t="shared" si="1"/>
        <v/>
      </c>
      <c r="I54" s="68" t="str">
        <f t="shared" si="2"/>
        <v/>
      </c>
      <c r="J54" s="69" t="str">
        <f t="shared" si="3"/>
        <v/>
      </c>
      <c r="K54" s="70" t="str">
        <f t="shared" si="4"/>
        <v/>
      </c>
      <c r="L54" s="71"/>
      <c r="M54" s="71"/>
      <c r="N54" s="71"/>
      <c r="O54" s="71"/>
      <c r="P54" s="61"/>
      <c r="Q54" s="63"/>
      <c r="R54" s="72"/>
      <c r="S54" s="61"/>
      <c r="T54" s="73"/>
      <c r="U54" s="62"/>
      <c r="V54" s="62"/>
      <c r="W54" s="62"/>
      <c r="X54" s="93"/>
      <c r="Y54" s="94"/>
      <c r="Z54" s="74"/>
      <c r="AA54" s="75"/>
      <c r="AB54" s="75"/>
      <c r="AC54" s="76"/>
      <c r="AD54" s="77"/>
      <c r="AE54" s="75"/>
      <c r="AF54" s="78"/>
      <c r="AG54" s="79"/>
      <c r="AH54" s="74"/>
      <c r="AI54" s="75"/>
      <c r="AJ54" s="75"/>
      <c r="AK54" s="80">
        <f t="shared" si="5"/>
        <v>0</v>
      </c>
      <c r="AL54" s="74"/>
      <c r="AM54" s="74"/>
      <c r="AN54" s="81" t="str">
        <f t="shared" si="6"/>
        <v/>
      </c>
      <c r="AO54" s="82"/>
      <c r="AP54" s="75"/>
      <c r="AQ54" s="75"/>
      <c r="AR54" s="80">
        <f t="shared" si="7"/>
        <v>0</v>
      </c>
      <c r="AS54" s="74"/>
      <c r="AT54" s="75"/>
      <c r="AU54" s="75"/>
      <c r="AV54" s="75"/>
      <c r="AW54" s="80">
        <f t="shared" si="8"/>
        <v>0</v>
      </c>
      <c r="AX54" s="81" t="str">
        <f t="shared" si="9"/>
        <v/>
      </c>
      <c r="AY54" s="83" t="str">
        <f t="shared" si="10"/>
        <v/>
      </c>
      <c r="AZ54" s="80" t="str">
        <f t="shared" si="11"/>
        <v/>
      </c>
      <c r="BA54" s="84">
        <f t="shared" si="12"/>
        <v>0</v>
      </c>
      <c r="BB54" s="85" t="str">
        <f t="shared" si="13"/>
        <v/>
      </c>
      <c r="BC54" s="86" t="str">
        <f t="shared" si="14"/>
        <v/>
      </c>
      <c r="BD54" s="84">
        <f t="shared" si="15"/>
        <v>0</v>
      </c>
      <c r="BE54" s="87" t="str">
        <f t="shared" si="16"/>
        <v/>
      </c>
      <c r="BF54" s="88" t="str">
        <f t="shared" si="17"/>
        <v/>
      </c>
      <c r="BG54" s="89" t="str">
        <f t="shared" si="18"/>
        <v/>
      </c>
      <c r="BH54" s="90" t="str">
        <f t="shared" si="19"/>
        <v/>
      </c>
      <c r="BI54" s="90" t="str">
        <f t="shared" si="20"/>
        <v/>
      </c>
      <c r="BJ54" s="91">
        <f t="shared" si="21"/>
        <v>0</v>
      </c>
      <c r="BK54" s="92">
        <f t="shared" si="22"/>
        <v>0</v>
      </c>
      <c r="BL54" s="95"/>
    </row>
    <row r="55" spans="1:64">
      <c r="A55" s="61"/>
      <c r="B55" s="62"/>
      <c r="C55" s="63"/>
      <c r="D55" s="64"/>
      <c r="E55" s="64"/>
      <c r="F55" s="65"/>
      <c r="G55" s="66" t="str">
        <f t="shared" si="0"/>
        <v/>
      </c>
      <c r="H55" s="67" t="str">
        <f t="shared" si="1"/>
        <v/>
      </c>
      <c r="I55" s="68" t="str">
        <f t="shared" si="2"/>
        <v/>
      </c>
      <c r="J55" s="69" t="str">
        <f t="shared" si="3"/>
        <v/>
      </c>
      <c r="K55" s="70" t="str">
        <f t="shared" si="4"/>
        <v/>
      </c>
      <c r="L55" s="71"/>
      <c r="M55" s="71"/>
      <c r="N55" s="71"/>
      <c r="O55" s="71"/>
      <c r="P55" s="61"/>
      <c r="Q55" s="63"/>
      <c r="R55" s="72"/>
      <c r="S55" s="61"/>
      <c r="T55" s="73"/>
      <c r="U55" s="62"/>
      <c r="V55" s="62"/>
      <c r="W55" s="62"/>
      <c r="X55" s="93"/>
      <c r="Y55" s="94"/>
      <c r="Z55" s="74"/>
      <c r="AA55" s="75"/>
      <c r="AB55" s="75"/>
      <c r="AC55" s="76"/>
      <c r="AD55" s="77"/>
      <c r="AE55" s="75"/>
      <c r="AF55" s="78"/>
      <c r="AG55" s="79"/>
      <c r="AH55" s="74"/>
      <c r="AI55" s="75"/>
      <c r="AJ55" s="75"/>
      <c r="AK55" s="80">
        <f t="shared" si="5"/>
        <v>0</v>
      </c>
      <c r="AL55" s="74"/>
      <c r="AM55" s="74"/>
      <c r="AN55" s="81" t="str">
        <f t="shared" si="6"/>
        <v/>
      </c>
      <c r="AO55" s="82"/>
      <c r="AP55" s="75"/>
      <c r="AQ55" s="75"/>
      <c r="AR55" s="80">
        <f t="shared" si="7"/>
        <v>0</v>
      </c>
      <c r="AS55" s="74"/>
      <c r="AT55" s="75"/>
      <c r="AU55" s="75"/>
      <c r="AV55" s="75"/>
      <c r="AW55" s="80">
        <f t="shared" si="8"/>
        <v>0</v>
      </c>
      <c r="AX55" s="81" t="str">
        <f t="shared" si="9"/>
        <v/>
      </c>
      <c r="AY55" s="83" t="str">
        <f t="shared" si="10"/>
        <v/>
      </c>
      <c r="AZ55" s="80" t="str">
        <f t="shared" si="11"/>
        <v/>
      </c>
      <c r="BA55" s="84">
        <f t="shared" si="12"/>
        <v>0</v>
      </c>
      <c r="BB55" s="85" t="str">
        <f t="shared" si="13"/>
        <v/>
      </c>
      <c r="BC55" s="86" t="str">
        <f t="shared" si="14"/>
        <v/>
      </c>
      <c r="BD55" s="84">
        <f t="shared" si="15"/>
        <v>0</v>
      </c>
      <c r="BE55" s="87" t="str">
        <f t="shared" si="16"/>
        <v/>
      </c>
      <c r="BF55" s="88" t="str">
        <f t="shared" si="17"/>
        <v/>
      </c>
      <c r="BG55" s="89" t="str">
        <f t="shared" si="18"/>
        <v/>
      </c>
      <c r="BH55" s="90" t="str">
        <f t="shared" si="19"/>
        <v/>
      </c>
      <c r="BI55" s="90" t="str">
        <f t="shared" si="20"/>
        <v/>
      </c>
      <c r="BJ55" s="91">
        <f t="shared" si="21"/>
        <v>0</v>
      </c>
      <c r="BK55" s="92">
        <f t="shared" si="22"/>
        <v>0</v>
      </c>
      <c r="BL55" s="95"/>
    </row>
    <row r="56" spans="1:64">
      <c r="A56" s="61"/>
      <c r="B56" s="62"/>
      <c r="C56" s="63"/>
      <c r="D56" s="64"/>
      <c r="E56" s="64"/>
      <c r="F56" s="65"/>
      <c r="G56" s="66" t="str">
        <f t="shared" si="0"/>
        <v/>
      </c>
      <c r="H56" s="67" t="str">
        <f t="shared" si="1"/>
        <v/>
      </c>
      <c r="I56" s="68" t="str">
        <f t="shared" si="2"/>
        <v/>
      </c>
      <c r="J56" s="69" t="str">
        <f t="shared" si="3"/>
        <v/>
      </c>
      <c r="K56" s="70" t="str">
        <f t="shared" si="4"/>
        <v/>
      </c>
      <c r="L56" s="71"/>
      <c r="M56" s="71"/>
      <c r="N56" s="71"/>
      <c r="O56" s="71"/>
      <c r="P56" s="61"/>
      <c r="Q56" s="63"/>
      <c r="R56" s="72"/>
      <c r="S56" s="61"/>
      <c r="T56" s="73"/>
      <c r="U56" s="62"/>
      <c r="V56" s="62"/>
      <c r="W56" s="62"/>
      <c r="X56" s="93"/>
      <c r="Y56" s="94"/>
      <c r="Z56" s="74"/>
      <c r="AA56" s="75"/>
      <c r="AB56" s="75"/>
      <c r="AC56" s="76"/>
      <c r="AD56" s="77"/>
      <c r="AE56" s="75"/>
      <c r="AF56" s="78"/>
      <c r="AG56" s="79"/>
      <c r="AH56" s="74"/>
      <c r="AI56" s="75"/>
      <c r="AJ56" s="75"/>
      <c r="AK56" s="80">
        <f t="shared" si="5"/>
        <v>0</v>
      </c>
      <c r="AL56" s="74"/>
      <c r="AM56" s="74"/>
      <c r="AN56" s="81" t="str">
        <f t="shared" si="6"/>
        <v/>
      </c>
      <c r="AO56" s="82"/>
      <c r="AP56" s="75"/>
      <c r="AQ56" s="75"/>
      <c r="AR56" s="80">
        <f t="shared" si="7"/>
        <v>0</v>
      </c>
      <c r="AS56" s="74"/>
      <c r="AT56" s="75"/>
      <c r="AU56" s="75"/>
      <c r="AV56" s="75"/>
      <c r="AW56" s="80">
        <f t="shared" si="8"/>
        <v>0</v>
      </c>
      <c r="AX56" s="81" t="str">
        <f t="shared" si="9"/>
        <v/>
      </c>
      <c r="AY56" s="83" t="str">
        <f t="shared" si="10"/>
        <v/>
      </c>
      <c r="AZ56" s="80" t="str">
        <f t="shared" si="11"/>
        <v/>
      </c>
      <c r="BA56" s="84">
        <f t="shared" si="12"/>
        <v>0</v>
      </c>
      <c r="BB56" s="85" t="str">
        <f t="shared" si="13"/>
        <v/>
      </c>
      <c r="BC56" s="86" t="str">
        <f t="shared" si="14"/>
        <v/>
      </c>
      <c r="BD56" s="84">
        <f t="shared" si="15"/>
        <v>0</v>
      </c>
      <c r="BE56" s="87" t="str">
        <f t="shared" si="16"/>
        <v/>
      </c>
      <c r="BF56" s="88" t="str">
        <f t="shared" si="17"/>
        <v/>
      </c>
      <c r="BG56" s="89" t="str">
        <f t="shared" si="18"/>
        <v/>
      </c>
      <c r="BH56" s="90" t="str">
        <f t="shared" si="19"/>
        <v/>
      </c>
      <c r="BI56" s="90" t="str">
        <f t="shared" si="20"/>
        <v/>
      </c>
      <c r="BJ56" s="91">
        <f t="shared" si="21"/>
        <v>0</v>
      </c>
      <c r="BK56" s="92">
        <f t="shared" si="22"/>
        <v>0</v>
      </c>
      <c r="BL56" s="95"/>
    </row>
    <row r="57" spans="1:64">
      <c r="A57" s="61"/>
      <c r="B57" s="62"/>
      <c r="C57" s="63"/>
      <c r="D57" s="64"/>
      <c r="E57" s="64"/>
      <c r="F57" s="65"/>
      <c r="G57" s="66" t="str">
        <f t="shared" si="0"/>
        <v/>
      </c>
      <c r="H57" s="67" t="str">
        <f t="shared" si="1"/>
        <v/>
      </c>
      <c r="I57" s="68" t="str">
        <f t="shared" si="2"/>
        <v/>
      </c>
      <c r="J57" s="69" t="str">
        <f t="shared" si="3"/>
        <v/>
      </c>
      <c r="K57" s="70" t="str">
        <f t="shared" si="4"/>
        <v/>
      </c>
      <c r="L57" s="71"/>
      <c r="M57" s="71"/>
      <c r="N57" s="71"/>
      <c r="O57" s="71"/>
      <c r="P57" s="61"/>
      <c r="Q57" s="63"/>
      <c r="R57" s="72"/>
      <c r="S57" s="61"/>
      <c r="T57" s="73"/>
      <c r="U57" s="62"/>
      <c r="V57" s="62"/>
      <c r="W57" s="62"/>
      <c r="X57" s="93"/>
      <c r="Y57" s="94"/>
      <c r="Z57" s="74"/>
      <c r="AA57" s="75"/>
      <c r="AB57" s="75"/>
      <c r="AC57" s="76"/>
      <c r="AD57" s="77"/>
      <c r="AE57" s="75"/>
      <c r="AF57" s="78"/>
      <c r="AG57" s="79"/>
      <c r="AH57" s="74"/>
      <c r="AI57" s="75"/>
      <c r="AJ57" s="75"/>
      <c r="AK57" s="80">
        <f t="shared" si="5"/>
        <v>0</v>
      </c>
      <c r="AL57" s="74"/>
      <c r="AM57" s="74"/>
      <c r="AN57" s="81" t="str">
        <f t="shared" si="6"/>
        <v/>
      </c>
      <c r="AO57" s="82"/>
      <c r="AP57" s="75"/>
      <c r="AQ57" s="75"/>
      <c r="AR57" s="80">
        <f t="shared" si="7"/>
        <v>0</v>
      </c>
      <c r="AS57" s="74"/>
      <c r="AT57" s="75"/>
      <c r="AU57" s="75"/>
      <c r="AV57" s="75"/>
      <c r="AW57" s="80">
        <f t="shared" si="8"/>
        <v>0</v>
      </c>
      <c r="AX57" s="81" t="str">
        <f t="shared" si="9"/>
        <v/>
      </c>
      <c r="AY57" s="83" t="str">
        <f t="shared" si="10"/>
        <v/>
      </c>
      <c r="AZ57" s="80" t="str">
        <f t="shared" si="11"/>
        <v/>
      </c>
      <c r="BA57" s="84">
        <f t="shared" si="12"/>
        <v>0</v>
      </c>
      <c r="BB57" s="85" t="str">
        <f t="shared" si="13"/>
        <v/>
      </c>
      <c r="BC57" s="86" t="str">
        <f t="shared" si="14"/>
        <v/>
      </c>
      <c r="BD57" s="84">
        <f t="shared" si="15"/>
        <v>0</v>
      </c>
      <c r="BE57" s="87" t="str">
        <f t="shared" si="16"/>
        <v/>
      </c>
      <c r="BF57" s="88" t="str">
        <f t="shared" si="17"/>
        <v/>
      </c>
      <c r="BG57" s="89" t="str">
        <f t="shared" si="18"/>
        <v/>
      </c>
      <c r="BH57" s="90" t="str">
        <f t="shared" si="19"/>
        <v/>
      </c>
      <c r="BI57" s="90" t="str">
        <f t="shared" si="20"/>
        <v/>
      </c>
      <c r="BJ57" s="91">
        <f t="shared" si="21"/>
        <v>0</v>
      </c>
      <c r="BK57" s="92">
        <f t="shared" si="22"/>
        <v>0</v>
      </c>
      <c r="BL57" s="95"/>
    </row>
    <row r="58" spans="1:64">
      <c r="A58" s="61"/>
      <c r="B58" s="62"/>
      <c r="C58" s="63"/>
      <c r="D58" s="64"/>
      <c r="E58" s="64"/>
      <c r="F58" s="65"/>
      <c r="G58" s="66" t="str">
        <f t="shared" si="0"/>
        <v/>
      </c>
      <c r="H58" s="67" t="str">
        <f t="shared" si="1"/>
        <v/>
      </c>
      <c r="I58" s="68" t="str">
        <f t="shared" si="2"/>
        <v/>
      </c>
      <c r="J58" s="69" t="str">
        <f t="shared" si="3"/>
        <v/>
      </c>
      <c r="K58" s="70" t="str">
        <f t="shared" si="4"/>
        <v/>
      </c>
      <c r="L58" s="71"/>
      <c r="M58" s="71"/>
      <c r="N58" s="71"/>
      <c r="O58" s="71"/>
      <c r="P58" s="61"/>
      <c r="Q58" s="63"/>
      <c r="R58" s="72"/>
      <c r="S58" s="61"/>
      <c r="T58" s="73"/>
      <c r="U58" s="62"/>
      <c r="V58" s="62"/>
      <c r="W58" s="62"/>
      <c r="X58" s="93"/>
      <c r="Y58" s="94"/>
      <c r="Z58" s="74"/>
      <c r="AA58" s="75"/>
      <c r="AB58" s="75"/>
      <c r="AC58" s="76"/>
      <c r="AD58" s="77"/>
      <c r="AE58" s="75"/>
      <c r="AF58" s="78"/>
      <c r="AG58" s="79"/>
      <c r="AH58" s="74"/>
      <c r="AI58" s="75"/>
      <c r="AJ58" s="75"/>
      <c r="AK58" s="80">
        <f t="shared" si="5"/>
        <v>0</v>
      </c>
      <c r="AL58" s="74"/>
      <c r="AM58" s="74"/>
      <c r="AN58" s="81" t="str">
        <f t="shared" si="6"/>
        <v/>
      </c>
      <c r="AO58" s="82"/>
      <c r="AP58" s="75"/>
      <c r="AQ58" s="75"/>
      <c r="AR58" s="80">
        <f t="shared" si="7"/>
        <v>0</v>
      </c>
      <c r="AS58" s="74"/>
      <c r="AT58" s="75"/>
      <c r="AU58" s="75"/>
      <c r="AV58" s="75"/>
      <c r="AW58" s="80">
        <f t="shared" si="8"/>
        <v>0</v>
      </c>
      <c r="AX58" s="81" t="str">
        <f t="shared" si="9"/>
        <v/>
      </c>
      <c r="AY58" s="83" t="str">
        <f t="shared" si="10"/>
        <v/>
      </c>
      <c r="AZ58" s="80" t="str">
        <f t="shared" si="11"/>
        <v/>
      </c>
      <c r="BA58" s="84">
        <f t="shared" si="12"/>
        <v>0</v>
      </c>
      <c r="BB58" s="85" t="str">
        <f t="shared" si="13"/>
        <v/>
      </c>
      <c r="BC58" s="86" t="str">
        <f t="shared" si="14"/>
        <v/>
      </c>
      <c r="BD58" s="84">
        <f t="shared" si="15"/>
        <v>0</v>
      </c>
      <c r="BE58" s="87" t="str">
        <f t="shared" si="16"/>
        <v/>
      </c>
      <c r="BF58" s="88" t="str">
        <f t="shared" si="17"/>
        <v/>
      </c>
      <c r="BG58" s="89" t="str">
        <f t="shared" si="18"/>
        <v/>
      </c>
      <c r="BH58" s="90" t="str">
        <f t="shared" si="19"/>
        <v/>
      </c>
      <c r="BI58" s="90" t="str">
        <f t="shared" si="20"/>
        <v/>
      </c>
      <c r="BJ58" s="91">
        <f t="shared" si="21"/>
        <v>0</v>
      </c>
      <c r="BK58" s="92">
        <f t="shared" si="22"/>
        <v>0</v>
      </c>
      <c r="BL58" s="95"/>
    </row>
    <row r="59" spans="1:64">
      <c r="A59" s="61"/>
      <c r="B59" s="62"/>
      <c r="C59" s="63"/>
      <c r="D59" s="64"/>
      <c r="E59" s="64"/>
      <c r="F59" s="65"/>
      <c r="G59" s="66" t="str">
        <f t="shared" si="0"/>
        <v/>
      </c>
      <c r="H59" s="67" t="str">
        <f t="shared" si="1"/>
        <v/>
      </c>
      <c r="I59" s="68" t="str">
        <f t="shared" si="2"/>
        <v/>
      </c>
      <c r="J59" s="69" t="str">
        <f t="shared" si="3"/>
        <v/>
      </c>
      <c r="K59" s="70" t="str">
        <f t="shared" si="4"/>
        <v/>
      </c>
      <c r="L59" s="71"/>
      <c r="M59" s="71"/>
      <c r="N59" s="71"/>
      <c r="O59" s="71"/>
      <c r="P59" s="61"/>
      <c r="Q59" s="63"/>
      <c r="R59" s="72"/>
      <c r="S59" s="61"/>
      <c r="T59" s="73"/>
      <c r="U59" s="62"/>
      <c r="V59" s="62"/>
      <c r="W59" s="62"/>
      <c r="X59" s="93"/>
      <c r="Y59" s="94"/>
      <c r="Z59" s="74"/>
      <c r="AA59" s="75"/>
      <c r="AB59" s="75"/>
      <c r="AC59" s="76"/>
      <c r="AD59" s="77"/>
      <c r="AE59" s="75"/>
      <c r="AF59" s="78"/>
      <c r="AG59" s="79"/>
      <c r="AH59" s="74"/>
      <c r="AI59" s="75"/>
      <c r="AJ59" s="75"/>
      <c r="AK59" s="80">
        <f t="shared" si="5"/>
        <v>0</v>
      </c>
      <c r="AL59" s="74"/>
      <c r="AM59" s="74"/>
      <c r="AN59" s="81" t="str">
        <f t="shared" si="6"/>
        <v/>
      </c>
      <c r="AO59" s="82"/>
      <c r="AP59" s="75"/>
      <c r="AQ59" s="75"/>
      <c r="AR59" s="80">
        <f t="shared" si="7"/>
        <v>0</v>
      </c>
      <c r="AS59" s="74"/>
      <c r="AT59" s="75"/>
      <c r="AU59" s="75"/>
      <c r="AV59" s="75"/>
      <c r="AW59" s="80">
        <f t="shared" si="8"/>
        <v>0</v>
      </c>
      <c r="AX59" s="81" t="str">
        <f t="shared" si="9"/>
        <v/>
      </c>
      <c r="AY59" s="83" t="str">
        <f t="shared" si="10"/>
        <v/>
      </c>
      <c r="AZ59" s="80" t="str">
        <f t="shared" si="11"/>
        <v/>
      </c>
      <c r="BA59" s="84">
        <f t="shared" si="12"/>
        <v>0</v>
      </c>
      <c r="BB59" s="85" t="str">
        <f t="shared" si="13"/>
        <v/>
      </c>
      <c r="BC59" s="86" t="str">
        <f t="shared" si="14"/>
        <v/>
      </c>
      <c r="BD59" s="84">
        <f t="shared" si="15"/>
        <v>0</v>
      </c>
      <c r="BE59" s="87" t="str">
        <f t="shared" si="16"/>
        <v/>
      </c>
      <c r="BF59" s="88" t="str">
        <f t="shared" si="17"/>
        <v/>
      </c>
      <c r="BG59" s="89" t="str">
        <f t="shared" si="18"/>
        <v/>
      </c>
      <c r="BH59" s="90" t="str">
        <f t="shared" si="19"/>
        <v/>
      </c>
      <c r="BI59" s="90" t="str">
        <f t="shared" si="20"/>
        <v/>
      </c>
      <c r="BJ59" s="91">
        <f t="shared" si="21"/>
        <v>0</v>
      </c>
      <c r="BK59" s="92">
        <f t="shared" si="22"/>
        <v>0</v>
      </c>
      <c r="BL59" s="95"/>
    </row>
    <row r="60" spans="1:64">
      <c r="A60" s="61"/>
      <c r="B60" s="62"/>
      <c r="C60" s="63"/>
      <c r="D60" s="64"/>
      <c r="E60" s="64"/>
      <c r="F60" s="65"/>
      <c r="G60" s="66" t="str">
        <f t="shared" si="0"/>
        <v/>
      </c>
      <c r="H60" s="67" t="str">
        <f t="shared" si="1"/>
        <v/>
      </c>
      <c r="I60" s="68" t="str">
        <f t="shared" si="2"/>
        <v/>
      </c>
      <c r="J60" s="69" t="str">
        <f t="shared" si="3"/>
        <v/>
      </c>
      <c r="K60" s="70" t="str">
        <f t="shared" si="4"/>
        <v/>
      </c>
      <c r="L60" s="71"/>
      <c r="M60" s="71"/>
      <c r="N60" s="71"/>
      <c r="O60" s="71"/>
      <c r="P60" s="61"/>
      <c r="Q60" s="63"/>
      <c r="R60" s="72"/>
      <c r="S60" s="61"/>
      <c r="T60" s="73"/>
      <c r="U60" s="62"/>
      <c r="V60" s="62"/>
      <c r="W60" s="62"/>
      <c r="X60" s="93"/>
      <c r="Y60" s="94"/>
      <c r="Z60" s="74"/>
      <c r="AA60" s="75"/>
      <c r="AB60" s="75"/>
      <c r="AC60" s="76"/>
      <c r="AD60" s="77"/>
      <c r="AE60" s="75"/>
      <c r="AF60" s="78"/>
      <c r="AG60" s="79"/>
      <c r="AH60" s="74"/>
      <c r="AI60" s="75"/>
      <c r="AJ60" s="75"/>
      <c r="AK60" s="80">
        <f t="shared" si="5"/>
        <v>0</v>
      </c>
      <c r="AL60" s="74"/>
      <c r="AM60" s="74"/>
      <c r="AN60" s="81" t="str">
        <f t="shared" si="6"/>
        <v/>
      </c>
      <c r="AO60" s="82"/>
      <c r="AP60" s="75"/>
      <c r="AQ60" s="75"/>
      <c r="AR60" s="80">
        <f t="shared" si="7"/>
        <v>0</v>
      </c>
      <c r="AS60" s="74"/>
      <c r="AT60" s="75"/>
      <c r="AU60" s="75"/>
      <c r="AV60" s="75"/>
      <c r="AW60" s="80">
        <f t="shared" si="8"/>
        <v>0</v>
      </c>
      <c r="AX60" s="81" t="str">
        <f t="shared" si="9"/>
        <v/>
      </c>
      <c r="AY60" s="83" t="str">
        <f t="shared" si="10"/>
        <v/>
      </c>
      <c r="AZ60" s="80" t="str">
        <f t="shared" si="11"/>
        <v/>
      </c>
      <c r="BA60" s="84">
        <f t="shared" si="12"/>
        <v>0</v>
      </c>
      <c r="BB60" s="85" t="str">
        <f t="shared" si="13"/>
        <v/>
      </c>
      <c r="BC60" s="86" t="str">
        <f t="shared" si="14"/>
        <v/>
      </c>
      <c r="BD60" s="84">
        <f t="shared" si="15"/>
        <v>0</v>
      </c>
      <c r="BE60" s="87" t="str">
        <f t="shared" si="16"/>
        <v/>
      </c>
      <c r="BF60" s="88" t="str">
        <f t="shared" si="17"/>
        <v/>
      </c>
      <c r="BG60" s="89" t="str">
        <f t="shared" si="18"/>
        <v/>
      </c>
      <c r="BH60" s="90" t="str">
        <f t="shared" si="19"/>
        <v/>
      </c>
      <c r="BI60" s="90" t="str">
        <f t="shared" si="20"/>
        <v/>
      </c>
      <c r="BJ60" s="91">
        <f t="shared" si="21"/>
        <v>0</v>
      </c>
      <c r="BK60" s="92">
        <f t="shared" si="22"/>
        <v>0</v>
      </c>
      <c r="BL60" s="95"/>
    </row>
    <row r="61" spans="1:64">
      <c r="A61" s="61"/>
      <c r="B61" s="62"/>
      <c r="C61" s="63"/>
      <c r="D61" s="64"/>
      <c r="E61" s="64"/>
      <c r="F61" s="65"/>
      <c r="G61" s="66" t="str">
        <f t="shared" si="0"/>
        <v/>
      </c>
      <c r="H61" s="67" t="str">
        <f t="shared" si="1"/>
        <v/>
      </c>
      <c r="I61" s="68" t="str">
        <f t="shared" si="2"/>
        <v/>
      </c>
      <c r="J61" s="69" t="str">
        <f t="shared" si="3"/>
        <v/>
      </c>
      <c r="K61" s="70" t="str">
        <f t="shared" si="4"/>
        <v/>
      </c>
      <c r="L61" s="71"/>
      <c r="M61" s="71"/>
      <c r="N61" s="71"/>
      <c r="O61" s="71"/>
      <c r="P61" s="61"/>
      <c r="Q61" s="63"/>
      <c r="R61" s="72"/>
      <c r="S61" s="61"/>
      <c r="T61" s="73"/>
      <c r="U61" s="62"/>
      <c r="V61" s="62"/>
      <c r="W61" s="62"/>
      <c r="X61" s="93"/>
      <c r="Y61" s="94"/>
      <c r="Z61" s="74"/>
      <c r="AA61" s="75"/>
      <c r="AB61" s="75"/>
      <c r="AC61" s="76"/>
      <c r="AD61" s="77"/>
      <c r="AE61" s="75"/>
      <c r="AF61" s="78"/>
      <c r="AG61" s="79"/>
      <c r="AH61" s="74"/>
      <c r="AI61" s="75"/>
      <c r="AJ61" s="75"/>
      <c r="AK61" s="80">
        <f t="shared" si="5"/>
        <v>0</v>
      </c>
      <c r="AL61" s="74"/>
      <c r="AM61" s="74"/>
      <c r="AN61" s="81" t="str">
        <f t="shared" si="6"/>
        <v/>
      </c>
      <c r="AO61" s="82"/>
      <c r="AP61" s="75"/>
      <c r="AQ61" s="75"/>
      <c r="AR61" s="80">
        <f t="shared" si="7"/>
        <v>0</v>
      </c>
      <c r="AS61" s="74"/>
      <c r="AT61" s="75"/>
      <c r="AU61" s="75"/>
      <c r="AV61" s="75"/>
      <c r="AW61" s="80">
        <f t="shared" si="8"/>
        <v>0</v>
      </c>
      <c r="AX61" s="81" t="str">
        <f t="shared" si="9"/>
        <v/>
      </c>
      <c r="AY61" s="83" t="str">
        <f t="shared" si="10"/>
        <v/>
      </c>
      <c r="AZ61" s="80" t="str">
        <f t="shared" si="11"/>
        <v/>
      </c>
      <c r="BA61" s="84">
        <f t="shared" si="12"/>
        <v>0</v>
      </c>
      <c r="BB61" s="85" t="str">
        <f t="shared" si="13"/>
        <v/>
      </c>
      <c r="BC61" s="86" t="str">
        <f t="shared" si="14"/>
        <v/>
      </c>
      <c r="BD61" s="84">
        <f t="shared" si="15"/>
        <v>0</v>
      </c>
      <c r="BE61" s="87" t="str">
        <f t="shared" si="16"/>
        <v/>
      </c>
      <c r="BF61" s="88" t="str">
        <f t="shared" si="17"/>
        <v/>
      </c>
      <c r="BG61" s="89" t="str">
        <f t="shared" si="18"/>
        <v/>
      </c>
      <c r="BH61" s="90" t="str">
        <f t="shared" si="19"/>
        <v/>
      </c>
      <c r="BI61" s="90" t="str">
        <f t="shared" si="20"/>
        <v/>
      </c>
      <c r="BJ61" s="91">
        <f t="shared" si="21"/>
        <v>0</v>
      </c>
      <c r="BK61" s="92">
        <f t="shared" si="22"/>
        <v>0</v>
      </c>
      <c r="BL61" s="95"/>
    </row>
    <row r="62" spans="1:64">
      <c r="A62" s="61"/>
      <c r="B62" s="62"/>
      <c r="C62" s="63"/>
      <c r="D62" s="64"/>
      <c r="E62" s="64"/>
      <c r="F62" s="65"/>
      <c r="G62" s="66" t="str">
        <f t="shared" si="0"/>
        <v/>
      </c>
      <c r="H62" s="67" t="str">
        <f t="shared" si="1"/>
        <v/>
      </c>
      <c r="I62" s="68" t="str">
        <f t="shared" si="2"/>
        <v/>
      </c>
      <c r="J62" s="69" t="str">
        <f t="shared" si="3"/>
        <v/>
      </c>
      <c r="K62" s="70" t="str">
        <f t="shared" si="4"/>
        <v/>
      </c>
      <c r="L62" s="71"/>
      <c r="M62" s="71"/>
      <c r="N62" s="71"/>
      <c r="O62" s="71"/>
      <c r="P62" s="61"/>
      <c r="Q62" s="63"/>
      <c r="R62" s="72"/>
      <c r="S62" s="61"/>
      <c r="T62" s="73"/>
      <c r="U62" s="62"/>
      <c r="V62" s="62"/>
      <c r="W62" s="62"/>
      <c r="X62" s="93"/>
      <c r="Y62" s="94"/>
      <c r="Z62" s="74"/>
      <c r="AA62" s="75"/>
      <c r="AB62" s="75"/>
      <c r="AC62" s="76"/>
      <c r="AD62" s="77"/>
      <c r="AE62" s="75"/>
      <c r="AF62" s="78"/>
      <c r="AG62" s="79"/>
      <c r="AH62" s="74"/>
      <c r="AI62" s="75"/>
      <c r="AJ62" s="75"/>
      <c r="AK62" s="80">
        <f t="shared" si="5"/>
        <v>0</v>
      </c>
      <c r="AL62" s="74"/>
      <c r="AM62" s="74"/>
      <c r="AN62" s="81" t="str">
        <f t="shared" si="6"/>
        <v/>
      </c>
      <c r="AO62" s="82"/>
      <c r="AP62" s="75"/>
      <c r="AQ62" s="75"/>
      <c r="AR62" s="80">
        <f t="shared" si="7"/>
        <v>0</v>
      </c>
      <c r="AS62" s="74"/>
      <c r="AT62" s="75"/>
      <c r="AU62" s="75"/>
      <c r="AV62" s="75"/>
      <c r="AW62" s="80">
        <f t="shared" si="8"/>
        <v>0</v>
      </c>
      <c r="AX62" s="81" t="str">
        <f t="shared" si="9"/>
        <v/>
      </c>
      <c r="AY62" s="83" t="str">
        <f t="shared" si="10"/>
        <v/>
      </c>
      <c r="AZ62" s="80" t="str">
        <f t="shared" si="11"/>
        <v/>
      </c>
      <c r="BA62" s="84">
        <f t="shared" si="12"/>
        <v>0</v>
      </c>
      <c r="BB62" s="85" t="str">
        <f t="shared" si="13"/>
        <v/>
      </c>
      <c r="BC62" s="86" t="str">
        <f t="shared" si="14"/>
        <v/>
      </c>
      <c r="BD62" s="84">
        <f t="shared" si="15"/>
        <v>0</v>
      </c>
      <c r="BE62" s="87" t="str">
        <f t="shared" si="16"/>
        <v/>
      </c>
      <c r="BF62" s="88" t="str">
        <f t="shared" si="17"/>
        <v/>
      </c>
      <c r="BG62" s="89" t="str">
        <f t="shared" si="18"/>
        <v/>
      </c>
      <c r="BH62" s="90" t="str">
        <f t="shared" si="19"/>
        <v/>
      </c>
      <c r="BI62" s="90" t="str">
        <f t="shared" si="20"/>
        <v/>
      </c>
      <c r="BJ62" s="91">
        <f t="shared" si="21"/>
        <v>0</v>
      </c>
      <c r="BK62" s="92">
        <f t="shared" si="22"/>
        <v>0</v>
      </c>
      <c r="BL62" s="95"/>
    </row>
    <row r="63" spans="1:64">
      <c r="A63" s="61"/>
      <c r="B63" s="62"/>
      <c r="C63" s="63"/>
      <c r="D63" s="64"/>
      <c r="E63" s="64"/>
      <c r="F63" s="65"/>
      <c r="G63" s="66" t="str">
        <f t="shared" si="0"/>
        <v/>
      </c>
      <c r="H63" s="67" t="str">
        <f t="shared" si="1"/>
        <v/>
      </c>
      <c r="I63" s="68" t="str">
        <f t="shared" si="2"/>
        <v/>
      </c>
      <c r="J63" s="69" t="str">
        <f t="shared" si="3"/>
        <v/>
      </c>
      <c r="K63" s="70" t="str">
        <f t="shared" si="4"/>
        <v/>
      </c>
      <c r="L63" s="71"/>
      <c r="M63" s="71"/>
      <c r="N63" s="71"/>
      <c r="O63" s="71"/>
      <c r="P63" s="61"/>
      <c r="Q63" s="63"/>
      <c r="R63" s="72"/>
      <c r="S63" s="61"/>
      <c r="T63" s="73"/>
      <c r="U63" s="62"/>
      <c r="V63" s="62"/>
      <c r="W63" s="62"/>
      <c r="X63" s="93"/>
      <c r="Y63" s="94"/>
      <c r="Z63" s="74"/>
      <c r="AA63" s="75"/>
      <c r="AB63" s="75"/>
      <c r="AC63" s="76"/>
      <c r="AD63" s="77"/>
      <c r="AE63" s="75"/>
      <c r="AF63" s="78"/>
      <c r="AG63" s="79"/>
      <c r="AH63" s="74"/>
      <c r="AI63" s="75"/>
      <c r="AJ63" s="75"/>
      <c r="AK63" s="80">
        <f t="shared" si="5"/>
        <v>0</v>
      </c>
      <c r="AL63" s="74"/>
      <c r="AM63" s="74"/>
      <c r="AN63" s="81" t="str">
        <f t="shared" si="6"/>
        <v/>
      </c>
      <c r="AO63" s="82"/>
      <c r="AP63" s="75"/>
      <c r="AQ63" s="75"/>
      <c r="AR63" s="80">
        <f t="shared" si="7"/>
        <v>0</v>
      </c>
      <c r="AS63" s="74"/>
      <c r="AT63" s="75"/>
      <c r="AU63" s="75"/>
      <c r="AV63" s="75"/>
      <c r="AW63" s="80">
        <f t="shared" si="8"/>
        <v>0</v>
      </c>
      <c r="AX63" s="81" t="str">
        <f t="shared" si="9"/>
        <v/>
      </c>
      <c r="AY63" s="83" t="str">
        <f t="shared" si="10"/>
        <v/>
      </c>
      <c r="AZ63" s="80" t="str">
        <f t="shared" si="11"/>
        <v/>
      </c>
      <c r="BA63" s="84">
        <f t="shared" si="12"/>
        <v>0</v>
      </c>
      <c r="BB63" s="85" t="str">
        <f t="shared" si="13"/>
        <v/>
      </c>
      <c r="BC63" s="86" t="str">
        <f t="shared" si="14"/>
        <v/>
      </c>
      <c r="BD63" s="84">
        <f t="shared" si="15"/>
        <v>0</v>
      </c>
      <c r="BE63" s="87" t="str">
        <f t="shared" si="16"/>
        <v/>
      </c>
      <c r="BF63" s="88" t="str">
        <f t="shared" si="17"/>
        <v/>
      </c>
      <c r="BG63" s="89" t="str">
        <f t="shared" si="18"/>
        <v/>
      </c>
      <c r="BH63" s="90" t="str">
        <f t="shared" si="19"/>
        <v/>
      </c>
      <c r="BI63" s="90" t="str">
        <f t="shared" si="20"/>
        <v/>
      </c>
      <c r="BJ63" s="91">
        <f t="shared" si="21"/>
        <v>0</v>
      </c>
      <c r="BK63" s="92">
        <f t="shared" si="22"/>
        <v>0</v>
      </c>
      <c r="BL63" s="95"/>
    </row>
    <row r="64" spans="1:64">
      <c r="A64" s="61"/>
      <c r="B64" s="62"/>
      <c r="C64" s="63"/>
      <c r="D64" s="64"/>
      <c r="E64" s="64"/>
      <c r="F64" s="65"/>
      <c r="G64" s="66" t="str">
        <f t="shared" si="0"/>
        <v/>
      </c>
      <c r="H64" s="67" t="str">
        <f t="shared" si="1"/>
        <v/>
      </c>
      <c r="I64" s="68" t="str">
        <f t="shared" si="2"/>
        <v/>
      </c>
      <c r="J64" s="69" t="str">
        <f t="shared" si="3"/>
        <v/>
      </c>
      <c r="K64" s="70" t="str">
        <f t="shared" si="4"/>
        <v/>
      </c>
      <c r="L64" s="71"/>
      <c r="M64" s="71"/>
      <c r="N64" s="71"/>
      <c r="O64" s="71"/>
      <c r="P64" s="61"/>
      <c r="Q64" s="63"/>
      <c r="R64" s="72"/>
      <c r="S64" s="61"/>
      <c r="T64" s="73"/>
      <c r="U64" s="62"/>
      <c r="V64" s="62"/>
      <c r="W64" s="62"/>
      <c r="X64" s="93"/>
      <c r="Y64" s="94"/>
      <c r="Z64" s="74"/>
      <c r="AA64" s="75"/>
      <c r="AB64" s="75"/>
      <c r="AC64" s="76"/>
      <c r="AD64" s="77"/>
      <c r="AE64" s="75"/>
      <c r="AF64" s="78"/>
      <c r="AG64" s="79"/>
      <c r="AH64" s="74"/>
      <c r="AI64" s="75"/>
      <c r="AJ64" s="75"/>
      <c r="AK64" s="80">
        <f t="shared" si="5"/>
        <v>0</v>
      </c>
      <c r="AL64" s="74"/>
      <c r="AM64" s="74"/>
      <c r="AN64" s="81" t="str">
        <f t="shared" si="6"/>
        <v/>
      </c>
      <c r="AO64" s="82"/>
      <c r="AP64" s="75"/>
      <c r="AQ64" s="75"/>
      <c r="AR64" s="80">
        <f t="shared" si="7"/>
        <v>0</v>
      </c>
      <c r="AS64" s="74"/>
      <c r="AT64" s="75"/>
      <c r="AU64" s="75"/>
      <c r="AV64" s="75"/>
      <c r="AW64" s="80">
        <f t="shared" si="8"/>
        <v>0</v>
      </c>
      <c r="AX64" s="81" t="str">
        <f t="shared" si="9"/>
        <v/>
      </c>
      <c r="AY64" s="83" t="str">
        <f t="shared" si="10"/>
        <v/>
      </c>
      <c r="AZ64" s="80" t="str">
        <f t="shared" si="11"/>
        <v/>
      </c>
      <c r="BA64" s="84">
        <f t="shared" si="12"/>
        <v>0</v>
      </c>
      <c r="BB64" s="85" t="str">
        <f t="shared" si="13"/>
        <v/>
      </c>
      <c r="BC64" s="86" t="str">
        <f t="shared" si="14"/>
        <v/>
      </c>
      <c r="BD64" s="84">
        <f t="shared" si="15"/>
        <v>0</v>
      </c>
      <c r="BE64" s="87" t="str">
        <f t="shared" si="16"/>
        <v/>
      </c>
      <c r="BF64" s="88" t="str">
        <f t="shared" si="17"/>
        <v/>
      </c>
      <c r="BG64" s="89" t="str">
        <f t="shared" si="18"/>
        <v/>
      </c>
      <c r="BH64" s="90" t="str">
        <f t="shared" si="19"/>
        <v/>
      </c>
      <c r="BI64" s="90" t="str">
        <f t="shared" si="20"/>
        <v/>
      </c>
      <c r="BJ64" s="91">
        <f t="shared" si="21"/>
        <v>0</v>
      </c>
      <c r="BK64" s="92">
        <f t="shared" si="22"/>
        <v>0</v>
      </c>
      <c r="BL64" s="95"/>
    </row>
    <row r="65" spans="1:64">
      <c r="A65" s="61"/>
      <c r="B65" s="62"/>
      <c r="C65" s="63"/>
      <c r="D65" s="64"/>
      <c r="E65" s="64"/>
      <c r="F65" s="65"/>
      <c r="G65" s="66" t="str">
        <f t="shared" si="0"/>
        <v/>
      </c>
      <c r="H65" s="67" t="str">
        <f t="shared" si="1"/>
        <v/>
      </c>
      <c r="I65" s="68" t="str">
        <f t="shared" si="2"/>
        <v/>
      </c>
      <c r="J65" s="69" t="str">
        <f t="shared" si="3"/>
        <v/>
      </c>
      <c r="K65" s="70" t="str">
        <f t="shared" si="4"/>
        <v/>
      </c>
      <c r="L65" s="71"/>
      <c r="M65" s="71"/>
      <c r="N65" s="71"/>
      <c r="O65" s="71"/>
      <c r="P65" s="61"/>
      <c r="Q65" s="63"/>
      <c r="R65" s="72"/>
      <c r="S65" s="61"/>
      <c r="T65" s="73"/>
      <c r="U65" s="62"/>
      <c r="V65" s="62"/>
      <c r="W65" s="62"/>
      <c r="X65" s="93"/>
      <c r="Y65" s="94"/>
      <c r="Z65" s="74"/>
      <c r="AA65" s="75"/>
      <c r="AB65" s="75"/>
      <c r="AC65" s="76"/>
      <c r="AD65" s="77"/>
      <c r="AE65" s="75"/>
      <c r="AF65" s="78"/>
      <c r="AG65" s="79"/>
      <c r="AH65" s="74"/>
      <c r="AI65" s="75"/>
      <c r="AJ65" s="75"/>
      <c r="AK65" s="80">
        <f t="shared" si="5"/>
        <v>0</v>
      </c>
      <c r="AL65" s="74"/>
      <c r="AM65" s="74"/>
      <c r="AN65" s="81" t="str">
        <f t="shared" si="6"/>
        <v/>
      </c>
      <c r="AO65" s="82"/>
      <c r="AP65" s="75"/>
      <c r="AQ65" s="75"/>
      <c r="AR65" s="80">
        <f t="shared" si="7"/>
        <v>0</v>
      </c>
      <c r="AS65" s="74"/>
      <c r="AT65" s="75"/>
      <c r="AU65" s="75"/>
      <c r="AV65" s="75"/>
      <c r="AW65" s="80">
        <f t="shared" si="8"/>
        <v>0</v>
      </c>
      <c r="AX65" s="81" t="str">
        <f t="shared" si="9"/>
        <v/>
      </c>
      <c r="AY65" s="83" t="str">
        <f t="shared" si="10"/>
        <v/>
      </c>
      <c r="AZ65" s="80" t="str">
        <f t="shared" si="11"/>
        <v/>
      </c>
      <c r="BA65" s="84">
        <f t="shared" si="12"/>
        <v>0</v>
      </c>
      <c r="BB65" s="85" t="str">
        <f t="shared" si="13"/>
        <v/>
      </c>
      <c r="BC65" s="86" t="str">
        <f t="shared" si="14"/>
        <v/>
      </c>
      <c r="BD65" s="84">
        <f t="shared" si="15"/>
        <v>0</v>
      </c>
      <c r="BE65" s="87" t="str">
        <f t="shared" si="16"/>
        <v/>
      </c>
      <c r="BF65" s="88" t="str">
        <f t="shared" si="17"/>
        <v/>
      </c>
      <c r="BG65" s="89" t="str">
        <f t="shared" si="18"/>
        <v/>
      </c>
      <c r="BH65" s="90" t="str">
        <f t="shared" si="19"/>
        <v/>
      </c>
      <c r="BI65" s="90" t="str">
        <f t="shared" si="20"/>
        <v/>
      </c>
      <c r="BJ65" s="91">
        <f t="shared" si="21"/>
        <v>0</v>
      </c>
      <c r="BK65" s="92">
        <f t="shared" si="22"/>
        <v>0</v>
      </c>
      <c r="BL65" s="95"/>
    </row>
    <row r="66" spans="1:64">
      <c r="A66" s="61"/>
      <c r="B66" s="62"/>
      <c r="C66" s="63"/>
      <c r="D66" s="64"/>
      <c r="E66" s="64"/>
      <c r="F66" s="65"/>
      <c r="G66" s="66" t="str">
        <f t="shared" si="0"/>
        <v/>
      </c>
      <c r="H66" s="67" t="str">
        <f t="shared" si="1"/>
        <v/>
      </c>
      <c r="I66" s="68" t="str">
        <f t="shared" si="2"/>
        <v/>
      </c>
      <c r="J66" s="69" t="str">
        <f t="shared" si="3"/>
        <v/>
      </c>
      <c r="K66" s="70" t="str">
        <f t="shared" si="4"/>
        <v/>
      </c>
      <c r="L66" s="71"/>
      <c r="M66" s="71"/>
      <c r="N66" s="71"/>
      <c r="O66" s="71"/>
      <c r="P66" s="61"/>
      <c r="Q66" s="63"/>
      <c r="R66" s="72"/>
      <c r="S66" s="61"/>
      <c r="T66" s="73"/>
      <c r="U66" s="62"/>
      <c r="V66" s="62"/>
      <c r="W66" s="62"/>
      <c r="X66" s="93"/>
      <c r="Y66" s="94"/>
      <c r="Z66" s="74"/>
      <c r="AA66" s="75"/>
      <c r="AB66" s="75"/>
      <c r="AC66" s="76"/>
      <c r="AD66" s="77"/>
      <c r="AE66" s="75"/>
      <c r="AF66" s="78"/>
      <c r="AG66" s="79"/>
      <c r="AH66" s="74"/>
      <c r="AI66" s="75"/>
      <c r="AJ66" s="75"/>
      <c r="AK66" s="80">
        <f t="shared" si="5"/>
        <v>0</v>
      </c>
      <c r="AL66" s="74"/>
      <c r="AM66" s="74"/>
      <c r="AN66" s="81" t="str">
        <f t="shared" si="6"/>
        <v/>
      </c>
      <c r="AO66" s="82"/>
      <c r="AP66" s="75"/>
      <c r="AQ66" s="75"/>
      <c r="AR66" s="80">
        <f t="shared" si="7"/>
        <v>0</v>
      </c>
      <c r="AS66" s="74"/>
      <c r="AT66" s="75"/>
      <c r="AU66" s="75"/>
      <c r="AV66" s="75"/>
      <c r="AW66" s="80">
        <f t="shared" si="8"/>
        <v>0</v>
      </c>
      <c r="AX66" s="81" t="str">
        <f t="shared" si="9"/>
        <v/>
      </c>
      <c r="AY66" s="83" t="str">
        <f t="shared" si="10"/>
        <v/>
      </c>
      <c r="AZ66" s="80" t="str">
        <f t="shared" si="11"/>
        <v/>
      </c>
      <c r="BA66" s="84">
        <f t="shared" si="12"/>
        <v>0</v>
      </c>
      <c r="BB66" s="85" t="str">
        <f t="shared" si="13"/>
        <v/>
      </c>
      <c r="BC66" s="86" t="str">
        <f t="shared" si="14"/>
        <v/>
      </c>
      <c r="BD66" s="84">
        <f t="shared" si="15"/>
        <v>0</v>
      </c>
      <c r="BE66" s="87" t="str">
        <f t="shared" si="16"/>
        <v/>
      </c>
      <c r="BF66" s="88" t="str">
        <f t="shared" si="17"/>
        <v/>
      </c>
      <c r="BG66" s="89" t="str">
        <f t="shared" si="18"/>
        <v/>
      </c>
      <c r="BH66" s="90" t="str">
        <f t="shared" si="19"/>
        <v/>
      </c>
      <c r="BI66" s="90" t="str">
        <f t="shared" si="20"/>
        <v/>
      </c>
      <c r="BJ66" s="91">
        <f t="shared" si="21"/>
        <v>0</v>
      </c>
      <c r="BK66" s="92">
        <f t="shared" si="22"/>
        <v>0</v>
      </c>
      <c r="BL66" s="95"/>
    </row>
    <row r="67" spans="1:64">
      <c r="A67" s="61"/>
      <c r="B67" s="62"/>
      <c r="C67" s="63"/>
      <c r="D67" s="64"/>
      <c r="E67" s="64"/>
      <c r="F67" s="65"/>
      <c r="G67" s="66" t="str">
        <f t="shared" si="0"/>
        <v/>
      </c>
      <c r="H67" s="67" t="str">
        <f t="shared" si="1"/>
        <v/>
      </c>
      <c r="I67" s="68" t="str">
        <f t="shared" si="2"/>
        <v/>
      </c>
      <c r="J67" s="69" t="str">
        <f t="shared" si="3"/>
        <v/>
      </c>
      <c r="K67" s="70" t="str">
        <f t="shared" si="4"/>
        <v/>
      </c>
      <c r="L67" s="71"/>
      <c r="M67" s="71"/>
      <c r="N67" s="71"/>
      <c r="O67" s="71"/>
      <c r="P67" s="61"/>
      <c r="Q67" s="63"/>
      <c r="R67" s="72"/>
      <c r="S67" s="61"/>
      <c r="T67" s="73"/>
      <c r="U67" s="62"/>
      <c r="V67" s="62"/>
      <c r="W67" s="62"/>
      <c r="X67" s="93"/>
      <c r="Y67" s="94"/>
      <c r="Z67" s="74"/>
      <c r="AA67" s="75"/>
      <c r="AB67" s="75"/>
      <c r="AC67" s="76"/>
      <c r="AD67" s="77"/>
      <c r="AE67" s="75"/>
      <c r="AF67" s="78"/>
      <c r="AG67" s="79"/>
      <c r="AH67" s="74"/>
      <c r="AI67" s="75"/>
      <c r="AJ67" s="75"/>
      <c r="AK67" s="80">
        <f t="shared" si="5"/>
        <v>0</v>
      </c>
      <c r="AL67" s="74"/>
      <c r="AM67" s="74"/>
      <c r="AN67" s="81" t="str">
        <f t="shared" si="6"/>
        <v/>
      </c>
      <c r="AO67" s="82"/>
      <c r="AP67" s="75"/>
      <c r="AQ67" s="75"/>
      <c r="AR67" s="80">
        <f t="shared" si="7"/>
        <v>0</v>
      </c>
      <c r="AS67" s="74"/>
      <c r="AT67" s="75"/>
      <c r="AU67" s="75"/>
      <c r="AV67" s="75"/>
      <c r="AW67" s="80">
        <f t="shared" si="8"/>
        <v>0</v>
      </c>
      <c r="AX67" s="81" t="str">
        <f t="shared" si="9"/>
        <v/>
      </c>
      <c r="AY67" s="83" t="str">
        <f t="shared" si="10"/>
        <v/>
      </c>
      <c r="AZ67" s="80" t="str">
        <f t="shared" si="11"/>
        <v/>
      </c>
      <c r="BA67" s="84">
        <f t="shared" si="12"/>
        <v>0</v>
      </c>
      <c r="BB67" s="85" t="str">
        <f t="shared" si="13"/>
        <v/>
      </c>
      <c r="BC67" s="86" t="str">
        <f t="shared" si="14"/>
        <v/>
      </c>
      <c r="BD67" s="84">
        <f t="shared" si="15"/>
        <v>0</v>
      </c>
      <c r="BE67" s="87" t="str">
        <f t="shared" si="16"/>
        <v/>
      </c>
      <c r="BF67" s="88" t="str">
        <f t="shared" si="17"/>
        <v/>
      </c>
      <c r="BG67" s="89" t="str">
        <f t="shared" si="18"/>
        <v/>
      </c>
      <c r="BH67" s="90" t="str">
        <f t="shared" si="19"/>
        <v/>
      </c>
      <c r="BI67" s="90" t="str">
        <f t="shared" si="20"/>
        <v/>
      </c>
      <c r="BJ67" s="91">
        <f t="shared" si="21"/>
        <v>0</v>
      </c>
      <c r="BK67" s="92">
        <f t="shared" si="22"/>
        <v>0</v>
      </c>
      <c r="BL67" s="95"/>
    </row>
    <row r="68" spans="1:64">
      <c r="A68" s="61"/>
      <c r="B68" s="62"/>
      <c r="C68" s="63"/>
      <c r="D68" s="64"/>
      <c r="E68" s="64"/>
      <c r="F68" s="65"/>
      <c r="G68" s="66" t="str">
        <f t="shared" si="0"/>
        <v/>
      </c>
      <c r="H68" s="67" t="str">
        <f t="shared" si="1"/>
        <v/>
      </c>
      <c r="I68" s="68" t="str">
        <f t="shared" si="2"/>
        <v/>
      </c>
      <c r="J68" s="69" t="str">
        <f t="shared" si="3"/>
        <v/>
      </c>
      <c r="K68" s="70" t="str">
        <f t="shared" si="4"/>
        <v/>
      </c>
      <c r="L68" s="71"/>
      <c r="M68" s="71"/>
      <c r="N68" s="71"/>
      <c r="O68" s="71"/>
      <c r="P68" s="61"/>
      <c r="Q68" s="63"/>
      <c r="R68" s="72"/>
      <c r="S68" s="61"/>
      <c r="T68" s="73"/>
      <c r="U68" s="62"/>
      <c r="V68" s="62"/>
      <c r="W68" s="62"/>
      <c r="X68" s="93"/>
      <c r="Y68" s="94"/>
      <c r="Z68" s="74"/>
      <c r="AA68" s="75"/>
      <c r="AB68" s="75"/>
      <c r="AC68" s="76"/>
      <c r="AD68" s="77"/>
      <c r="AE68" s="75"/>
      <c r="AF68" s="78"/>
      <c r="AG68" s="79"/>
      <c r="AH68" s="74"/>
      <c r="AI68" s="75"/>
      <c r="AJ68" s="75"/>
      <c r="AK68" s="80">
        <f t="shared" si="5"/>
        <v>0</v>
      </c>
      <c r="AL68" s="74"/>
      <c r="AM68" s="74"/>
      <c r="AN68" s="81" t="str">
        <f t="shared" si="6"/>
        <v/>
      </c>
      <c r="AO68" s="82"/>
      <c r="AP68" s="75"/>
      <c r="AQ68" s="75"/>
      <c r="AR68" s="80">
        <f t="shared" si="7"/>
        <v>0</v>
      </c>
      <c r="AS68" s="74"/>
      <c r="AT68" s="75"/>
      <c r="AU68" s="75"/>
      <c r="AV68" s="75"/>
      <c r="AW68" s="80">
        <f t="shared" si="8"/>
        <v>0</v>
      </c>
      <c r="AX68" s="81" t="str">
        <f t="shared" si="9"/>
        <v/>
      </c>
      <c r="AY68" s="83" t="str">
        <f t="shared" si="10"/>
        <v/>
      </c>
      <c r="AZ68" s="80" t="str">
        <f t="shared" si="11"/>
        <v/>
      </c>
      <c r="BA68" s="84">
        <f t="shared" si="12"/>
        <v>0</v>
      </c>
      <c r="BB68" s="85" t="str">
        <f t="shared" si="13"/>
        <v/>
      </c>
      <c r="BC68" s="86" t="str">
        <f t="shared" si="14"/>
        <v/>
      </c>
      <c r="BD68" s="84">
        <f t="shared" si="15"/>
        <v>0</v>
      </c>
      <c r="BE68" s="87" t="str">
        <f t="shared" si="16"/>
        <v/>
      </c>
      <c r="BF68" s="88" t="str">
        <f t="shared" si="17"/>
        <v/>
      </c>
      <c r="BG68" s="89" t="str">
        <f t="shared" si="18"/>
        <v/>
      </c>
      <c r="BH68" s="90" t="str">
        <f t="shared" si="19"/>
        <v/>
      </c>
      <c r="BI68" s="90" t="str">
        <f t="shared" si="20"/>
        <v/>
      </c>
      <c r="BJ68" s="91">
        <f t="shared" si="21"/>
        <v>0</v>
      </c>
      <c r="BK68" s="92">
        <f t="shared" si="22"/>
        <v>0</v>
      </c>
      <c r="BL68" s="95"/>
    </row>
    <row r="69" spans="1:64">
      <c r="A69" s="61"/>
      <c r="B69" s="62"/>
      <c r="C69" s="63"/>
      <c r="D69" s="64"/>
      <c r="E69" s="64"/>
      <c r="F69" s="65"/>
      <c r="G69" s="66" t="str">
        <f t="shared" ref="G69:G132" si="23">IF(E69="","",IF(E69="","",IF((E69-D69+1)&gt;360,"Most Recently 12 Months","Year To Date")))</f>
        <v/>
      </c>
      <c r="H69" s="67" t="str">
        <f t="shared" ref="H69:H132" si="24">IF(E69="","",ROUND((E69-D69+1)/(((365*3+366)/4)/12),0))</f>
        <v/>
      </c>
      <c r="I69" s="68" t="str">
        <f t="shared" ref="I69:I132" si="25">IF(E69="","",YEAR(E69))</f>
        <v/>
      </c>
      <c r="J69" s="69" t="str">
        <f t="shared" ref="J69:J132" si="26">IF(E69="","",CEILING(K69/3,1))</f>
        <v/>
      </c>
      <c r="K69" s="70" t="str">
        <f t="shared" ref="K69:K132" si="27">IF(E69="","",MONTH(E69))</f>
        <v/>
      </c>
      <c r="L69" s="71"/>
      <c r="M69" s="71"/>
      <c r="N69" s="71"/>
      <c r="O69" s="71"/>
      <c r="P69" s="61"/>
      <c r="Q69" s="63"/>
      <c r="R69" s="72"/>
      <c r="S69" s="61"/>
      <c r="T69" s="73"/>
      <c r="U69" s="62"/>
      <c r="V69" s="62"/>
      <c r="W69" s="62"/>
      <c r="X69" s="93"/>
      <c r="Y69" s="94"/>
      <c r="Z69" s="74"/>
      <c r="AA69" s="75"/>
      <c r="AB69" s="75"/>
      <c r="AC69" s="76"/>
      <c r="AD69" s="77"/>
      <c r="AE69" s="75"/>
      <c r="AF69" s="78"/>
      <c r="AG69" s="79"/>
      <c r="AH69" s="74"/>
      <c r="AI69" s="75"/>
      <c r="AJ69" s="75"/>
      <c r="AK69" s="80">
        <f t="shared" ref="AK69:AK132" si="28">SUM(AH69:AJ69)</f>
        <v>0</v>
      </c>
      <c r="AL69" s="74"/>
      <c r="AM69" s="74"/>
      <c r="AN69" s="81" t="str">
        <f t="shared" ref="AN69:AN132" si="29">IFERROR(AM69/AL69,"")</f>
        <v/>
      </c>
      <c r="AO69" s="82"/>
      <c r="AP69" s="75"/>
      <c r="AQ69" s="75"/>
      <c r="AR69" s="80">
        <f t="shared" ref="AR69:AR132" si="30">SUM(AP69:AQ69)</f>
        <v>0</v>
      </c>
      <c r="AS69" s="74"/>
      <c r="AT69" s="75"/>
      <c r="AU69" s="75"/>
      <c r="AV69" s="75"/>
      <c r="AW69" s="80">
        <f t="shared" ref="AW69:AW132" si="31">SUM(AS69:AV69)</f>
        <v>0</v>
      </c>
      <c r="AX69" s="81" t="str">
        <f t="shared" ref="AX69:AX132" si="32">IFERROR(AO69/AE69,"")</f>
        <v/>
      </c>
      <c r="AY69" s="83" t="str">
        <f t="shared" ref="AY69:AY132" si="33">IFERROR(AR69/AO69,"")</f>
        <v/>
      </c>
      <c r="AZ69" s="80" t="str">
        <f t="shared" ref="AZ69:AZ132" si="34">IFERROR(AX69*AY69,"")</f>
        <v/>
      </c>
      <c r="BA69" s="84">
        <f t="shared" ref="BA69:BA132" si="35">AF69-SUM(AK69,AR69:AT69,AV69)</f>
        <v>0</v>
      </c>
      <c r="BB69" s="85" t="str">
        <f t="shared" ref="BB69:BB132" si="36">IFERROR(BA69/AU69,"")</f>
        <v/>
      </c>
      <c r="BC69" s="86" t="str">
        <f t="shared" ref="BC69:BC132" si="37">IFERROR(BA69/AF69,"")</f>
        <v/>
      </c>
      <c r="BD69" s="84">
        <f t="shared" ref="BD69:BD132" si="38">AF69-SUM(AK69,AR69:AT69)</f>
        <v>0</v>
      </c>
      <c r="BE69" s="87" t="str">
        <f t="shared" ref="BE69:BE132" si="39">IFERROR(BD69/SUM(AU69:AV69),"")</f>
        <v/>
      </c>
      <c r="BF69" s="88" t="str">
        <f t="shared" ref="BF69:BF132" si="40">IFERROR(BD69/AF69,"")</f>
        <v/>
      </c>
      <c r="BG69" s="89" t="str">
        <f t="shared" ref="BG69:BG132" si="41">IFERROR(AR69/AF69,"")</f>
        <v/>
      </c>
      <c r="BH69" s="90" t="str">
        <f t="shared" ref="BH69:BH132" si="42">IFERROR(AK69/AF69,"")</f>
        <v/>
      </c>
      <c r="BI69" s="90" t="str">
        <f t="shared" ref="BI69:BI132" si="43">IFERROR(AW69/AF69,"")</f>
        <v/>
      </c>
      <c r="BJ69" s="91">
        <f t="shared" ref="BJ69:BJ132" si="44">SUM(BG69:BI69)</f>
        <v>0</v>
      </c>
      <c r="BK69" s="92">
        <f t="shared" ref="BK69:BK132" si="45">AF69-SUM(AK69,AR69,AW69)</f>
        <v>0</v>
      </c>
      <c r="BL69" s="95"/>
    </row>
    <row r="70" spans="1:64">
      <c r="A70" s="61"/>
      <c r="B70" s="62"/>
      <c r="C70" s="63"/>
      <c r="D70" s="64"/>
      <c r="E70" s="64"/>
      <c r="F70" s="65"/>
      <c r="G70" s="66" t="str">
        <f t="shared" si="23"/>
        <v/>
      </c>
      <c r="H70" s="67" t="str">
        <f t="shared" si="24"/>
        <v/>
      </c>
      <c r="I70" s="68" t="str">
        <f t="shared" si="25"/>
        <v/>
      </c>
      <c r="J70" s="69" t="str">
        <f t="shared" si="26"/>
        <v/>
      </c>
      <c r="K70" s="70" t="str">
        <f t="shared" si="27"/>
        <v/>
      </c>
      <c r="L70" s="71"/>
      <c r="M70" s="71"/>
      <c r="N70" s="71"/>
      <c r="O70" s="71"/>
      <c r="P70" s="61"/>
      <c r="Q70" s="63"/>
      <c r="R70" s="72"/>
      <c r="S70" s="61"/>
      <c r="T70" s="73"/>
      <c r="U70" s="62"/>
      <c r="V70" s="62"/>
      <c r="W70" s="62"/>
      <c r="X70" s="93"/>
      <c r="Y70" s="94"/>
      <c r="Z70" s="74"/>
      <c r="AA70" s="75"/>
      <c r="AB70" s="75"/>
      <c r="AC70" s="76"/>
      <c r="AD70" s="77"/>
      <c r="AE70" s="75"/>
      <c r="AF70" s="78"/>
      <c r="AG70" s="79"/>
      <c r="AH70" s="74"/>
      <c r="AI70" s="75"/>
      <c r="AJ70" s="75"/>
      <c r="AK70" s="80">
        <f t="shared" si="28"/>
        <v>0</v>
      </c>
      <c r="AL70" s="74"/>
      <c r="AM70" s="74"/>
      <c r="AN70" s="81" t="str">
        <f t="shared" si="29"/>
        <v/>
      </c>
      <c r="AO70" s="82"/>
      <c r="AP70" s="75"/>
      <c r="AQ70" s="75"/>
      <c r="AR70" s="80">
        <f t="shared" si="30"/>
        <v>0</v>
      </c>
      <c r="AS70" s="74"/>
      <c r="AT70" s="75"/>
      <c r="AU70" s="75"/>
      <c r="AV70" s="75"/>
      <c r="AW70" s="80">
        <f t="shared" si="31"/>
        <v>0</v>
      </c>
      <c r="AX70" s="81" t="str">
        <f t="shared" si="32"/>
        <v/>
      </c>
      <c r="AY70" s="83" t="str">
        <f t="shared" si="33"/>
        <v/>
      </c>
      <c r="AZ70" s="80" t="str">
        <f t="shared" si="34"/>
        <v/>
      </c>
      <c r="BA70" s="84">
        <f t="shared" si="35"/>
        <v>0</v>
      </c>
      <c r="BB70" s="85" t="str">
        <f t="shared" si="36"/>
        <v/>
      </c>
      <c r="BC70" s="86" t="str">
        <f t="shared" si="37"/>
        <v/>
      </c>
      <c r="BD70" s="84">
        <f t="shared" si="38"/>
        <v>0</v>
      </c>
      <c r="BE70" s="87" t="str">
        <f t="shared" si="39"/>
        <v/>
      </c>
      <c r="BF70" s="88" t="str">
        <f t="shared" si="40"/>
        <v/>
      </c>
      <c r="BG70" s="89" t="str">
        <f t="shared" si="41"/>
        <v/>
      </c>
      <c r="BH70" s="90" t="str">
        <f t="shared" si="42"/>
        <v/>
      </c>
      <c r="BI70" s="90" t="str">
        <f t="shared" si="43"/>
        <v/>
      </c>
      <c r="BJ70" s="91">
        <f t="shared" si="44"/>
        <v>0</v>
      </c>
      <c r="BK70" s="92">
        <f t="shared" si="45"/>
        <v>0</v>
      </c>
      <c r="BL70" s="95"/>
    </row>
    <row r="71" spans="1:64">
      <c r="A71" s="61"/>
      <c r="B71" s="62"/>
      <c r="C71" s="63"/>
      <c r="D71" s="64"/>
      <c r="E71" s="64"/>
      <c r="F71" s="65"/>
      <c r="G71" s="66" t="str">
        <f t="shared" si="23"/>
        <v/>
      </c>
      <c r="H71" s="67" t="str">
        <f t="shared" si="24"/>
        <v/>
      </c>
      <c r="I71" s="68" t="str">
        <f t="shared" si="25"/>
        <v/>
      </c>
      <c r="J71" s="69" t="str">
        <f t="shared" si="26"/>
        <v/>
      </c>
      <c r="K71" s="70" t="str">
        <f t="shared" si="27"/>
        <v/>
      </c>
      <c r="L71" s="71"/>
      <c r="M71" s="71"/>
      <c r="N71" s="71"/>
      <c r="O71" s="71"/>
      <c r="P71" s="61"/>
      <c r="Q71" s="63"/>
      <c r="R71" s="72"/>
      <c r="S71" s="61"/>
      <c r="T71" s="73"/>
      <c r="U71" s="62"/>
      <c r="V71" s="62"/>
      <c r="W71" s="62"/>
      <c r="X71" s="93"/>
      <c r="Y71" s="94"/>
      <c r="Z71" s="74"/>
      <c r="AA71" s="75"/>
      <c r="AB71" s="75"/>
      <c r="AC71" s="76"/>
      <c r="AD71" s="77"/>
      <c r="AE71" s="75"/>
      <c r="AF71" s="78"/>
      <c r="AG71" s="79"/>
      <c r="AH71" s="74"/>
      <c r="AI71" s="75"/>
      <c r="AJ71" s="75"/>
      <c r="AK71" s="80">
        <f t="shared" si="28"/>
        <v>0</v>
      </c>
      <c r="AL71" s="74"/>
      <c r="AM71" s="74"/>
      <c r="AN71" s="81" t="str">
        <f t="shared" si="29"/>
        <v/>
      </c>
      <c r="AO71" s="82"/>
      <c r="AP71" s="75"/>
      <c r="AQ71" s="75"/>
      <c r="AR71" s="80">
        <f t="shared" si="30"/>
        <v>0</v>
      </c>
      <c r="AS71" s="74"/>
      <c r="AT71" s="75"/>
      <c r="AU71" s="75"/>
      <c r="AV71" s="75"/>
      <c r="AW71" s="80">
        <f t="shared" si="31"/>
        <v>0</v>
      </c>
      <c r="AX71" s="81" t="str">
        <f t="shared" si="32"/>
        <v/>
      </c>
      <c r="AY71" s="83" t="str">
        <f t="shared" si="33"/>
        <v/>
      </c>
      <c r="AZ71" s="80" t="str">
        <f t="shared" si="34"/>
        <v/>
      </c>
      <c r="BA71" s="84">
        <f t="shared" si="35"/>
        <v>0</v>
      </c>
      <c r="BB71" s="85" t="str">
        <f t="shared" si="36"/>
        <v/>
      </c>
      <c r="BC71" s="86" t="str">
        <f t="shared" si="37"/>
        <v/>
      </c>
      <c r="BD71" s="84">
        <f t="shared" si="38"/>
        <v>0</v>
      </c>
      <c r="BE71" s="87" t="str">
        <f t="shared" si="39"/>
        <v/>
      </c>
      <c r="BF71" s="88" t="str">
        <f t="shared" si="40"/>
        <v/>
      </c>
      <c r="BG71" s="89" t="str">
        <f t="shared" si="41"/>
        <v/>
      </c>
      <c r="BH71" s="90" t="str">
        <f t="shared" si="42"/>
        <v/>
      </c>
      <c r="BI71" s="90" t="str">
        <f t="shared" si="43"/>
        <v/>
      </c>
      <c r="BJ71" s="91">
        <f t="shared" si="44"/>
        <v>0</v>
      </c>
      <c r="BK71" s="92">
        <f t="shared" si="45"/>
        <v>0</v>
      </c>
      <c r="BL71" s="95"/>
    </row>
    <row r="72" spans="1:64">
      <c r="A72" s="61"/>
      <c r="B72" s="62"/>
      <c r="C72" s="63"/>
      <c r="D72" s="64"/>
      <c r="E72" s="64"/>
      <c r="F72" s="65"/>
      <c r="G72" s="66" t="str">
        <f t="shared" si="23"/>
        <v/>
      </c>
      <c r="H72" s="67" t="str">
        <f t="shared" si="24"/>
        <v/>
      </c>
      <c r="I72" s="68" t="str">
        <f t="shared" si="25"/>
        <v/>
      </c>
      <c r="J72" s="69" t="str">
        <f t="shared" si="26"/>
        <v/>
      </c>
      <c r="K72" s="70" t="str">
        <f t="shared" si="27"/>
        <v/>
      </c>
      <c r="L72" s="71"/>
      <c r="M72" s="71"/>
      <c r="N72" s="71"/>
      <c r="O72" s="71"/>
      <c r="P72" s="61"/>
      <c r="Q72" s="63"/>
      <c r="R72" s="72"/>
      <c r="S72" s="61"/>
      <c r="T72" s="73"/>
      <c r="U72" s="62"/>
      <c r="V72" s="62"/>
      <c r="W72" s="62"/>
      <c r="X72" s="93"/>
      <c r="Y72" s="94"/>
      <c r="Z72" s="74"/>
      <c r="AA72" s="75"/>
      <c r="AB72" s="75"/>
      <c r="AC72" s="76"/>
      <c r="AD72" s="77"/>
      <c r="AE72" s="75"/>
      <c r="AF72" s="78"/>
      <c r="AG72" s="79"/>
      <c r="AH72" s="74"/>
      <c r="AI72" s="75"/>
      <c r="AJ72" s="75"/>
      <c r="AK72" s="80">
        <f t="shared" si="28"/>
        <v>0</v>
      </c>
      <c r="AL72" s="74"/>
      <c r="AM72" s="74"/>
      <c r="AN72" s="81" t="str">
        <f t="shared" si="29"/>
        <v/>
      </c>
      <c r="AO72" s="82"/>
      <c r="AP72" s="75"/>
      <c r="AQ72" s="75"/>
      <c r="AR72" s="80">
        <f t="shared" si="30"/>
        <v>0</v>
      </c>
      <c r="AS72" s="74"/>
      <c r="AT72" s="75"/>
      <c r="AU72" s="75"/>
      <c r="AV72" s="75"/>
      <c r="AW72" s="80">
        <f t="shared" si="31"/>
        <v>0</v>
      </c>
      <c r="AX72" s="81" t="str">
        <f t="shared" si="32"/>
        <v/>
      </c>
      <c r="AY72" s="83" t="str">
        <f t="shared" si="33"/>
        <v/>
      </c>
      <c r="AZ72" s="80" t="str">
        <f t="shared" si="34"/>
        <v/>
      </c>
      <c r="BA72" s="84">
        <f t="shared" si="35"/>
        <v>0</v>
      </c>
      <c r="BB72" s="85" t="str">
        <f t="shared" si="36"/>
        <v/>
      </c>
      <c r="BC72" s="86" t="str">
        <f t="shared" si="37"/>
        <v/>
      </c>
      <c r="BD72" s="84">
        <f t="shared" si="38"/>
        <v>0</v>
      </c>
      <c r="BE72" s="87" t="str">
        <f t="shared" si="39"/>
        <v/>
      </c>
      <c r="BF72" s="88" t="str">
        <f t="shared" si="40"/>
        <v/>
      </c>
      <c r="BG72" s="89" t="str">
        <f t="shared" si="41"/>
        <v/>
      </c>
      <c r="BH72" s="90" t="str">
        <f t="shared" si="42"/>
        <v/>
      </c>
      <c r="BI72" s="90" t="str">
        <f t="shared" si="43"/>
        <v/>
      </c>
      <c r="BJ72" s="91">
        <f t="shared" si="44"/>
        <v>0</v>
      </c>
      <c r="BK72" s="92">
        <f t="shared" si="45"/>
        <v>0</v>
      </c>
      <c r="BL72" s="95"/>
    </row>
    <row r="73" spans="1:64">
      <c r="A73" s="61"/>
      <c r="B73" s="62"/>
      <c r="C73" s="63"/>
      <c r="D73" s="64"/>
      <c r="E73" s="64"/>
      <c r="F73" s="65"/>
      <c r="G73" s="66" t="str">
        <f t="shared" si="23"/>
        <v/>
      </c>
      <c r="H73" s="67" t="str">
        <f t="shared" si="24"/>
        <v/>
      </c>
      <c r="I73" s="68" t="str">
        <f t="shared" si="25"/>
        <v/>
      </c>
      <c r="J73" s="69" t="str">
        <f t="shared" si="26"/>
        <v/>
      </c>
      <c r="K73" s="70" t="str">
        <f t="shared" si="27"/>
        <v/>
      </c>
      <c r="L73" s="71"/>
      <c r="M73" s="71"/>
      <c r="N73" s="71"/>
      <c r="O73" s="71"/>
      <c r="P73" s="61"/>
      <c r="Q73" s="63"/>
      <c r="R73" s="72"/>
      <c r="S73" s="61"/>
      <c r="T73" s="73"/>
      <c r="U73" s="62"/>
      <c r="V73" s="62"/>
      <c r="W73" s="62"/>
      <c r="X73" s="93"/>
      <c r="Y73" s="94"/>
      <c r="Z73" s="74"/>
      <c r="AA73" s="75"/>
      <c r="AB73" s="75"/>
      <c r="AC73" s="76"/>
      <c r="AD73" s="77"/>
      <c r="AE73" s="75"/>
      <c r="AF73" s="78"/>
      <c r="AG73" s="79"/>
      <c r="AH73" s="74"/>
      <c r="AI73" s="75"/>
      <c r="AJ73" s="75"/>
      <c r="AK73" s="80">
        <f t="shared" si="28"/>
        <v>0</v>
      </c>
      <c r="AL73" s="74"/>
      <c r="AM73" s="74"/>
      <c r="AN73" s="81" t="str">
        <f t="shared" si="29"/>
        <v/>
      </c>
      <c r="AO73" s="82"/>
      <c r="AP73" s="75"/>
      <c r="AQ73" s="75"/>
      <c r="AR73" s="80">
        <f t="shared" si="30"/>
        <v>0</v>
      </c>
      <c r="AS73" s="74"/>
      <c r="AT73" s="75"/>
      <c r="AU73" s="75"/>
      <c r="AV73" s="75"/>
      <c r="AW73" s="80">
        <f t="shared" si="31"/>
        <v>0</v>
      </c>
      <c r="AX73" s="81" t="str">
        <f t="shared" si="32"/>
        <v/>
      </c>
      <c r="AY73" s="83" t="str">
        <f t="shared" si="33"/>
        <v/>
      </c>
      <c r="AZ73" s="80" t="str">
        <f t="shared" si="34"/>
        <v/>
      </c>
      <c r="BA73" s="84">
        <f t="shared" si="35"/>
        <v>0</v>
      </c>
      <c r="BB73" s="85" t="str">
        <f t="shared" si="36"/>
        <v/>
      </c>
      <c r="BC73" s="86" t="str">
        <f t="shared" si="37"/>
        <v/>
      </c>
      <c r="BD73" s="84">
        <f t="shared" si="38"/>
        <v>0</v>
      </c>
      <c r="BE73" s="87" t="str">
        <f t="shared" si="39"/>
        <v/>
      </c>
      <c r="BF73" s="88" t="str">
        <f t="shared" si="40"/>
        <v/>
      </c>
      <c r="BG73" s="89" t="str">
        <f t="shared" si="41"/>
        <v/>
      </c>
      <c r="BH73" s="90" t="str">
        <f t="shared" si="42"/>
        <v/>
      </c>
      <c r="BI73" s="90" t="str">
        <f t="shared" si="43"/>
        <v/>
      </c>
      <c r="BJ73" s="91">
        <f t="shared" si="44"/>
        <v>0</v>
      </c>
      <c r="BK73" s="92">
        <f t="shared" si="45"/>
        <v>0</v>
      </c>
      <c r="BL73" s="95"/>
    </row>
    <row r="74" spans="1:64">
      <c r="A74" s="61"/>
      <c r="B74" s="62"/>
      <c r="C74" s="63"/>
      <c r="D74" s="64"/>
      <c r="E74" s="64"/>
      <c r="F74" s="65"/>
      <c r="G74" s="66" t="str">
        <f t="shared" si="23"/>
        <v/>
      </c>
      <c r="H74" s="67" t="str">
        <f t="shared" si="24"/>
        <v/>
      </c>
      <c r="I74" s="68" t="str">
        <f t="shared" si="25"/>
        <v/>
      </c>
      <c r="J74" s="69" t="str">
        <f t="shared" si="26"/>
        <v/>
      </c>
      <c r="K74" s="70" t="str">
        <f t="shared" si="27"/>
        <v/>
      </c>
      <c r="L74" s="71"/>
      <c r="M74" s="71"/>
      <c r="N74" s="71"/>
      <c r="O74" s="71"/>
      <c r="P74" s="61"/>
      <c r="Q74" s="63"/>
      <c r="R74" s="72"/>
      <c r="S74" s="61"/>
      <c r="T74" s="73"/>
      <c r="U74" s="62"/>
      <c r="V74" s="62"/>
      <c r="W74" s="62"/>
      <c r="X74" s="93"/>
      <c r="Y74" s="94"/>
      <c r="Z74" s="74"/>
      <c r="AA74" s="75"/>
      <c r="AB74" s="75"/>
      <c r="AC74" s="76"/>
      <c r="AD74" s="77"/>
      <c r="AE74" s="75"/>
      <c r="AF74" s="78"/>
      <c r="AG74" s="79"/>
      <c r="AH74" s="74"/>
      <c r="AI74" s="75"/>
      <c r="AJ74" s="75"/>
      <c r="AK74" s="80">
        <f t="shared" si="28"/>
        <v>0</v>
      </c>
      <c r="AL74" s="74"/>
      <c r="AM74" s="74"/>
      <c r="AN74" s="81" t="str">
        <f t="shared" si="29"/>
        <v/>
      </c>
      <c r="AO74" s="82"/>
      <c r="AP74" s="75"/>
      <c r="AQ74" s="75"/>
      <c r="AR74" s="80">
        <f t="shared" si="30"/>
        <v>0</v>
      </c>
      <c r="AS74" s="74"/>
      <c r="AT74" s="75"/>
      <c r="AU74" s="75"/>
      <c r="AV74" s="75"/>
      <c r="AW74" s="80">
        <f t="shared" si="31"/>
        <v>0</v>
      </c>
      <c r="AX74" s="81" t="str">
        <f t="shared" si="32"/>
        <v/>
      </c>
      <c r="AY74" s="83" t="str">
        <f t="shared" si="33"/>
        <v/>
      </c>
      <c r="AZ74" s="80" t="str">
        <f t="shared" si="34"/>
        <v/>
      </c>
      <c r="BA74" s="84">
        <f t="shared" si="35"/>
        <v>0</v>
      </c>
      <c r="BB74" s="85" t="str">
        <f t="shared" si="36"/>
        <v/>
      </c>
      <c r="BC74" s="86" t="str">
        <f t="shared" si="37"/>
        <v/>
      </c>
      <c r="BD74" s="84">
        <f t="shared" si="38"/>
        <v>0</v>
      </c>
      <c r="BE74" s="87" t="str">
        <f t="shared" si="39"/>
        <v/>
      </c>
      <c r="BF74" s="88" t="str">
        <f t="shared" si="40"/>
        <v/>
      </c>
      <c r="BG74" s="89" t="str">
        <f t="shared" si="41"/>
        <v/>
      </c>
      <c r="BH74" s="90" t="str">
        <f t="shared" si="42"/>
        <v/>
      </c>
      <c r="BI74" s="90" t="str">
        <f t="shared" si="43"/>
        <v/>
      </c>
      <c r="BJ74" s="91">
        <f t="shared" si="44"/>
        <v>0</v>
      </c>
      <c r="BK74" s="92">
        <f t="shared" si="45"/>
        <v>0</v>
      </c>
      <c r="BL74" s="95"/>
    </row>
    <row r="75" spans="1:64">
      <c r="A75" s="61"/>
      <c r="B75" s="62"/>
      <c r="C75" s="63"/>
      <c r="D75" s="64"/>
      <c r="E75" s="64"/>
      <c r="F75" s="65"/>
      <c r="G75" s="66" t="str">
        <f t="shared" si="23"/>
        <v/>
      </c>
      <c r="H75" s="67" t="str">
        <f t="shared" si="24"/>
        <v/>
      </c>
      <c r="I75" s="68" t="str">
        <f t="shared" si="25"/>
        <v/>
      </c>
      <c r="J75" s="69" t="str">
        <f t="shared" si="26"/>
        <v/>
      </c>
      <c r="K75" s="70" t="str">
        <f t="shared" si="27"/>
        <v/>
      </c>
      <c r="L75" s="71"/>
      <c r="M75" s="71"/>
      <c r="N75" s="71"/>
      <c r="O75" s="71"/>
      <c r="P75" s="61"/>
      <c r="Q75" s="63"/>
      <c r="R75" s="72"/>
      <c r="S75" s="61"/>
      <c r="T75" s="73"/>
      <c r="U75" s="62"/>
      <c r="V75" s="62"/>
      <c r="W75" s="62"/>
      <c r="X75" s="93"/>
      <c r="Y75" s="94"/>
      <c r="Z75" s="74"/>
      <c r="AA75" s="75"/>
      <c r="AB75" s="75"/>
      <c r="AC75" s="76"/>
      <c r="AD75" s="77"/>
      <c r="AE75" s="75"/>
      <c r="AF75" s="78"/>
      <c r="AG75" s="79"/>
      <c r="AH75" s="74"/>
      <c r="AI75" s="75"/>
      <c r="AJ75" s="75"/>
      <c r="AK75" s="80">
        <f t="shared" si="28"/>
        <v>0</v>
      </c>
      <c r="AL75" s="74"/>
      <c r="AM75" s="74"/>
      <c r="AN75" s="81" t="str">
        <f t="shared" si="29"/>
        <v/>
      </c>
      <c r="AO75" s="82"/>
      <c r="AP75" s="75"/>
      <c r="AQ75" s="75"/>
      <c r="AR75" s="80">
        <f t="shared" si="30"/>
        <v>0</v>
      </c>
      <c r="AS75" s="74"/>
      <c r="AT75" s="75"/>
      <c r="AU75" s="75"/>
      <c r="AV75" s="75"/>
      <c r="AW75" s="80">
        <f t="shared" si="31"/>
        <v>0</v>
      </c>
      <c r="AX75" s="81" t="str">
        <f t="shared" si="32"/>
        <v/>
      </c>
      <c r="AY75" s="83" t="str">
        <f t="shared" si="33"/>
        <v/>
      </c>
      <c r="AZ75" s="80" t="str">
        <f t="shared" si="34"/>
        <v/>
      </c>
      <c r="BA75" s="84">
        <f t="shared" si="35"/>
        <v>0</v>
      </c>
      <c r="BB75" s="85" t="str">
        <f t="shared" si="36"/>
        <v/>
      </c>
      <c r="BC75" s="86" t="str">
        <f t="shared" si="37"/>
        <v/>
      </c>
      <c r="BD75" s="84">
        <f t="shared" si="38"/>
        <v>0</v>
      </c>
      <c r="BE75" s="87" t="str">
        <f t="shared" si="39"/>
        <v/>
      </c>
      <c r="BF75" s="88" t="str">
        <f t="shared" si="40"/>
        <v/>
      </c>
      <c r="BG75" s="89" t="str">
        <f t="shared" si="41"/>
        <v/>
      </c>
      <c r="BH75" s="90" t="str">
        <f t="shared" si="42"/>
        <v/>
      </c>
      <c r="BI75" s="90" t="str">
        <f t="shared" si="43"/>
        <v/>
      </c>
      <c r="BJ75" s="91">
        <f t="shared" si="44"/>
        <v>0</v>
      </c>
      <c r="BK75" s="92">
        <f t="shared" si="45"/>
        <v>0</v>
      </c>
      <c r="BL75" s="95"/>
    </row>
    <row r="76" spans="1:64">
      <c r="A76" s="61"/>
      <c r="B76" s="62"/>
      <c r="C76" s="63"/>
      <c r="D76" s="64"/>
      <c r="E76" s="64"/>
      <c r="F76" s="65"/>
      <c r="G76" s="66" t="str">
        <f t="shared" si="23"/>
        <v/>
      </c>
      <c r="H76" s="67" t="str">
        <f t="shared" si="24"/>
        <v/>
      </c>
      <c r="I76" s="68" t="str">
        <f t="shared" si="25"/>
        <v/>
      </c>
      <c r="J76" s="69" t="str">
        <f t="shared" si="26"/>
        <v/>
      </c>
      <c r="K76" s="70" t="str">
        <f t="shared" si="27"/>
        <v/>
      </c>
      <c r="L76" s="71"/>
      <c r="M76" s="71"/>
      <c r="N76" s="71"/>
      <c r="O76" s="71"/>
      <c r="P76" s="61"/>
      <c r="Q76" s="63"/>
      <c r="R76" s="72"/>
      <c r="S76" s="61"/>
      <c r="T76" s="73"/>
      <c r="U76" s="62"/>
      <c r="V76" s="62"/>
      <c r="W76" s="62"/>
      <c r="X76" s="93"/>
      <c r="Y76" s="94"/>
      <c r="Z76" s="74"/>
      <c r="AA76" s="75"/>
      <c r="AB76" s="75"/>
      <c r="AC76" s="76"/>
      <c r="AD76" s="77"/>
      <c r="AE76" s="75"/>
      <c r="AF76" s="78"/>
      <c r="AG76" s="79"/>
      <c r="AH76" s="74"/>
      <c r="AI76" s="75"/>
      <c r="AJ76" s="75"/>
      <c r="AK76" s="80">
        <f t="shared" si="28"/>
        <v>0</v>
      </c>
      <c r="AL76" s="74"/>
      <c r="AM76" s="74"/>
      <c r="AN76" s="81" t="str">
        <f t="shared" si="29"/>
        <v/>
      </c>
      <c r="AO76" s="82"/>
      <c r="AP76" s="75"/>
      <c r="AQ76" s="75"/>
      <c r="AR76" s="80">
        <f t="shared" si="30"/>
        <v>0</v>
      </c>
      <c r="AS76" s="74"/>
      <c r="AT76" s="75"/>
      <c r="AU76" s="75"/>
      <c r="AV76" s="75"/>
      <c r="AW76" s="80">
        <f t="shared" si="31"/>
        <v>0</v>
      </c>
      <c r="AX76" s="81" t="str">
        <f t="shared" si="32"/>
        <v/>
      </c>
      <c r="AY76" s="83" t="str">
        <f t="shared" si="33"/>
        <v/>
      </c>
      <c r="AZ76" s="80" t="str">
        <f t="shared" si="34"/>
        <v/>
      </c>
      <c r="BA76" s="84">
        <f t="shared" si="35"/>
        <v>0</v>
      </c>
      <c r="BB76" s="85" t="str">
        <f t="shared" si="36"/>
        <v/>
      </c>
      <c r="BC76" s="86" t="str">
        <f t="shared" si="37"/>
        <v/>
      </c>
      <c r="BD76" s="84">
        <f t="shared" si="38"/>
        <v>0</v>
      </c>
      <c r="BE76" s="87" t="str">
        <f t="shared" si="39"/>
        <v/>
      </c>
      <c r="BF76" s="88" t="str">
        <f t="shared" si="40"/>
        <v/>
      </c>
      <c r="BG76" s="89" t="str">
        <f t="shared" si="41"/>
        <v/>
      </c>
      <c r="BH76" s="90" t="str">
        <f t="shared" si="42"/>
        <v/>
      </c>
      <c r="BI76" s="90" t="str">
        <f t="shared" si="43"/>
        <v/>
      </c>
      <c r="BJ76" s="91">
        <f t="shared" si="44"/>
        <v>0</v>
      </c>
      <c r="BK76" s="92">
        <f t="shared" si="45"/>
        <v>0</v>
      </c>
      <c r="BL76" s="95"/>
    </row>
    <row r="77" spans="1:64">
      <c r="A77" s="61"/>
      <c r="B77" s="62"/>
      <c r="C77" s="63"/>
      <c r="D77" s="64"/>
      <c r="E77" s="64"/>
      <c r="F77" s="65"/>
      <c r="G77" s="66" t="str">
        <f t="shared" si="23"/>
        <v/>
      </c>
      <c r="H77" s="67" t="str">
        <f t="shared" si="24"/>
        <v/>
      </c>
      <c r="I77" s="68" t="str">
        <f t="shared" si="25"/>
        <v/>
      </c>
      <c r="J77" s="69" t="str">
        <f t="shared" si="26"/>
        <v/>
      </c>
      <c r="K77" s="70" t="str">
        <f t="shared" si="27"/>
        <v/>
      </c>
      <c r="L77" s="71"/>
      <c r="M77" s="71"/>
      <c r="N77" s="71"/>
      <c r="O77" s="71"/>
      <c r="P77" s="61"/>
      <c r="Q77" s="63"/>
      <c r="R77" s="72"/>
      <c r="S77" s="61"/>
      <c r="T77" s="73"/>
      <c r="U77" s="62"/>
      <c r="V77" s="62"/>
      <c r="W77" s="62"/>
      <c r="X77" s="93"/>
      <c r="Y77" s="94"/>
      <c r="Z77" s="74"/>
      <c r="AA77" s="75"/>
      <c r="AB77" s="75"/>
      <c r="AC77" s="76"/>
      <c r="AD77" s="77"/>
      <c r="AE77" s="75"/>
      <c r="AF77" s="78"/>
      <c r="AG77" s="79"/>
      <c r="AH77" s="74"/>
      <c r="AI77" s="75"/>
      <c r="AJ77" s="75"/>
      <c r="AK77" s="80">
        <f t="shared" si="28"/>
        <v>0</v>
      </c>
      <c r="AL77" s="74"/>
      <c r="AM77" s="74"/>
      <c r="AN77" s="81" t="str">
        <f t="shared" si="29"/>
        <v/>
      </c>
      <c r="AO77" s="82"/>
      <c r="AP77" s="75"/>
      <c r="AQ77" s="75"/>
      <c r="AR77" s="80">
        <f t="shared" si="30"/>
        <v>0</v>
      </c>
      <c r="AS77" s="74"/>
      <c r="AT77" s="75"/>
      <c r="AU77" s="75"/>
      <c r="AV77" s="75"/>
      <c r="AW77" s="80">
        <f t="shared" si="31"/>
        <v>0</v>
      </c>
      <c r="AX77" s="81" t="str">
        <f t="shared" si="32"/>
        <v/>
      </c>
      <c r="AY77" s="83" t="str">
        <f t="shared" si="33"/>
        <v/>
      </c>
      <c r="AZ77" s="80" t="str">
        <f t="shared" si="34"/>
        <v/>
      </c>
      <c r="BA77" s="84">
        <f t="shared" si="35"/>
        <v>0</v>
      </c>
      <c r="BB77" s="85" t="str">
        <f t="shared" si="36"/>
        <v/>
      </c>
      <c r="BC77" s="86" t="str">
        <f t="shared" si="37"/>
        <v/>
      </c>
      <c r="BD77" s="84">
        <f t="shared" si="38"/>
        <v>0</v>
      </c>
      <c r="BE77" s="87" t="str">
        <f t="shared" si="39"/>
        <v/>
      </c>
      <c r="BF77" s="88" t="str">
        <f t="shared" si="40"/>
        <v/>
      </c>
      <c r="BG77" s="89" t="str">
        <f t="shared" si="41"/>
        <v/>
      </c>
      <c r="BH77" s="90" t="str">
        <f t="shared" si="42"/>
        <v/>
      </c>
      <c r="BI77" s="90" t="str">
        <f t="shared" si="43"/>
        <v/>
      </c>
      <c r="BJ77" s="91">
        <f t="shared" si="44"/>
        <v>0</v>
      </c>
      <c r="BK77" s="92">
        <f t="shared" si="45"/>
        <v>0</v>
      </c>
      <c r="BL77" s="95"/>
    </row>
    <row r="78" spans="1:64">
      <c r="A78" s="61"/>
      <c r="B78" s="62"/>
      <c r="C78" s="63"/>
      <c r="D78" s="64"/>
      <c r="E78" s="64"/>
      <c r="F78" s="65"/>
      <c r="G78" s="66" t="str">
        <f t="shared" si="23"/>
        <v/>
      </c>
      <c r="H78" s="67" t="str">
        <f t="shared" si="24"/>
        <v/>
      </c>
      <c r="I78" s="68" t="str">
        <f t="shared" si="25"/>
        <v/>
      </c>
      <c r="J78" s="69" t="str">
        <f t="shared" si="26"/>
        <v/>
      </c>
      <c r="K78" s="70" t="str">
        <f t="shared" si="27"/>
        <v/>
      </c>
      <c r="L78" s="71"/>
      <c r="M78" s="71"/>
      <c r="N78" s="71"/>
      <c r="O78" s="71"/>
      <c r="P78" s="61"/>
      <c r="Q78" s="63"/>
      <c r="R78" s="72"/>
      <c r="S78" s="61"/>
      <c r="T78" s="73"/>
      <c r="U78" s="62"/>
      <c r="V78" s="62"/>
      <c r="W78" s="62"/>
      <c r="X78" s="93"/>
      <c r="Y78" s="94"/>
      <c r="Z78" s="74"/>
      <c r="AA78" s="75"/>
      <c r="AB78" s="75"/>
      <c r="AC78" s="76"/>
      <c r="AD78" s="77"/>
      <c r="AE78" s="75"/>
      <c r="AF78" s="78"/>
      <c r="AG78" s="79"/>
      <c r="AH78" s="74"/>
      <c r="AI78" s="75"/>
      <c r="AJ78" s="75"/>
      <c r="AK78" s="80">
        <f t="shared" si="28"/>
        <v>0</v>
      </c>
      <c r="AL78" s="74"/>
      <c r="AM78" s="74"/>
      <c r="AN78" s="81" t="str">
        <f t="shared" si="29"/>
        <v/>
      </c>
      <c r="AO78" s="82"/>
      <c r="AP78" s="75"/>
      <c r="AQ78" s="75"/>
      <c r="AR78" s="80">
        <f t="shared" si="30"/>
        <v>0</v>
      </c>
      <c r="AS78" s="74"/>
      <c r="AT78" s="75"/>
      <c r="AU78" s="75"/>
      <c r="AV78" s="75"/>
      <c r="AW78" s="80">
        <f t="shared" si="31"/>
        <v>0</v>
      </c>
      <c r="AX78" s="81" t="str">
        <f t="shared" si="32"/>
        <v/>
      </c>
      <c r="AY78" s="83" t="str">
        <f t="shared" si="33"/>
        <v/>
      </c>
      <c r="AZ78" s="80" t="str">
        <f t="shared" si="34"/>
        <v/>
      </c>
      <c r="BA78" s="84">
        <f t="shared" si="35"/>
        <v>0</v>
      </c>
      <c r="BB78" s="85" t="str">
        <f t="shared" si="36"/>
        <v/>
      </c>
      <c r="BC78" s="86" t="str">
        <f t="shared" si="37"/>
        <v/>
      </c>
      <c r="BD78" s="84">
        <f t="shared" si="38"/>
        <v>0</v>
      </c>
      <c r="BE78" s="87" t="str">
        <f t="shared" si="39"/>
        <v/>
      </c>
      <c r="BF78" s="88" t="str">
        <f t="shared" si="40"/>
        <v/>
      </c>
      <c r="BG78" s="89" t="str">
        <f t="shared" si="41"/>
        <v/>
      </c>
      <c r="BH78" s="90" t="str">
        <f t="shared" si="42"/>
        <v/>
      </c>
      <c r="BI78" s="90" t="str">
        <f t="shared" si="43"/>
        <v/>
      </c>
      <c r="BJ78" s="91">
        <f t="shared" si="44"/>
        <v>0</v>
      </c>
      <c r="BK78" s="92">
        <f t="shared" si="45"/>
        <v>0</v>
      </c>
      <c r="BL78" s="95"/>
    </row>
    <row r="79" spans="1:64">
      <c r="A79" s="61"/>
      <c r="B79" s="62"/>
      <c r="C79" s="63"/>
      <c r="D79" s="64"/>
      <c r="E79" s="64"/>
      <c r="F79" s="65"/>
      <c r="G79" s="66" t="str">
        <f t="shared" si="23"/>
        <v/>
      </c>
      <c r="H79" s="67" t="str">
        <f t="shared" si="24"/>
        <v/>
      </c>
      <c r="I79" s="68" t="str">
        <f t="shared" si="25"/>
        <v/>
      </c>
      <c r="J79" s="69" t="str">
        <f t="shared" si="26"/>
        <v/>
      </c>
      <c r="K79" s="70" t="str">
        <f t="shared" si="27"/>
        <v/>
      </c>
      <c r="L79" s="71"/>
      <c r="M79" s="71"/>
      <c r="N79" s="71"/>
      <c r="O79" s="71"/>
      <c r="P79" s="61"/>
      <c r="Q79" s="63"/>
      <c r="R79" s="72"/>
      <c r="S79" s="61"/>
      <c r="T79" s="73"/>
      <c r="U79" s="62"/>
      <c r="V79" s="62"/>
      <c r="W79" s="62"/>
      <c r="X79" s="93"/>
      <c r="Y79" s="94"/>
      <c r="Z79" s="74"/>
      <c r="AA79" s="75"/>
      <c r="AB79" s="75"/>
      <c r="AC79" s="76"/>
      <c r="AD79" s="77"/>
      <c r="AE79" s="75"/>
      <c r="AF79" s="78"/>
      <c r="AG79" s="79"/>
      <c r="AH79" s="74"/>
      <c r="AI79" s="75"/>
      <c r="AJ79" s="75"/>
      <c r="AK79" s="80">
        <f t="shared" si="28"/>
        <v>0</v>
      </c>
      <c r="AL79" s="74"/>
      <c r="AM79" s="74"/>
      <c r="AN79" s="81" t="str">
        <f t="shared" si="29"/>
        <v/>
      </c>
      <c r="AO79" s="82"/>
      <c r="AP79" s="75"/>
      <c r="AQ79" s="75"/>
      <c r="AR79" s="80">
        <f t="shared" si="30"/>
        <v>0</v>
      </c>
      <c r="AS79" s="74"/>
      <c r="AT79" s="75"/>
      <c r="AU79" s="75"/>
      <c r="AV79" s="75"/>
      <c r="AW79" s="80">
        <f t="shared" si="31"/>
        <v>0</v>
      </c>
      <c r="AX79" s="81" t="str">
        <f t="shared" si="32"/>
        <v/>
      </c>
      <c r="AY79" s="83" t="str">
        <f t="shared" si="33"/>
        <v/>
      </c>
      <c r="AZ79" s="80" t="str">
        <f t="shared" si="34"/>
        <v/>
      </c>
      <c r="BA79" s="84">
        <f t="shared" si="35"/>
        <v>0</v>
      </c>
      <c r="BB79" s="85" t="str">
        <f t="shared" si="36"/>
        <v/>
      </c>
      <c r="BC79" s="86" t="str">
        <f t="shared" si="37"/>
        <v/>
      </c>
      <c r="BD79" s="84">
        <f t="shared" si="38"/>
        <v>0</v>
      </c>
      <c r="BE79" s="87" t="str">
        <f t="shared" si="39"/>
        <v/>
      </c>
      <c r="BF79" s="88" t="str">
        <f t="shared" si="40"/>
        <v/>
      </c>
      <c r="BG79" s="89" t="str">
        <f t="shared" si="41"/>
        <v/>
      </c>
      <c r="BH79" s="90" t="str">
        <f t="shared" si="42"/>
        <v/>
      </c>
      <c r="BI79" s="90" t="str">
        <f t="shared" si="43"/>
        <v/>
      </c>
      <c r="BJ79" s="91">
        <f t="shared" si="44"/>
        <v>0</v>
      </c>
      <c r="BK79" s="92">
        <f t="shared" si="45"/>
        <v>0</v>
      </c>
      <c r="BL79" s="95"/>
    </row>
    <row r="80" spans="1:64">
      <c r="A80" s="61"/>
      <c r="B80" s="62"/>
      <c r="C80" s="63"/>
      <c r="D80" s="64"/>
      <c r="E80" s="64"/>
      <c r="F80" s="65"/>
      <c r="G80" s="66" t="str">
        <f t="shared" si="23"/>
        <v/>
      </c>
      <c r="H80" s="67" t="str">
        <f t="shared" si="24"/>
        <v/>
      </c>
      <c r="I80" s="68" t="str">
        <f t="shared" si="25"/>
        <v/>
      </c>
      <c r="J80" s="69" t="str">
        <f t="shared" si="26"/>
        <v/>
      </c>
      <c r="K80" s="70" t="str">
        <f t="shared" si="27"/>
        <v/>
      </c>
      <c r="L80" s="71"/>
      <c r="M80" s="71"/>
      <c r="N80" s="71"/>
      <c r="O80" s="71"/>
      <c r="P80" s="61"/>
      <c r="Q80" s="63"/>
      <c r="R80" s="72"/>
      <c r="S80" s="61"/>
      <c r="T80" s="73"/>
      <c r="U80" s="62"/>
      <c r="V80" s="62"/>
      <c r="W80" s="62"/>
      <c r="X80" s="93"/>
      <c r="Y80" s="94"/>
      <c r="Z80" s="74"/>
      <c r="AA80" s="75"/>
      <c r="AB80" s="75"/>
      <c r="AC80" s="76"/>
      <c r="AD80" s="77"/>
      <c r="AE80" s="75"/>
      <c r="AF80" s="78"/>
      <c r="AG80" s="79"/>
      <c r="AH80" s="74"/>
      <c r="AI80" s="75"/>
      <c r="AJ80" s="75"/>
      <c r="AK80" s="80">
        <f t="shared" si="28"/>
        <v>0</v>
      </c>
      <c r="AL80" s="74"/>
      <c r="AM80" s="74"/>
      <c r="AN80" s="81" t="str">
        <f t="shared" si="29"/>
        <v/>
      </c>
      <c r="AO80" s="82"/>
      <c r="AP80" s="75"/>
      <c r="AQ80" s="75"/>
      <c r="AR80" s="80">
        <f t="shared" si="30"/>
        <v>0</v>
      </c>
      <c r="AS80" s="74"/>
      <c r="AT80" s="75"/>
      <c r="AU80" s="75"/>
      <c r="AV80" s="75"/>
      <c r="AW80" s="80">
        <f t="shared" si="31"/>
        <v>0</v>
      </c>
      <c r="AX80" s="81" t="str">
        <f t="shared" si="32"/>
        <v/>
      </c>
      <c r="AY80" s="83" t="str">
        <f t="shared" si="33"/>
        <v/>
      </c>
      <c r="AZ80" s="80" t="str">
        <f t="shared" si="34"/>
        <v/>
      </c>
      <c r="BA80" s="84">
        <f t="shared" si="35"/>
        <v>0</v>
      </c>
      <c r="BB80" s="85" t="str">
        <f t="shared" si="36"/>
        <v/>
      </c>
      <c r="BC80" s="86" t="str">
        <f t="shared" si="37"/>
        <v/>
      </c>
      <c r="BD80" s="84">
        <f t="shared" si="38"/>
        <v>0</v>
      </c>
      <c r="BE80" s="87" t="str">
        <f t="shared" si="39"/>
        <v/>
      </c>
      <c r="BF80" s="88" t="str">
        <f t="shared" si="40"/>
        <v/>
      </c>
      <c r="BG80" s="89" t="str">
        <f t="shared" si="41"/>
        <v/>
      </c>
      <c r="BH80" s="90" t="str">
        <f t="shared" si="42"/>
        <v/>
      </c>
      <c r="BI80" s="90" t="str">
        <f t="shared" si="43"/>
        <v/>
      </c>
      <c r="BJ80" s="91">
        <f t="shared" si="44"/>
        <v>0</v>
      </c>
      <c r="BK80" s="92">
        <f t="shared" si="45"/>
        <v>0</v>
      </c>
      <c r="BL80" s="95"/>
    </row>
    <row r="81" spans="1:64">
      <c r="A81" s="61"/>
      <c r="B81" s="62"/>
      <c r="C81" s="63"/>
      <c r="D81" s="64"/>
      <c r="E81" s="64"/>
      <c r="F81" s="65"/>
      <c r="G81" s="66" t="str">
        <f t="shared" si="23"/>
        <v/>
      </c>
      <c r="H81" s="67" t="str">
        <f t="shared" si="24"/>
        <v/>
      </c>
      <c r="I81" s="68" t="str">
        <f t="shared" si="25"/>
        <v/>
      </c>
      <c r="J81" s="69" t="str">
        <f t="shared" si="26"/>
        <v/>
      </c>
      <c r="K81" s="70" t="str">
        <f t="shared" si="27"/>
        <v/>
      </c>
      <c r="L81" s="71"/>
      <c r="M81" s="71"/>
      <c r="N81" s="71"/>
      <c r="O81" s="71"/>
      <c r="P81" s="61"/>
      <c r="Q81" s="63"/>
      <c r="R81" s="72"/>
      <c r="S81" s="61"/>
      <c r="T81" s="73"/>
      <c r="U81" s="62"/>
      <c r="V81" s="62"/>
      <c r="W81" s="62"/>
      <c r="X81" s="93"/>
      <c r="Y81" s="94"/>
      <c r="Z81" s="74"/>
      <c r="AA81" s="75"/>
      <c r="AB81" s="75"/>
      <c r="AC81" s="76"/>
      <c r="AD81" s="77"/>
      <c r="AE81" s="75"/>
      <c r="AF81" s="78"/>
      <c r="AG81" s="79"/>
      <c r="AH81" s="74"/>
      <c r="AI81" s="75"/>
      <c r="AJ81" s="75"/>
      <c r="AK81" s="80">
        <f t="shared" si="28"/>
        <v>0</v>
      </c>
      <c r="AL81" s="74"/>
      <c r="AM81" s="74"/>
      <c r="AN81" s="81" t="str">
        <f t="shared" si="29"/>
        <v/>
      </c>
      <c r="AO81" s="82"/>
      <c r="AP81" s="75"/>
      <c r="AQ81" s="75"/>
      <c r="AR81" s="80">
        <f t="shared" si="30"/>
        <v>0</v>
      </c>
      <c r="AS81" s="74"/>
      <c r="AT81" s="75"/>
      <c r="AU81" s="75"/>
      <c r="AV81" s="75"/>
      <c r="AW81" s="80">
        <f t="shared" si="31"/>
        <v>0</v>
      </c>
      <c r="AX81" s="81" t="str">
        <f t="shared" si="32"/>
        <v/>
      </c>
      <c r="AY81" s="83" t="str">
        <f t="shared" si="33"/>
        <v/>
      </c>
      <c r="AZ81" s="80" t="str">
        <f t="shared" si="34"/>
        <v/>
      </c>
      <c r="BA81" s="84">
        <f t="shared" si="35"/>
        <v>0</v>
      </c>
      <c r="BB81" s="85" t="str">
        <f t="shared" si="36"/>
        <v/>
      </c>
      <c r="BC81" s="86" t="str">
        <f t="shared" si="37"/>
        <v/>
      </c>
      <c r="BD81" s="84">
        <f t="shared" si="38"/>
        <v>0</v>
      </c>
      <c r="BE81" s="87" t="str">
        <f t="shared" si="39"/>
        <v/>
      </c>
      <c r="BF81" s="88" t="str">
        <f t="shared" si="40"/>
        <v/>
      </c>
      <c r="BG81" s="89" t="str">
        <f t="shared" si="41"/>
        <v/>
      </c>
      <c r="BH81" s="90" t="str">
        <f t="shared" si="42"/>
        <v/>
      </c>
      <c r="BI81" s="90" t="str">
        <f t="shared" si="43"/>
        <v/>
      </c>
      <c r="BJ81" s="91">
        <f t="shared" si="44"/>
        <v>0</v>
      </c>
      <c r="BK81" s="92">
        <f t="shared" si="45"/>
        <v>0</v>
      </c>
      <c r="BL81" s="95"/>
    </row>
    <row r="82" spans="1:64">
      <c r="A82" s="61"/>
      <c r="B82" s="62"/>
      <c r="C82" s="63"/>
      <c r="D82" s="64"/>
      <c r="E82" s="64"/>
      <c r="F82" s="65"/>
      <c r="G82" s="66" t="str">
        <f t="shared" si="23"/>
        <v/>
      </c>
      <c r="H82" s="67" t="str">
        <f t="shared" si="24"/>
        <v/>
      </c>
      <c r="I82" s="68" t="str">
        <f t="shared" si="25"/>
        <v/>
      </c>
      <c r="J82" s="69" t="str">
        <f t="shared" si="26"/>
        <v/>
      </c>
      <c r="K82" s="70" t="str">
        <f t="shared" si="27"/>
        <v/>
      </c>
      <c r="L82" s="71"/>
      <c r="M82" s="71"/>
      <c r="N82" s="71"/>
      <c r="O82" s="71"/>
      <c r="P82" s="61"/>
      <c r="Q82" s="63"/>
      <c r="R82" s="72"/>
      <c r="S82" s="61"/>
      <c r="T82" s="73"/>
      <c r="U82" s="62"/>
      <c r="V82" s="62"/>
      <c r="W82" s="62"/>
      <c r="X82" s="93"/>
      <c r="Y82" s="94"/>
      <c r="Z82" s="74"/>
      <c r="AA82" s="75"/>
      <c r="AB82" s="75"/>
      <c r="AC82" s="76"/>
      <c r="AD82" s="77"/>
      <c r="AE82" s="75"/>
      <c r="AF82" s="78"/>
      <c r="AG82" s="79"/>
      <c r="AH82" s="74"/>
      <c r="AI82" s="75"/>
      <c r="AJ82" s="75"/>
      <c r="AK82" s="80">
        <f t="shared" si="28"/>
        <v>0</v>
      </c>
      <c r="AL82" s="74"/>
      <c r="AM82" s="74"/>
      <c r="AN82" s="81" t="str">
        <f t="shared" si="29"/>
        <v/>
      </c>
      <c r="AO82" s="82"/>
      <c r="AP82" s="75"/>
      <c r="AQ82" s="75"/>
      <c r="AR82" s="80">
        <f t="shared" si="30"/>
        <v>0</v>
      </c>
      <c r="AS82" s="74"/>
      <c r="AT82" s="75"/>
      <c r="AU82" s="75"/>
      <c r="AV82" s="75"/>
      <c r="AW82" s="80">
        <f t="shared" si="31"/>
        <v>0</v>
      </c>
      <c r="AX82" s="81" t="str">
        <f t="shared" si="32"/>
        <v/>
      </c>
      <c r="AY82" s="83" t="str">
        <f t="shared" si="33"/>
        <v/>
      </c>
      <c r="AZ82" s="80" t="str">
        <f t="shared" si="34"/>
        <v/>
      </c>
      <c r="BA82" s="84">
        <f t="shared" si="35"/>
        <v>0</v>
      </c>
      <c r="BB82" s="85" t="str">
        <f t="shared" si="36"/>
        <v/>
      </c>
      <c r="BC82" s="86" t="str">
        <f t="shared" si="37"/>
        <v/>
      </c>
      <c r="BD82" s="84">
        <f t="shared" si="38"/>
        <v>0</v>
      </c>
      <c r="BE82" s="87" t="str">
        <f t="shared" si="39"/>
        <v/>
      </c>
      <c r="BF82" s="88" t="str">
        <f t="shared" si="40"/>
        <v/>
      </c>
      <c r="BG82" s="89" t="str">
        <f t="shared" si="41"/>
        <v/>
      </c>
      <c r="BH82" s="90" t="str">
        <f t="shared" si="42"/>
        <v/>
      </c>
      <c r="BI82" s="90" t="str">
        <f t="shared" si="43"/>
        <v/>
      </c>
      <c r="BJ82" s="91">
        <f t="shared" si="44"/>
        <v>0</v>
      </c>
      <c r="BK82" s="92">
        <f t="shared" si="45"/>
        <v>0</v>
      </c>
      <c r="BL82" s="95"/>
    </row>
    <row r="83" spans="1:64">
      <c r="A83" s="61"/>
      <c r="B83" s="62"/>
      <c r="C83" s="63"/>
      <c r="D83" s="64"/>
      <c r="E83" s="64"/>
      <c r="F83" s="65"/>
      <c r="G83" s="66" t="str">
        <f t="shared" si="23"/>
        <v/>
      </c>
      <c r="H83" s="67" t="str">
        <f t="shared" si="24"/>
        <v/>
      </c>
      <c r="I83" s="68" t="str">
        <f t="shared" si="25"/>
        <v/>
      </c>
      <c r="J83" s="69" t="str">
        <f t="shared" si="26"/>
        <v/>
      </c>
      <c r="K83" s="70" t="str">
        <f t="shared" si="27"/>
        <v/>
      </c>
      <c r="L83" s="71"/>
      <c r="M83" s="71"/>
      <c r="N83" s="71"/>
      <c r="O83" s="71"/>
      <c r="P83" s="61"/>
      <c r="Q83" s="63"/>
      <c r="R83" s="72"/>
      <c r="S83" s="61"/>
      <c r="T83" s="73"/>
      <c r="U83" s="62"/>
      <c r="V83" s="62"/>
      <c r="W83" s="62"/>
      <c r="X83" s="93"/>
      <c r="Y83" s="94"/>
      <c r="Z83" s="74"/>
      <c r="AA83" s="75"/>
      <c r="AB83" s="75"/>
      <c r="AC83" s="76"/>
      <c r="AD83" s="77"/>
      <c r="AE83" s="75"/>
      <c r="AF83" s="78"/>
      <c r="AG83" s="79"/>
      <c r="AH83" s="74"/>
      <c r="AI83" s="75"/>
      <c r="AJ83" s="75"/>
      <c r="AK83" s="80">
        <f t="shared" si="28"/>
        <v>0</v>
      </c>
      <c r="AL83" s="74"/>
      <c r="AM83" s="74"/>
      <c r="AN83" s="81" t="str">
        <f t="shared" si="29"/>
        <v/>
      </c>
      <c r="AO83" s="82"/>
      <c r="AP83" s="75"/>
      <c r="AQ83" s="75"/>
      <c r="AR83" s="80">
        <f t="shared" si="30"/>
        <v>0</v>
      </c>
      <c r="AS83" s="74"/>
      <c r="AT83" s="75"/>
      <c r="AU83" s="75"/>
      <c r="AV83" s="75"/>
      <c r="AW83" s="80">
        <f t="shared" si="31"/>
        <v>0</v>
      </c>
      <c r="AX83" s="81" t="str">
        <f t="shared" si="32"/>
        <v/>
      </c>
      <c r="AY83" s="83" t="str">
        <f t="shared" si="33"/>
        <v/>
      </c>
      <c r="AZ83" s="80" t="str">
        <f t="shared" si="34"/>
        <v/>
      </c>
      <c r="BA83" s="84">
        <f t="shared" si="35"/>
        <v>0</v>
      </c>
      <c r="BB83" s="85" t="str">
        <f t="shared" si="36"/>
        <v/>
      </c>
      <c r="BC83" s="86" t="str">
        <f t="shared" si="37"/>
        <v/>
      </c>
      <c r="BD83" s="84">
        <f t="shared" si="38"/>
        <v>0</v>
      </c>
      <c r="BE83" s="87" t="str">
        <f t="shared" si="39"/>
        <v/>
      </c>
      <c r="BF83" s="88" t="str">
        <f t="shared" si="40"/>
        <v/>
      </c>
      <c r="BG83" s="89" t="str">
        <f t="shared" si="41"/>
        <v/>
      </c>
      <c r="BH83" s="90" t="str">
        <f t="shared" si="42"/>
        <v/>
      </c>
      <c r="BI83" s="90" t="str">
        <f t="shared" si="43"/>
        <v/>
      </c>
      <c r="BJ83" s="91">
        <f t="shared" si="44"/>
        <v>0</v>
      </c>
      <c r="BK83" s="92">
        <f t="shared" si="45"/>
        <v>0</v>
      </c>
      <c r="BL83" s="95"/>
    </row>
    <row r="84" spans="1:64">
      <c r="A84" s="61"/>
      <c r="B84" s="62"/>
      <c r="C84" s="63"/>
      <c r="D84" s="64"/>
      <c r="E84" s="64"/>
      <c r="F84" s="65"/>
      <c r="G84" s="66" t="str">
        <f t="shared" si="23"/>
        <v/>
      </c>
      <c r="H84" s="67" t="str">
        <f t="shared" si="24"/>
        <v/>
      </c>
      <c r="I84" s="68" t="str">
        <f t="shared" si="25"/>
        <v/>
      </c>
      <c r="J84" s="69" t="str">
        <f t="shared" si="26"/>
        <v/>
      </c>
      <c r="K84" s="70" t="str">
        <f t="shared" si="27"/>
        <v/>
      </c>
      <c r="L84" s="71"/>
      <c r="M84" s="71"/>
      <c r="N84" s="71"/>
      <c r="O84" s="71"/>
      <c r="P84" s="61"/>
      <c r="Q84" s="63"/>
      <c r="R84" s="72"/>
      <c r="S84" s="61"/>
      <c r="T84" s="73"/>
      <c r="U84" s="62"/>
      <c r="V84" s="62"/>
      <c r="W84" s="62"/>
      <c r="X84" s="93"/>
      <c r="Y84" s="94"/>
      <c r="Z84" s="74"/>
      <c r="AA84" s="75"/>
      <c r="AB84" s="75"/>
      <c r="AC84" s="76"/>
      <c r="AD84" s="77"/>
      <c r="AE84" s="75"/>
      <c r="AF84" s="78"/>
      <c r="AG84" s="79"/>
      <c r="AH84" s="74"/>
      <c r="AI84" s="75"/>
      <c r="AJ84" s="75"/>
      <c r="AK84" s="80">
        <f t="shared" si="28"/>
        <v>0</v>
      </c>
      <c r="AL84" s="74"/>
      <c r="AM84" s="74"/>
      <c r="AN84" s="81" t="str">
        <f t="shared" si="29"/>
        <v/>
      </c>
      <c r="AO84" s="82"/>
      <c r="AP84" s="75"/>
      <c r="AQ84" s="75"/>
      <c r="AR84" s="80">
        <f t="shared" si="30"/>
        <v>0</v>
      </c>
      <c r="AS84" s="74"/>
      <c r="AT84" s="75"/>
      <c r="AU84" s="75"/>
      <c r="AV84" s="75"/>
      <c r="AW84" s="80">
        <f t="shared" si="31"/>
        <v>0</v>
      </c>
      <c r="AX84" s="81" t="str">
        <f t="shared" si="32"/>
        <v/>
      </c>
      <c r="AY84" s="83" t="str">
        <f t="shared" si="33"/>
        <v/>
      </c>
      <c r="AZ84" s="80" t="str">
        <f t="shared" si="34"/>
        <v/>
      </c>
      <c r="BA84" s="84">
        <f t="shared" si="35"/>
        <v>0</v>
      </c>
      <c r="BB84" s="85" t="str">
        <f t="shared" si="36"/>
        <v/>
      </c>
      <c r="BC84" s="86" t="str">
        <f t="shared" si="37"/>
        <v/>
      </c>
      <c r="BD84" s="84">
        <f t="shared" si="38"/>
        <v>0</v>
      </c>
      <c r="BE84" s="87" t="str">
        <f t="shared" si="39"/>
        <v/>
      </c>
      <c r="BF84" s="88" t="str">
        <f t="shared" si="40"/>
        <v/>
      </c>
      <c r="BG84" s="89" t="str">
        <f t="shared" si="41"/>
        <v/>
      </c>
      <c r="BH84" s="90" t="str">
        <f t="shared" si="42"/>
        <v/>
      </c>
      <c r="BI84" s="90" t="str">
        <f t="shared" si="43"/>
        <v/>
      </c>
      <c r="BJ84" s="91">
        <f t="shared" si="44"/>
        <v>0</v>
      </c>
      <c r="BK84" s="92">
        <f t="shared" si="45"/>
        <v>0</v>
      </c>
      <c r="BL84" s="95"/>
    </row>
    <row r="85" spans="1:64">
      <c r="A85" s="61"/>
      <c r="B85" s="62"/>
      <c r="C85" s="63"/>
      <c r="D85" s="64"/>
      <c r="E85" s="64"/>
      <c r="F85" s="65"/>
      <c r="G85" s="66" t="str">
        <f t="shared" si="23"/>
        <v/>
      </c>
      <c r="H85" s="67" t="str">
        <f t="shared" si="24"/>
        <v/>
      </c>
      <c r="I85" s="68" t="str">
        <f t="shared" si="25"/>
        <v/>
      </c>
      <c r="J85" s="69" t="str">
        <f t="shared" si="26"/>
        <v/>
      </c>
      <c r="K85" s="70" t="str">
        <f t="shared" si="27"/>
        <v/>
      </c>
      <c r="L85" s="71"/>
      <c r="M85" s="71"/>
      <c r="N85" s="71"/>
      <c r="O85" s="71"/>
      <c r="P85" s="61"/>
      <c r="Q85" s="63"/>
      <c r="R85" s="72"/>
      <c r="S85" s="61"/>
      <c r="T85" s="73"/>
      <c r="U85" s="62"/>
      <c r="V85" s="62"/>
      <c r="W85" s="62"/>
      <c r="X85" s="93"/>
      <c r="Y85" s="94"/>
      <c r="Z85" s="74"/>
      <c r="AA85" s="75"/>
      <c r="AB85" s="75"/>
      <c r="AC85" s="76"/>
      <c r="AD85" s="77"/>
      <c r="AE85" s="75"/>
      <c r="AF85" s="78"/>
      <c r="AG85" s="79"/>
      <c r="AH85" s="74"/>
      <c r="AI85" s="75"/>
      <c r="AJ85" s="75"/>
      <c r="AK85" s="80">
        <f t="shared" si="28"/>
        <v>0</v>
      </c>
      <c r="AL85" s="74"/>
      <c r="AM85" s="74"/>
      <c r="AN85" s="81" t="str">
        <f t="shared" si="29"/>
        <v/>
      </c>
      <c r="AO85" s="82"/>
      <c r="AP85" s="75"/>
      <c r="AQ85" s="75"/>
      <c r="AR85" s="80">
        <f t="shared" si="30"/>
        <v>0</v>
      </c>
      <c r="AS85" s="74"/>
      <c r="AT85" s="75"/>
      <c r="AU85" s="75"/>
      <c r="AV85" s="75"/>
      <c r="AW85" s="80">
        <f t="shared" si="31"/>
        <v>0</v>
      </c>
      <c r="AX85" s="81" t="str">
        <f t="shared" si="32"/>
        <v/>
      </c>
      <c r="AY85" s="83" t="str">
        <f t="shared" si="33"/>
        <v/>
      </c>
      <c r="AZ85" s="80" t="str">
        <f t="shared" si="34"/>
        <v/>
      </c>
      <c r="BA85" s="84">
        <f t="shared" si="35"/>
        <v>0</v>
      </c>
      <c r="BB85" s="85" t="str">
        <f t="shared" si="36"/>
        <v/>
      </c>
      <c r="BC85" s="86" t="str">
        <f t="shared" si="37"/>
        <v/>
      </c>
      <c r="BD85" s="84">
        <f t="shared" si="38"/>
        <v>0</v>
      </c>
      <c r="BE85" s="87" t="str">
        <f t="shared" si="39"/>
        <v/>
      </c>
      <c r="BF85" s="88" t="str">
        <f t="shared" si="40"/>
        <v/>
      </c>
      <c r="BG85" s="89" t="str">
        <f t="shared" si="41"/>
        <v/>
      </c>
      <c r="BH85" s="90" t="str">
        <f t="shared" si="42"/>
        <v/>
      </c>
      <c r="BI85" s="90" t="str">
        <f t="shared" si="43"/>
        <v/>
      </c>
      <c r="BJ85" s="91">
        <f t="shared" si="44"/>
        <v>0</v>
      </c>
      <c r="BK85" s="92">
        <f t="shared" si="45"/>
        <v>0</v>
      </c>
      <c r="BL85" s="95"/>
    </row>
    <row r="86" spans="1:64">
      <c r="A86" s="61"/>
      <c r="B86" s="62"/>
      <c r="C86" s="63"/>
      <c r="D86" s="64"/>
      <c r="E86" s="64"/>
      <c r="F86" s="65"/>
      <c r="G86" s="66" t="str">
        <f t="shared" si="23"/>
        <v/>
      </c>
      <c r="H86" s="67" t="str">
        <f t="shared" si="24"/>
        <v/>
      </c>
      <c r="I86" s="68" t="str">
        <f t="shared" si="25"/>
        <v/>
      </c>
      <c r="J86" s="69" t="str">
        <f t="shared" si="26"/>
        <v/>
      </c>
      <c r="K86" s="70" t="str">
        <f t="shared" si="27"/>
        <v/>
      </c>
      <c r="L86" s="71"/>
      <c r="M86" s="71"/>
      <c r="N86" s="71"/>
      <c r="O86" s="71"/>
      <c r="P86" s="61"/>
      <c r="Q86" s="63"/>
      <c r="R86" s="72"/>
      <c r="S86" s="61"/>
      <c r="T86" s="73"/>
      <c r="U86" s="62"/>
      <c r="V86" s="62"/>
      <c r="W86" s="62"/>
      <c r="X86" s="93"/>
      <c r="Y86" s="94"/>
      <c r="Z86" s="74"/>
      <c r="AA86" s="75"/>
      <c r="AB86" s="75"/>
      <c r="AC86" s="76"/>
      <c r="AD86" s="77"/>
      <c r="AE86" s="75"/>
      <c r="AF86" s="78"/>
      <c r="AG86" s="79"/>
      <c r="AH86" s="74"/>
      <c r="AI86" s="75"/>
      <c r="AJ86" s="75"/>
      <c r="AK86" s="80">
        <f t="shared" si="28"/>
        <v>0</v>
      </c>
      <c r="AL86" s="74"/>
      <c r="AM86" s="74"/>
      <c r="AN86" s="81" t="str">
        <f t="shared" si="29"/>
        <v/>
      </c>
      <c r="AO86" s="82"/>
      <c r="AP86" s="75"/>
      <c r="AQ86" s="75"/>
      <c r="AR86" s="80">
        <f t="shared" si="30"/>
        <v>0</v>
      </c>
      <c r="AS86" s="74"/>
      <c r="AT86" s="75"/>
      <c r="AU86" s="75"/>
      <c r="AV86" s="75"/>
      <c r="AW86" s="80">
        <f t="shared" si="31"/>
        <v>0</v>
      </c>
      <c r="AX86" s="81" t="str">
        <f t="shared" si="32"/>
        <v/>
      </c>
      <c r="AY86" s="83" t="str">
        <f t="shared" si="33"/>
        <v/>
      </c>
      <c r="AZ86" s="80" t="str">
        <f t="shared" si="34"/>
        <v/>
      </c>
      <c r="BA86" s="84">
        <f t="shared" si="35"/>
        <v>0</v>
      </c>
      <c r="BB86" s="85" t="str">
        <f t="shared" si="36"/>
        <v/>
      </c>
      <c r="BC86" s="86" t="str">
        <f t="shared" si="37"/>
        <v/>
      </c>
      <c r="BD86" s="84">
        <f t="shared" si="38"/>
        <v>0</v>
      </c>
      <c r="BE86" s="87" t="str">
        <f t="shared" si="39"/>
        <v/>
      </c>
      <c r="BF86" s="88" t="str">
        <f t="shared" si="40"/>
        <v/>
      </c>
      <c r="BG86" s="89" t="str">
        <f t="shared" si="41"/>
        <v/>
      </c>
      <c r="BH86" s="90" t="str">
        <f t="shared" si="42"/>
        <v/>
      </c>
      <c r="BI86" s="90" t="str">
        <f t="shared" si="43"/>
        <v/>
      </c>
      <c r="BJ86" s="91">
        <f t="shared" si="44"/>
        <v>0</v>
      </c>
      <c r="BK86" s="92">
        <f t="shared" si="45"/>
        <v>0</v>
      </c>
      <c r="BL86" s="95"/>
    </row>
    <row r="87" spans="1:64">
      <c r="A87" s="61"/>
      <c r="B87" s="62"/>
      <c r="C87" s="63"/>
      <c r="D87" s="64"/>
      <c r="E87" s="64"/>
      <c r="F87" s="65"/>
      <c r="G87" s="66" t="str">
        <f t="shared" si="23"/>
        <v/>
      </c>
      <c r="H87" s="67" t="str">
        <f t="shared" si="24"/>
        <v/>
      </c>
      <c r="I87" s="68" t="str">
        <f t="shared" si="25"/>
        <v/>
      </c>
      <c r="J87" s="69" t="str">
        <f t="shared" si="26"/>
        <v/>
      </c>
      <c r="K87" s="70" t="str">
        <f t="shared" si="27"/>
        <v/>
      </c>
      <c r="L87" s="71"/>
      <c r="M87" s="71"/>
      <c r="N87" s="71"/>
      <c r="O87" s="71"/>
      <c r="P87" s="61"/>
      <c r="Q87" s="63"/>
      <c r="R87" s="72"/>
      <c r="S87" s="61"/>
      <c r="T87" s="73"/>
      <c r="U87" s="62"/>
      <c r="V87" s="62"/>
      <c r="W87" s="62"/>
      <c r="X87" s="93"/>
      <c r="Y87" s="94"/>
      <c r="Z87" s="74"/>
      <c r="AA87" s="75"/>
      <c r="AB87" s="75"/>
      <c r="AC87" s="76"/>
      <c r="AD87" s="77"/>
      <c r="AE87" s="75"/>
      <c r="AF87" s="78"/>
      <c r="AG87" s="79"/>
      <c r="AH87" s="74"/>
      <c r="AI87" s="75"/>
      <c r="AJ87" s="75"/>
      <c r="AK87" s="80">
        <f t="shared" si="28"/>
        <v>0</v>
      </c>
      <c r="AL87" s="74"/>
      <c r="AM87" s="74"/>
      <c r="AN87" s="81" t="str">
        <f t="shared" si="29"/>
        <v/>
      </c>
      <c r="AO87" s="82"/>
      <c r="AP87" s="75"/>
      <c r="AQ87" s="75"/>
      <c r="AR87" s="80">
        <f t="shared" si="30"/>
        <v>0</v>
      </c>
      <c r="AS87" s="74"/>
      <c r="AT87" s="75"/>
      <c r="AU87" s="75"/>
      <c r="AV87" s="75"/>
      <c r="AW87" s="80">
        <f t="shared" si="31"/>
        <v>0</v>
      </c>
      <c r="AX87" s="81" t="str">
        <f t="shared" si="32"/>
        <v/>
      </c>
      <c r="AY87" s="83" t="str">
        <f t="shared" si="33"/>
        <v/>
      </c>
      <c r="AZ87" s="80" t="str">
        <f t="shared" si="34"/>
        <v/>
      </c>
      <c r="BA87" s="84">
        <f t="shared" si="35"/>
        <v>0</v>
      </c>
      <c r="BB87" s="85" t="str">
        <f t="shared" si="36"/>
        <v/>
      </c>
      <c r="BC87" s="86" t="str">
        <f t="shared" si="37"/>
        <v/>
      </c>
      <c r="BD87" s="84">
        <f t="shared" si="38"/>
        <v>0</v>
      </c>
      <c r="BE87" s="87" t="str">
        <f t="shared" si="39"/>
        <v/>
      </c>
      <c r="BF87" s="88" t="str">
        <f t="shared" si="40"/>
        <v/>
      </c>
      <c r="BG87" s="89" t="str">
        <f t="shared" si="41"/>
        <v/>
      </c>
      <c r="BH87" s="90" t="str">
        <f t="shared" si="42"/>
        <v/>
      </c>
      <c r="BI87" s="90" t="str">
        <f t="shared" si="43"/>
        <v/>
      </c>
      <c r="BJ87" s="91">
        <f t="shared" si="44"/>
        <v>0</v>
      </c>
      <c r="BK87" s="92">
        <f t="shared" si="45"/>
        <v>0</v>
      </c>
      <c r="BL87" s="95"/>
    </row>
    <row r="88" spans="1:64">
      <c r="A88" s="61"/>
      <c r="B88" s="62"/>
      <c r="C88" s="63"/>
      <c r="D88" s="64"/>
      <c r="E88" s="64"/>
      <c r="F88" s="65"/>
      <c r="G88" s="66" t="str">
        <f t="shared" si="23"/>
        <v/>
      </c>
      <c r="H88" s="67" t="str">
        <f t="shared" si="24"/>
        <v/>
      </c>
      <c r="I88" s="68" t="str">
        <f t="shared" si="25"/>
        <v/>
      </c>
      <c r="J88" s="69" t="str">
        <f t="shared" si="26"/>
        <v/>
      </c>
      <c r="K88" s="70" t="str">
        <f t="shared" si="27"/>
        <v/>
      </c>
      <c r="L88" s="71"/>
      <c r="M88" s="71"/>
      <c r="N88" s="71"/>
      <c r="O88" s="71"/>
      <c r="P88" s="61"/>
      <c r="Q88" s="63"/>
      <c r="R88" s="72"/>
      <c r="S88" s="61"/>
      <c r="T88" s="73"/>
      <c r="U88" s="62"/>
      <c r="V88" s="62"/>
      <c r="W88" s="62"/>
      <c r="X88" s="93"/>
      <c r="Y88" s="94"/>
      <c r="Z88" s="74"/>
      <c r="AA88" s="75"/>
      <c r="AB88" s="75"/>
      <c r="AC88" s="76"/>
      <c r="AD88" s="77"/>
      <c r="AE88" s="75"/>
      <c r="AF88" s="78"/>
      <c r="AG88" s="79"/>
      <c r="AH88" s="74"/>
      <c r="AI88" s="75"/>
      <c r="AJ88" s="75"/>
      <c r="AK88" s="80">
        <f t="shared" si="28"/>
        <v>0</v>
      </c>
      <c r="AL88" s="74"/>
      <c r="AM88" s="74"/>
      <c r="AN88" s="81" t="str">
        <f t="shared" si="29"/>
        <v/>
      </c>
      <c r="AO88" s="82"/>
      <c r="AP88" s="75"/>
      <c r="AQ88" s="75"/>
      <c r="AR88" s="80">
        <f t="shared" si="30"/>
        <v>0</v>
      </c>
      <c r="AS88" s="74"/>
      <c r="AT88" s="75"/>
      <c r="AU88" s="75"/>
      <c r="AV88" s="75"/>
      <c r="AW88" s="80">
        <f t="shared" si="31"/>
        <v>0</v>
      </c>
      <c r="AX88" s="81" t="str">
        <f t="shared" si="32"/>
        <v/>
      </c>
      <c r="AY88" s="83" t="str">
        <f t="shared" si="33"/>
        <v/>
      </c>
      <c r="AZ88" s="80" t="str">
        <f t="shared" si="34"/>
        <v/>
      </c>
      <c r="BA88" s="84">
        <f t="shared" si="35"/>
        <v>0</v>
      </c>
      <c r="BB88" s="85" t="str">
        <f t="shared" si="36"/>
        <v/>
      </c>
      <c r="BC88" s="86" t="str">
        <f t="shared" si="37"/>
        <v/>
      </c>
      <c r="BD88" s="84">
        <f t="shared" si="38"/>
        <v>0</v>
      </c>
      <c r="BE88" s="87" t="str">
        <f t="shared" si="39"/>
        <v/>
      </c>
      <c r="BF88" s="88" t="str">
        <f t="shared" si="40"/>
        <v/>
      </c>
      <c r="BG88" s="89" t="str">
        <f t="shared" si="41"/>
        <v/>
      </c>
      <c r="BH88" s="90" t="str">
        <f t="shared" si="42"/>
        <v/>
      </c>
      <c r="BI88" s="90" t="str">
        <f t="shared" si="43"/>
        <v/>
      </c>
      <c r="BJ88" s="91">
        <f t="shared" si="44"/>
        <v>0</v>
      </c>
      <c r="BK88" s="92">
        <f t="shared" si="45"/>
        <v>0</v>
      </c>
      <c r="BL88" s="95"/>
    </row>
    <row r="89" spans="1:64">
      <c r="A89" s="61"/>
      <c r="B89" s="62"/>
      <c r="C89" s="63"/>
      <c r="D89" s="64"/>
      <c r="E89" s="64"/>
      <c r="F89" s="65"/>
      <c r="G89" s="66" t="str">
        <f t="shared" si="23"/>
        <v/>
      </c>
      <c r="H89" s="67" t="str">
        <f t="shared" si="24"/>
        <v/>
      </c>
      <c r="I89" s="68" t="str">
        <f t="shared" si="25"/>
        <v/>
      </c>
      <c r="J89" s="69" t="str">
        <f t="shared" si="26"/>
        <v/>
      </c>
      <c r="K89" s="70" t="str">
        <f t="shared" si="27"/>
        <v/>
      </c>
      <c r="L89" s="71"/>
      <c r="M89" s="71"/>
      <c r="N89" s="71"/>
      <c r="O89" s="71"/>
      <c r="P89" s="61"/>
      <c r="Q89" s="63"/>
      <c r="R89" s="72"/>
      <c r="S89" s="61"/>
      <c r="T89" s="73"/>
      <c r="U89" s="62"/>
      <c r="V89" s="62"/>
      <c r="W89" s="62"/>
      <c r="X89" s="93"/>
      <c r="Y89" s="94"/>
      <c r="Z89" s="74"/>
      <c r="AA89" s="75"/>
      <c r="AB89" s="75"/>
      <c r="AC89" s="76"/>
      <c r="AD89" s="77"/>
      <c r="AE89" s="75"/>
      <c r="AF89" s="78"/>
      <c r="AG89" s="79"/>
      <c r="AH89" s="74"/>
      <c r="AI89" s="75"/>
      <c r="AJ89" s="75"/>
      <c r="AK89" s="80">
        <f t="shared" si="28"/>
        <v>0</v>
      </c>
      <c r="AL89" s="74"/>
      <c r="AM89" s="74"/>
      <c r="AN89" s="81" t="str">
        <f t="shared" si="29"/>
        <v/>
      </c>
      <c r="AO89" s="82"/>
      <c r="AP89" s="75"/>
      <c r="AQ89" s="75"/>
      <c r="AR89" s="80">
        <f t="shared" si="30"/>
        <v>0</v>
      </c>
      <c r="AS89" s="74"/>
      <c r="AT89" s="75"/>
      <c r="AU89" s="75"/>
      <c r="AV89" s="75"/>
      <c r="AW89" s="80">
        <f t="shared" si="31"/>
        <v>0</v>
      </c>
      <c r="AX89" s="81" t="str">
        <f t="shared" si="32"/>
        <v/>
      </c>
      <c r="AY89" s="83" t="str">
        <f t="shared" si="33"/>
        <v/>
      </c>
      <c r="AZ89" s="80" t="str">
        <f t="shared" si="34"/>
        <v/>
      </c>
      <c r="BA89" s="84">
        <f t="shared" si="35"/>
        <v>0</v>
      </c>
      <c r="BB89" s="85" t="str">
        <f t="shared" si="36"/>
        <v/>
      </c>
      <c r="BC89" s="86" t="str">
        <f t="shared" si="37"/>
        <v/>
      </c>
      <c r="BD89" s="84">
        <f t="shared" si="38"/>
        <v>0</v>
      </c>
      <c r="BE89" s="87" t="str">
        <f t="shared" si="39"/>
        <v/>
      </c>
      <c r="BF89" s="88" t="str">
        <f t="shared" si="40"/>
        <v/>
      </c>
      <c r="BG89" s="89" t="str">
        <f t="shared" si="41"/>
        <v/>
      </c>
      <c r="BH89" s="90" t="str">
        <f t="shared" si="42"/>
        <v/>
      </c>
      <c r="BI89" s="90" t="str">
        <f t="shared" si="43"/>
        <v/>
      </c>
      <c r="BJ89" s="91">
        <f t="shared" si="44"/>
        <v>0</v>
      </c>
      <c r="BK89" s="92">
        <f t="shared" si="45"/>
        <v>0</v>
      </c>
      <c r="BL89" s="95"/>
    </row>
    <row r="90" spans="1:64">
      <c r="A90" s="61"/>
      <c r="B90" s="62"/>
      <c r="C90" s="63"/>
      <c r="D90" s="64"/>
      <c r="E90" s="64"/>
      <c r="F90" s="65"/>
      <c r="G90" s="66" t="str">
        <f t="shared" si="23"/>
        <v/>
      </c>
      <c r="H90" s="67" t="str">
        <f t="shared" si="24"/>
        <v/>
      </c>
      <c r="I90" s="68" t="str">
        <f t="shared" si="25"/>
        <v/>
      </c>
      <c r="J90" s="69" t="str">
        <f t="shared" si="26"/>
        <v/>
      </c>
      <c r="K90" s="70" t="str">
        <f t="shared" si="27"/>
        <v/>
      </c>
      <c r="L90" s="71"/>
      <c r="M90" s="71"/>
      <c r="N90" s="71"/>
      <c r="O90" s="71"/>
      <c r="P90" s="61"/>
      <c r="Q90" s="63"/>
      <c r="R90" s="72"/>
      <c r="S90" s="61"/>
      <c r="T90" s="73"/>
      <c r="U90" s="62"/>
      <c r="V90" s="62"/>
      <c r="W90" s="62"/>
      <c r="X90" s="93"/>
      <c r="Y90" s="94"/>
      <c r="Z90" s="74"/>
      <c r="AA90" s="75"/>
      <c r="AB90" s="75"/>
      <c r="AC90" s="76"/>
      <c r="AD90" s="77"/>
      <c r="AE90" s="75"/>
      <c r="AF90" s="78"/>
      <c r="AG90" s="79"/>
      <c r="AH90" s="74"/>
      <c r="AI90" s="75"/>
      <c r="AJ90" s="75"/>
      <c r="AK90" s="80">
        <f t="shared" si="28"/>
        <v>0</v>
      </c>
      <c r="AL90" s="74"/>
      <c r="AM90" s="74"/>
      <c r="AN90" s="81" t="str">
        <f t="shared" si="29"/>
        <v/>
      </c>
      <c r="AO90" s="82"/>
      <c r="AP90" s="75"/>
      <c r="AQ90" s="75"/>
      <c r="AR90" s="80">
        <f t="shared" si="30"/>
        <v>0</v>
      </c>
      <c r="AS90" s="74"/>
      <c r="AT90" s="75"/>
      <c r="AU90" s="75"/>
      <c r="AV90" s="75"/>
      <c r="AW90" s="80">
        <f t="shared" si="31"/>
        <v>0</v>
      </c>
      <c r="AX90" s="81" t="str">
        <f t="shared" si="32"/>
        <v/>
      </c>
      <c r="AY90" s="83" t="str">
        <f t="shared" si="33"/>
        <v/>
      </c>
      <c r="AZ90" s="80" t="str">
        <f t="shared" si="34"/>
        <v/>
      </c>
      <c r="BA90" s="84">
        <f t="shared" si="35"/>
        <v>0</v>
      </c>
      <c r="BB90" s="85" t="str">
        <f t="shared" si="36"/>
        <v/>
      </c>
      <c r="BC90" s="86" t="str">
        <f t="shared" si="37"/>
        <v/>
      </c>
      <c r="BD90" s="84">
        <f t="shared" si="38"/>
        <v>0</v>
      </c>
      <c r="BE90" s="87" t="str">
        <f t="shared" si="39"/>
        <v/>
      </c>
      <c r="BF90" s="88" t="str">
        <f t="shared" si="40"/>
        <v/>
      </c>
      <c r="BG90" s="89" t="str">
        <f t="shared" si="41"/>
        <v/>
      </c>
      <c r="BH90" s="90" t="str">
        <f t="shared" si="42"/>
        <v/>
      </c>
      <c r="BI90" s="90" t="str">
        <f t="shared" si="43"/>
        <v/>
      </c>
      <c r="BJ90" s="91">
        <f t="shared" si="44"/>
        <v>0</v>
      </c>
      <c r="BK90" s="92">
        <f t="shared" si="45"/>
        <v>0</v>
      </c>
      <c r="BL90" s="95"/>
    </row>
    <row r="91" spans="1:64">
      <c r="A91" s="61"/>
      <c r="B91" s="62"/>
      <c r="C91" s="63"/>
      <c r="D91" s="64"/>
      <c r="E91" s="64"/>
      <c r="F91" s="65"/>
      <c r="G91" s="66" t="str">
        <f t="shared" si="23"/>
        <v/>
      </c>
      <c r="H91" s="67" t="str">
        <f t="shared" si="24"/>
        <v/>
      </c>
      <c r="I91" s="68" t="str">
        <f t="shared" si="25"/>
        <v/>
      </c>
      <c r="J91" s="69" t="str">
        <f t="shared" si="26"/>
        <v/>
      </c>
      <c r="K91" s="70" t="str">
        <f t="shared" si="27"/>
        <v/>
      </c>
      <c r="L91" s="71"/>
      <c r="M91" s="71"/>
      <c r="N91" s="71"/>
      <c r="O91" s="71"/>
      <c r="P91" s="61"/>
      <c r="Q91" s="63"/>
      <c r="R91" s="72"/>
      <c r="S91" s="61"/>
      <c r="T91" s="73"/>
      <c r="U91" s="62"/>
      <c r="V91" s="62"/>
      <c r="W91" s="62"/>
      <c r="X91" s="93"/>
      <c r="Y91" s="94"/>
      <c r="Z91" s="74"/>
      <c r="AA91" s="75"/>
      <c r="AB91" s="75"/>
      <c r="AC91" s="76"/>
      <c r="AD91" s="77"/>
      <c r="AE91" s="75"/>
      <c r="AF91" s="78"/>
      <c r="AG91" s="79"/>
      <c r="AH91" s="74"/>
      <c r="AI91" s="75"/>
      <c r="AJ91" s="75"/>
      <c r="AK91" s="80">
        <f t="shared" si="28"/>
        <v>0</v>
      </c>
      <c r="AL91" s="74"/>
      <c r="AM91" s="74"/>
      <c r="AN91" s="81" t="str">
        <f t="shared" si="29"/>
        <v/>
      </c>
      <c r="AO91" s="82"/>
      <c r="AP91" s="75"/>
      <c r="AQ91" s="75"/>
      <c r="AR91" s="80">
        <f t="shared" si="30"/>
        <v>0</v>
      </c>
      <c r="AS91" s="74"/>
      <c r="AT91" s="75"/>
      <c r="AU91" s="75"/>
      <c r="AV91" s="75"/>
      <c r="AW91" s="80">
        <f t="shared" si="31"/>
        <v>0</v>
      </c>
      <c r="AX91" s="81" t="str">
        <f t="shared" si="32"/>
        <v/>
      </c>
      <c r="AY91" s="83" t="str">
        <f t="shared" si="33"/>
        <v/>
      </c>
      <c r="AZ91" s="80" t="str">
        <f t="shared" si="34"/>
        <v/>
      </c>
      <c r="BA91" s="84">
        <f t="shared" si="35"/>
        <v>0</v>
      </c>
      <c r="BB91" s="85" t="str">
        <f t="shared" si="36"/>
        <v/>
      </c>
      <c r="BC91" s="86" t="str">
        <f t="shared" si="37"/>
        <v/>
      </c>
      <c r="BD91" s="84">
        <f t="shared" si="38"/>
        <v>0</v>
      </c>
      <c r="BE91" s="87" t="str">
        <f t="shared" si="39"/>
        <v/>
      </c>
      <c r="BF91" s="88" t="str">
        <f t="shared" si="40"/>
        <v/>
      </c>
      <c r="BG91" s="89" t="str">
        <f t="shared" si="41"/>
        <v/>
      </c>
      <c r="BH91" s="90" t="str">
        <f t="shared" si="42"/>
        <v/>
      </c>
      <c r="BI91" s="90" t="str">
        <f t="shared" si="43"/>
        <v/>
      </c>
      <c r="BJ91" s="91">
        <f t="shared" si="44"/>
        <v>0</v>
      </c>
      <c r="BK91" s="92">
        <f t="shared" si="45"/>
        <v>0</v>
      </c>
      <c r="BL91" s="95"/>
    </row>
    <row r="92" spans="1:64">
      <c r="A92" s="61"/>
      <c r="B92" s="62"/>
      <c r="C92" s="63"/>
      <c r="D92" s="64"/>
      <c r="E92" s="64"/>
      <c r="F92" s="65"/>
      <c r="G92" s="66" t="str">
        <f t="shared" si="23"/>
        <v/>
      </c>
      <c r="H92" s="67" t="str">
        <f t="shared" si="24"/>
        <v/>
      </c>
      <c r="I92" s="68" t="str">
        <f t="shared" si="25"/>
        <v/>
      </c>
      <c r="J92" s="69" t="str">
        <f t="shared" si="26"/>
        <v/>
      </c>
      <c r="K92" s="70" t="str">
        <f t="shared" si="27"/>
        <v/>
      </c>
      <c r="L92" s="71"/>
      <c r="M92" s="71"/>
      <c r="N92" s="71"/>
      <c r="O92" s="71"/>
      <c r="P92" s="61"/>
      <c r="Q92" s="63"/>
      <c r="R92" s="72"/>
      <c r="S92" s="61"/>
      <c r="T92" s="73"/>
      <c r="U92" s="62"/>
      <c r="V92" s="62"/>
      <c r="W92" s="62"/>
      <c r="X92" s="93"/>
      <c r="Y92" s="94"/>
      <c r="Z92" s="74"/>
      <c r="AA92" s="75"/>
      <c r="AB92" s="75"/>
      <c r="AC92" s="76"/>
      <c r="AD92" s="77"/>
      <c r="AE92" s="75"/>
      <c r="AF92" s="78"/>
      <c r="AG92" s="79"/>
      <c r="AH92" s="74"/>
      <c r="AI92" s="75"/>
      <c r="AJ92" s="75"/>
      <c r="AK92" s="80">
        <f t="shared" si="28"/>
        <v>0</v>
      </c>
      <c r="AL92" s="74"/>
      <c r="AM92" s="74"/>
      <c r="AN92" s="81" t="str">
        <f t="shared" si="29"/>
        <v/>
      </c>
      <c r="AO92" s="82"/>
      <c r="AP92" s="75"/>
      <c r="AQ92" s="75"/>
      <c r="AR92" s="80">
        <f t="shared" si="30"/>
        <v>0</v>
      </c>
      <c r="AS92" s="74"/>
      <c r="AT92" s="75"/>
      <c r="AU92" s="75"/>
      <c r="AV92" s="75"/>
      <c r="AW92" s="80">
        <f t="shared" si="31"/>
        <v>0</v>
      </c>
      <c r="AX92" s="81" t="str">
        <f t="shared" si="32"/>
        <v/>
      </c>
      <c r="AY92" s="83" t="str">
        <f t="shared" si="33"/>
        <v/>
      </c>
      <c r="AZ92" s="80" t="str">
        <f t="shared" si="34"/>
        <v/>
      </c>
      <c r="BA92" s="84">
        <f t="shared" si="35"/>
        <v>0</v>
      </c>
      <c r="BB92" s="85" t="str">
        <f t="shared" si="36"/>
        <v/>
      </c>
      <c r="BC92" s="86" t="str">
        <f t="shared" si="37"/>
        <v/>
      </c>
      <c r="BD92" s="84">
        <f t="shared" si="38"/>
        <v>0</v>
      </c>
      <c r="BE92" s="87" t="str">
        <f t="shared" si="39"/>
        <v/>
      </c>
      <c r="BF92" s="88" t="str">
        <f t="shared" si="40"/>
        <v/>
      </c>
      <c r="BG92" s="89" t="str">
        <f t="shared" si="41"/>
        <v/>
      </c>
      <c r="BH92" s="90" t="str">
        <f t="shared" si="42"/>
        <v/>
      </c>
      <c r="BI92" s="90" t="str">
        <f t="shared" si="43"/>
        <v/>
      </c>
      <c r="BJ92" s="91">
        <f t="shared" si="44"/>
        <v>0</v>
      </c>
      <c r="BK92" s="92">
        <f t="shared" si="45"/>
        <v>0</v>
      </c>
      <c r="BL92" s="95"/>
    </row>
    <row r="93" spans="1:64">
      <c r="A93" s="61"/>
      <c r="B93" s="62"/>
      <c r="C93" s="63"/>
      <c r="D93" s="64"/>
      <c r="E93" s="64"/>
      <c r="F93" s="65"/>
      <c r="G93" s="66" t="str">
        <f t="shared" si="23"/>
        <v/>
      </c>
      <c r="H93" s="67" t="str">
        <f t="shared" si="24"/>
        <v/>
      </c>
      <c r="I93" s="68" t="str">
        <f t="shared" si="25"/>
        <v/>
      </c>
      <c r="J93" s="69" t="str">
        <f t="shared" si="26"/>
        <v/>
      </c>
      <c r="K93" s="70" t="str">
        <f t="shared" si="27"/>
        <v/>
      </c>
      <c r="L93" s="71"/>
      <c r="M93" s="71"/>
      <c r="N93" s="71"/>
      <c r="O93" s="71"/>
      <c r="P93" s="61"/>
      <c r="Q93" s="63"/>
      <c r="R93" s="72"/>
      <c r="S93" s="61"/>
      <c r="T93" s="73"/>
      <c r="U93" s="62"/>
      <c r="V93" s="62"/>
      <c r="W93" s="62"/>
      <c r="X93" s="93"/>
      <c r="Y93" s="94"/>
      <c r="Z93" s="74"/>
      <c r="AA93" s="75"/>
      <c r="AB93" s="75"/>
      <c r="AC93" s="76"/>
      <c r="AD93" s="77"/>
      <c r="AE93" s="75"/>
      <c r="AF93" s="78"/>
      <c r="AG93" s="79"/>
      <c r="AH93" s="74"/>
      <c r="AI93" s="75"/>
      <c r="AJ93" s="75"/>
      <c r="AK93" s="80">
        <f t="shared" si="28"/>
        <v>0</v>
      </c>
      <c r="AL93" s="74"/>
      <c r="AM93" s="74"/>
      <c r="AN93" s="81" t="str">
        <f t="shared" si="29"/>
        <v/>
      </c>
      <c r="AO93" s="82"/>
      <c r="AP93" s="75"/>
      <c r="AQ93" s="75"/>
      <c r="AR93" s="80">
        <f t="shared" si="30"/>
        <v>0</v>
      </c>
      <c r="AS93" s="74"/>
      <c r="AT93" s="75"/>
      <c r="AU93" s="75"/>
      <c r="AV93" s="75"/>
      <c r="AW93" s="80">
        <f t="shared" si="31"/>
        <v>0</v>
      </c>
      <c r="AX93" s="81" t="str">
        <f t="shared" si="32"/>
        <v/>
      </c>
      <c r="AY93" s="83" t="str">
        <f t="shared" si="33"/>
        <v/>
      </c>
      <c r="AZ93" s="80" t="str">
        <f t="shared" si="34"/>
        <v/>
      </c>
      <c r="BA93" s="84">
        <f t="shared" si="35"/>
        <v>0</v>
      </c>
      <c r="BB93" s="85" t="str">
        <f t="shared" si="36"/>
        <v/>
      </c>
      <c r="BC93" s="86" t="str">
        <f t="shared" si="37"/>
        <v/>
      </c>
      <c r="BD93" s="84">
        <f t="shared" si="38"/>
        <v>0</v>
      </c>
      <c r="BE93" s="87" t="str">
        <f t="shared" si="39"/>
        <v/>
      </c>
      <c r="BF93" s="88" t="str">
        <f t="shared" si="40"/>
        <v/>
      </c>
      <c r="BG93" s="89" t="str">
        <f t="shared" si="41"/>
        <v/>
      </c>
      <c r="BH93" s="90" t="str">
        <f t="shared" si="42"/>
        <v/>
      </c>
      <c r="BI93" s="90" t="str">
        <f t="shared" si="43"/>
        <v/>
      </c>
      <c r="BJ93" s="91">
        <f t="shared" si="44"/>
        <v>0</v>
      </c>
      <c r="BK93" s="92">
        <f t="shared" si="45"/>
        <v>0</v>
      </c>
      <c r="BL93" s="95"/>
    </row>
    <row r="94" spans="1:64">
      <c r="A94" s="61"/>
      <c r="B94" s="62"/>
      <c r="C94" s="63"/>
      <c r="D94" s="64"/>
      <c r="E94" s="64"/>
      <c r="F94" s="65"/>
      <c r="G94" s="66" t="str">
        <f t="shared" si="23"/>
        <v/>
      </c>
      <c r="H94" s="67" t="str">
        <f t="shared" si="24"/>
        <v/>
      </c>
      <c r="I94" s="68" t="str">
        <f t="shared" si="25"/>
        <v/>
      </c>
      <c r="J94" s="69" t="str">
        <f t="shared" si="26"/>
        <v/>
      </c>
      <c r="K94" s="70" t="str">
        <f t="shared" si="27"/>
        <v/>
      </c>
      <c r="L94" s="71"/>
      <c r="M94" s="71"/>
      <c r="N94" s="71"/>
      <c r="O94" s="71"/>
      <c r="P94" s="61"/>
      <c r="Q94" s="63"/>
      <c r="R94" s="72"/>
      <c r="S94" s="61"/>
      <c r="T94" s="73"/>
      <c r="U94" s="62"/>
      <c r="V94" s="62"/>
      <c r="W94" s="62"/>
      <c r="X94" s="93"/>
      <c r="Y94" s="94"/>
      <c r="Z94" s="74"/>
      <c r="AA94" s="75"/>
      <c r="AB94" s="75"/>
      <c r="AC94" s="76"/>
      <c r="AD94" s="77"/>
      <c r="AE94" s="75"/>
      <c r="AF94" s="78"/>
      <c r="AG94" s="79"/>
      <c r="AH94" s="74"/>
      <c r="AI94" s="75"/>
      <c r="AJ94" s="75"/>
      <c r="AK94" s="80">
        <f t="shared" si="28"/>
        <v>0</v>
      </c>
      <c r="AL94" s="74"/>
      <c r="AM94" s="74"/>
      <c r="AN94" s="81" t="str">
        <f t="shared" si="29"/>
        <v/>
      </c>
      <c r="AO94" s="82"/>
      <c r="AP94" s="75"/>
      <c r="AQ94" s="75"/>
      <c r="AR94" s="80">
        <f t="shared" si="30"/>
        <v>0</v>
      </c>
      <c r="AS94" s="74"/>
      <c r="AT94" s="75"/>
      <c r="AU94" s="75"/>
      <c r="AV94" s="75"/>
      <c r="AW94" s="80">
        <f t="shared" si="31"/>
        <v>0</v>
      </c>
      <c r="AX94" s="81" t="str">
        <f t="shared" si="32"/>
        <v/>
      </c>
      <c r="AY94" s="83" t="str">
        <f t="shared" si="33"/>
        <v/>
      </c>
      <c r="AZ94" s="80" t="str">
        <f t="shared" si="34"/>
        <v/>
      </c>
      <c r="BA94" s="84">
        <f t="shared" si="35"/>
        <v>0</v>
      </c>
      <c r="BB94" s="85" t="str">
        <f t="shared" si="36"/>
        <v/>
      </c>
      <c r="BC94" s="86" t="str">
        <f t="shared" si="37"/>
        <v/>
      </c>
      <c r="BD94" s="84">
        <f t="shared" si="38"/>
        <v>0</v>
      </c>
      <c r="BE94" s="87" t="str">
        <f t="shared" si="39"/>
        <v/>
      </c>
      <c r="BF94" s="88" t="str">
        <f t="shared" si="40"/>
        <v/>
      </c>
      <c r="BG94" s="89" t="str">
        <f t="shared" si="41"/>
        <v/>
      </c>
      <c r="BH94" s="90" t="str">
        <f t="shared" si="42"/>
        <v/>
      </c>
      <c r="BI94" s="90" t="str">
        <f t="shared" si="43"/>
        <v/>
      </c>
      <c r="BJ94" s="91">
        <f t="shared" si="44"/>
        <v>0</v>
      </c>
      <c r="BK94" s="92">
        <f t="shared" si="45"/>
        <v>0</v>
      </c>
      <c r="BL94" s="95"/>
    </row>
    <row r="95" spans="1:64">
      <c r="A95" s="61"/>
      <c r="B95" s="62"/>
      <c r="C95" s="63"/>
      <c r="D95" s="64"/>
      <c r="E95" s="64"/>
      <c r="F95" s="65"/>
      <c r="G95" s="66" t="str">
        <f t="shared" si="23"/>
        <v/>
      </c>
      <c r="H95" s="67" t="str">
        <f t="shared" si="24"/>
        <v/>
      </c>
      <c r="I95" s="68" t="str">
        <f t="shared" si="25"/>
        <v/>
      </c>
      <c r="J95" s="69" t="str">
        <f t="shared" si="26"/>
        <v/>
      </c>
      <c r="K95" s="70" t="str">
        <f t="shared" si="27"/>
        <v/>
      </c>
      <c r="L95" s="71"/>
      <c r="M95" s="71"/>
      <c r="N95" s="71"/>
      <c r="O95" s="71"/>
      <c r="P95" s="61"/>
      <c r="Q95" s="63"/>
      <c r="R95" s="72"/>
      <c r="S95" s="61"/>
      <c r="T95" s="73"/>
      <c r="U95" s="62"/>
      <c r="V95" s="62"/>
      <c r="W95" s="62"/>
      <c r="X95" s="93"/>
      <c r="Y95" s="94"/>
      <c r="Z95" s="74"/>
      <c r="AA95" s="75"/>
      <c r="AB95" s="75"/>
      <c r="AC95" s="76"/>
      <c r="AD95" s="77"/>
      <c r="AE95" s="75"/>
      <c r="AF95" s="78"/>
      <c r="AG95" s="79"/>
      <c r="AH95" s="74"/>
      <c r="AI95" s="75"/>
      <c r="AJ95" s="75"/>
      <c r="AK95" s="80">
        <f t="shared" si="28"/>
        <v>0</v>
      </c>
      <c r="AL95" s="74"/>
      <c r="AM95" s="74"/>
      <c r="AN95" s="81" t="str">
        <f t="shared" si="29"/>
        <v/>
      </c>
      <c r="AO95" s="82"/>
      <c r="AP95" s="75"/>
      <c r="AQ95" s="75"/>
      <c r="AR95" s="80">
        <f t="shared" si="30"/>
        <v>0</v>
      </c>
      <c r="AS95" s="74"/>
      <c r="AT95" s="75"/>
      <c r="AU95" s="75"/>
      <c r="AV95" s="75"/>
      <c r="AW95" s="80">
        <f t="shared" si="31"/>
        <v>0</v>
      </c>
      <c r="AX95" s="81" t="str">
        <f t="shared" si="32"/>
        <v/>
      </c>
      <c r="AY95" s="83" t="str">
        <f t="shared" si="33"/>
        <v/>
      </c>
      <c r="AZ95" s="80" t="str">
        <f t="shared" si="34"/>
        <v/>
      </c>
      <c r="BA95" s="84">
        <f t="shared" si="35"/>
        <v>0</v>
      </c>
      <c r="BB95" s="85" t="str">
        <f t="shared" si="36"/>
        <v/>
      </c>
      <c r="BC95" s="86" t="str">
        <f t="shared" si="37"/>
        <v/>
      </c>
      <c r="BD95" s="84">
        <f t="shared" si="38"/>
        <v>0</v>
      </c>
      <c r="BE95" s="87" t="str">
        <f t="shared" si="39"/>
        <v/>
      </c>
      <c r="BF95" s="88" t="str">
        <f t="shared" si="40"/>
        <v/>
      </c>
      <c r="BG95" s="89" t="str">
        <f t="shared" si="41"/>
        <v/>
      </c>
      <c r="BH95" s="90" t="str">
        <f t="shared" si="42"/>
        <v/>
      </c>
      <c r="BI95" s="90" t="str">
        <f t="shared" si="43"/>
        <v/>
      </c>
      <c r="BJ95" s="91">
        <f t="shared" si="44"/>
        <v>0</v>
      </c>
      <c r="BK95" s="92">
        <f t="shared" si="45"/>
        <v>0</v>
      </c>
      <c r="BL95" s="95"/>
    </row>
    <row r="96" spans="1:64">
      <c r="A96" s="61"/>
      <c r="B96" s="62"/>
      <c r="C96" s="63"/>
      <c r="D96" s="64"/>
      <c r="E96" s="64"/>
      <c r="F96" s="65"/>
      <c r="G96" s="66" t="str">
        <f t="shared" si="23"/>
        <v/>
      </c>
      <c r="H96" s="67" t="str">
        <f t="shared" si="24"/>
        <v/>
      </c>
      <c r="I96" s="68" t="str">
        <f t="shared" si="25"/>
        <v/>
      </c>
      <c r="J96" s="69" t="str">
        <f t="shared" si="26"/>
        <v/>
      </c>
      <c r="K96" s="70" t="str">
        <f t="shared" si="27"/>
        <v/>
      </c>
      <c r="L96" s="71"/>
      <c r="M96" s="71"/>
      <c r="N96" s="71"/>
      <c r="O96" s="71"/>
      <c r="P96" s="61"/>
      <c r="Q96" s="63"/>
      <c r="R96" s="72"/>
      <c r="S96" s="61"/>
      <c r="T96" s="73"/>
      <c r="U96" s="62"/>
      <c r="V96" s="62"/>
      <c r="W96" s="62"/>
      <c r="X96" s="93"/>
      <c r="Y96" s="94"/>
      <c r="Z96" s="74"/>
      <c r="AA96" s="75"/>
      <c r="AB96" s="75"/>
      <c r="AC96" s="76"/>
      <c r="AD96" s="77"/>
      <c r="AE96" s="75"/>
      <c r="AF96" s="78"/>
      <c r="AG96" s="79"/>
      <c r="AH96" s="74"/>
      <c r="AI96" s="75"/>
      <c r="AJ96" s="75"/>
      <c r="AK96" s="80">
        <f t="shared" si="28"/>
        <v>0</v>
      </c>
      <c r="AL96" s="74"/>
      <c r="AM96" s="74"/>
      <c r="AN96" s="81" t="str">
        <f t="shared" si="29"/>
        <v/>
      </c>
      <c r="AO96" s="82"/>
      <c r="AP96" s="75"/>
      <c r="AQ96" s="75"/>
      <c r="AR96" s="80">
        <f t="shared" si="30"/>
        <v>0</v>
      </c>
      <c r="AS96" s="74"/>
      <c r="AT96" s="75"/>
      <c r="AU96" s="75"/>
      <c r="AV96" s="75"/>
      <c r="AW96" s="80">
        <f t="shared" si="31"/>
        <v>0</v>
      </c>
      <c r="AX96" s="81" t="str">
        <f t="shared" si="32"/>
        <v/>
      </c>
      <c r="AY96" s="83" t="str">
        <f t="shared" si="33"/>
        <v/>
      </c>
      <c r="AZ96" s="80" t="str">
        <f t="shared" si="34"/>
        <v/>
      </c>
      <c r="BA96" s="84">
        <f t="shared" si="35"/>
        <v>0</v>
      </c>
      <c r="BB96" s="85" t="str">
        <f t="shared" si="36"/>
        <v/>
      </c>
      <c r="BC96" s="86" t="str">
        <f t="shared" si="37"/>
        <v/>
      </c>
      <c r="BD96" s="84">
        <f t="shared" si="38"/>
        <v>0</v>
      </c>
      <c r="BE96" s="87" t="str">
        <f t="shared" si="39"/>
        <v/>
      </c>
      <c r="BF96" s="88" t="str">
        <f t="shared" si="40"/>
        <v/>
      </c>
      <c r="BG96" s="89" t="str">
        <f t="shared" si="41"/>
        <v/>
      </c>
      <c r="BH96" s="90" t="str">
        <f t="shared" si="42"/>
        <v/>
      </c>
      <c r="BI96" s="90" t="str">
        <f t="shared" si="43"/>
        <v/>
      </c>
      <c r="BJ96" s="91">
        <f t="shared" si="44"/>
        <v>0</v>
      </c>
      <c r="BK96" s="92">
        <f t="shared" si="45"/>
        <v>0</v>
      </c>
      <c r="BL96" s="95"/>
    </row>
    <row r="97" spans="1:64">
      <c r="A97" s="61"/>
      <c r="B97" s="62"/>
      <c r="C97" s="63"/>
      <c r="D97" s="64"/>
      <c r="E97" s="64"/>
      <c r="F97" s="65"/>
      <c r="G97" s="66" t="str">
        <f t="shared" si="23"/>
        <v/>
      </c>
      <c r="H97" s="67" t="str">
        <f t="shared" si="24"/>
        <v/>
      </c>
      <c r="I97" s="68" t="str">
        <f t="shared" si="25"/>
        <v/>
      </c>
      <c r="J97" s="69" t="str">
        <f t="shared" si="26"/>
        <v/>
      </c>
      <c r="K97" s="70" t="str">
        <f t="shared" si="27"/>
        <v/>
      </c>
      <c r="L97" s="71"/>
      <c r="M97" s="71"/>
      <c r="N97" s="71"/>
      <c r="O97" s="71"/>
      <c r="P97" s="61"/>
      <c r="Q97" s="63"/>
      <c r="R97" s="72"/>
      <c r="S97" s="61"/>
      <c r="T97" s="73"/>
      <c r="U97" s="62"/>
      <c r="V97" s="62"/>
      <c r="W97" s="62"/>
      <c r="X97" s="93"/>
      <c r="Y97" s="94"/>
      <c r="Z97" s="74"/>
      <c r="AA97" s="75"/>
      <c r="AB97" s="75"/>
      <c r="AC97" s="76"/>
      <c r="AD97" s="77"/>
      <c r="AE97" s="75"/>
      <c r="AF97" s="78"/>
      <c r="AG97" s="79"/>
      <c r="AH97" s="74"/>
      <c r="AI97" s="75"/>
      <c r="AJ97" s="75"/>
      <c r="AK97" s="80">
        <f t="shared" si="28"/>
        <v>0</v>
      </c>
      <c r="AL97" s="74"/>
      <c r="AM97" s="74"/>
      <c r="AN97" s="81" t="str">
        <f t="shared" si="29"/>
        <v/>
      </c>
      <c r="AO97" s="82"/>
      <c r="AP97" s="75"/>
      <c r="AQ97" s="75"/>
      <c r="AR97" s="80">
        <f t="shared" si="30"/>
        <v>0</v>
      </c>
      <c r="AS97" s="74"/>
      <c r="AT97" s="75"/>
      <c r="AU97" s="75"/>
      <c r="AV97" s="75"/>
      <c r="AW97" s="80">
        <f t="shared" si="31"/>
        <v>0</v>
      </c>
      <c r="AX97" s="81" t="str">
        <f t="shared" si="32"/>
        <v/>
      </c>
      <c r="AY97" s="83" t="str">
        <f t="shared" si="33"/>
        <v/>
      </c>
      <c r="AZ97" s="80" t="str">
        <f t="shared" si="34"/>
        <v/>
      </c>
      <c r="BA97" s="84">
        <f t="shared" si="35"/>
        <v>0</v>
      </c>
      <c r="BB97" s="85" t="str">
        <f t="shared" si="36"/>
        <v/>
      </c>
      <c r="BC97" s="86" t="str">
        <f t="shared" si="37"/>
        <v/>
      </c>
      <c r="BD97" s="84">
        <f t="shared" si="38"/>
        <v>0</v>
      </c>
      <c r="BE97" s="87" t="str">
        <f t="shared" si="39"/>
        <v/>
      </c>
      <c r="BF97" s="88" t="str">
        <f t="shared" si="40"/>
        <v/>
      </c>
      <c r="BG97" s="89" t="str">
        <f t="shared" si="41"/>
        <v/>
      </c>
      <c r="BH97" s="90" t="str">
        <f t="shared" si="42"/>
        <v/>
      </c>
      <c r="BI97" s="90" t="str">
        <f t="shared" si="43"/>
        <v/>
      </c>
      <c r="BJ97" s="91">
        <f t="shared" si="44"/>
        <v>0</v>
      </c>
      <c r="BK97" s="92">
        <f t="shared" si="45"/>
        <v>0</v>
      </c>
      <c r="BL97" s="95"/>
    </row>
    <row r="98" spans="1:64">
      <c r="A98" s="61"/>
      <c r="B98" s="62"/>
      <c r="C98" s="63"/>
      <c r="D98" s="64"/>
      <c r="E98" s="64"/>
      <c r="F98" s="65"/>
      <c r="G98" s="66" t="str">
        <f t="shared" si="23"/>
        <v/>
      </c>
      <c r="H98" s="67" t="str">
        <f t="shared" si="24"/>
        <v/>
      </c>
      <c r="I98" s="68" t="str">
        <f t="shared" si="25"/>
        <v/>
      </c>
      <c r="J98" s="69" t="str">
        <f t="shared" si="26"/>
        <v/>
      </c>
      <c r="K98" s="70" t="str">
        <f t="shared" si="27"/>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28"/>
        <v>0</v>
      </c>
      <c r="AL98" s="74"/>
      <c r="AM98" s="74"/>
      <c r="AN98" s="81" t="str">
        <f t="shared" si="29"/>
        <v/>
      </c>
      <c r="AO98" s="82"/>
      <c r="AP98" s="75"/>
      <c r="AQ98" s="75"/>
      <c r="AR98" s="80">
        <f t="shared" si="30"/>
        <v>0</v>
      </c>
      <c r="AS98" s="74"/>
      <c r="AT98" s="75"/>
      <c r="AU98" s="75"/>
      <c r="AV98" s="75"/>
      <c r="AW98" s="80">
        <f t="shared" si="31"/>
        <v>0</v>
      </c>
      <c r="AX98" s="81" t="str">
        <f t="shared" si="32"/>
        <v/>
      </c>
      <c r="AY98" s="83" t="str">
        <f t="shared" si="33"/>
        <v/>
      </c>
      <c r="AZ98" s="80" t="str">
        <f t="shared" si="34"/>
        <v/>
      </c>
      <c r="BA98" s="84">
        <f t="shared" si="35"/>
        <v>0</v>
      </c>
      <c r="BB98" s="85" t="str">
        <f t="shared" si="36"/>
        <v/>
      </c>
      <c r="BC98" s="86" t="str">
        <f t="shared" si="37"/>
        <v/>
      </c>
      <c r="BD98" s="84">
        <f t="shared" si="38"/>
        <v>0</v>
      </c>
      <c r="BE98" s="87" t="str">
        <f t="shared" si="39"/>
        <v/>
      </c>
      <c r="BF98" s="88" t="str">
        <f t="shared" si="40"/>
        <v/>
      </c>
      <c r="BG98" s="89" t="str">
        <f t="shared" si="41"/>
        <v/>
      </c>
      <c r="BH98" s="90" t="str">
        <f t="shared" si="42"/>
        <v/>
      </c>
      <c r="BI98" s="90" t="str">
        <f t="shared" si="43"/>
        <v/>
      </c>
      <c r="BJ98" s="91">
        <f t="shared" si="44"/>
        <v>0</v>
      </c>
      <c r="BK98" s="92">
        <f t="shared" si="45"/>
        <v>0</v>
      </c>
      <c r="BL98" s="95"/>
    </row>
    <row r="99" spans="1:64">
      <c r="A99" s="61"/>
      <c r="B99" s="62"/>
      <c r="C99" s="63"/>
      <c r="D99" s="64"/>
      <c r="E99" s="64"/>
      <c r="F99" s="65"/>
      <c r="G99" s="66" t="str">
        <f t="shared" si="23"/>
        <v/>
      </c>
      <c r="H99" s="67" t="str">
        <f t="shared" si="24"/>
        <v/>
      </c>
      <c r="I99" s="68" t="str">
        <f t="shared" si="25"/>
        <v/>
      </c>
      <c r="J99" s="69" t="str">
        <f t="shared" si="26"/>
        <v/>
      </c>
      <c r="K99" s="70" t="str">
        <f t="shared" si="27"/>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28"/>
        <v>0</v>
      </c>
      <c r="AL99" s="74"/>
      <c r="AM99" s="74"/>
      <c r="AN99" s="81" t="str">
        <f t="shared" si="29"/>
        <v/>
      </c>
      <c r="AO99" s="82"/>
      <c r="AP99" s="75"/>
      <c r="AQ99" s="75"/>
      <c r="AR99" s="80">
        <f t="shared" si="30"/>
        <v>0</v>
      </c>
      <c r="AS99" s="74"/>
      <c r="AT99" s="75"/>
      <c r="AU99" s="75"/>
      <c r="AV99" s="75"/>
      <c r="AW99" s="80">
        <f t="shared" si="31"/>
        <v>0</v>
      </c>
      <c r="AX99" s="81" t="str">
        <f t="shared" si="32"/>
        <v/>
      </c>
      <c r="AY99" s="83" t="str">
        <f t="shared" si="33"/>
        <v/>
      </c>
      <c r="AZ99" s="80" t="str">
        <f t="shared" si="34"/>
        <v/>
      </c>
      <c r="BA99" s="84">
        <f t="shared" si="35"/>
        <v>0</v>
      </c>
      <c r="BB99" s="85" t="str">
        <f t="shared" si="36"/>
        <v/>
      </c>
      <c r="BC99" s="86" t="str">
        <f t="shared" si="37"/>
        <v/>
      </c>
      <c r="BD99" s="84">
        <f t="shared" si="38"/>
        <v>0</v>
      </c>
      <c r="BE99" s="87" t="str">
        <f t="shared" si="39"/>
        <v/>
      </c>
      <c r="BF99" s="88" t="str">
        <f t="shared" si="40"/>
        <v/>
      </c>
      <c r="BG99" s="89" t="str">
        <f t="shared" si="41"/>
        <v/>
      </c>
      <c r="BH99" s="90" t="str">
        <f t="shared" si="42"/>
        <v/>
      </c>
      <c r="BI99" s="90" t="str">
        <f t="shared" si="43"/>
        <v/>
      </c>
      <c r="BJ99" s="91">
        <f t="shared" si="44"/>
        <v>0</v>
      </c>
      <c r="BK99" s="92">
        <f t="shared" si="45"/>
        <v>0</v>
      </c>
      <c r="BL99" s="95"/>
    </row>
    <row r="100" spans="1:64">
      <c r="A100" s="61"/>
      <c r="B100" s="62"/>
      <c r="C100" s="63"/>
      <c r="D100" s="64"/>
      <c r="E100" s="64"/>
      <c r="F100" s="65"/>
      <c r="G100" s="66" t="str">
        <f t="shared" si="23"/>
        <v/>
      </c>
      <c r="H100" s="67" t="str">
        <f t="shared" si="24"/>
        <v/>
      </c>
      <c r="I100" s="68" t="str">
        <f t="shared" si="25"/>
        <v/>
      </c>
      <c r="J100" s="69" t="str">
        <f t="shared" si="26"/>
        <v/>
      </c>
      <c r="K100" s="70" t="str">
        <f t="shared" si="27"/>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28"/>
        <v>0</v>
      </c>
      <c r="AL100" s="74"/>
      <c r="AM100" s="74"/>
      <c r="AN100" s="81" t="str">
        <f t="shared" si="29"/>
        <v/>
      </c>
      <c r="AO100" s="82"/>
      <c r="AP100" s="75"/>
      <c r="AQ100" s="75"/>
      <c r="AR100" s="80">
        <f t="shared" si="30"/>
        <v>0</v>
      </c>
      <c r="AS100" s="74"/>
      <c r="AT100" s="75"/>
      <c r="AU100" s="75"/>
      <c r="AV100" s="75"/>
      <c r="AW100" s="80">
        <f t="shared" si="31"/>
        <v>0</v>
      </c>
      <c r="AX100" s="81" t="str">
        <f t="shared" si="32"/>
        <v/>
      </c>
      <c r="AY100" s="83" t="str">
        <f t="shared" si="33"/>
        <v/>
      </c>
      <c r="AZ100" s="80" t="str">
        <f t="shared" si="34"/>
        <v/>
      </c>
      <c r="BA100" s="84">
        <f t="shared" si="35"/>
        <v>0</v>
      </c>
      <c r="BB100" s="85" t="str">
        <f t="shared" si="36"/>
        <v/>
      </c>
      <c r="BC100" s="86" t="str">
        <f t="shared" si="37"/>
        <v/>
      </c>
      <c r="BD100" s="84">
        <f t="shared" si="38"/>
        <v>0</v>
      </c>
      <c r="BE100" s="87" t="str">
        <f t="shared" si="39"/>
        <v/>
      </c>
      <c r="BF100" s="88" t="str">
        <f t="shared" si="40"/>
        <v/>
      </c>
      <c r="BG100" s="89" t="str">
        <f t="shared" si="41"/>
        <v/>
      </c>
      <c r="BH100" s="90" t="str">
        <f t="shared" si="42"/>
        <v/>
      </c>
      <c r="BI100" s="90" t="str">
        <f t="shared" si="43"/>
        <v/>
      </c>
      <c r="BJ100" s="91">
        <f t="shared" si="44"/>
        <v>0</v>
      </c>
      <c r="BK100" s="92">
        <f t="shared" si="45"/>
        <v>0</v>
      </c>
      <c r="BL100" s="95"/>
    </row>
    <row r="101" spans="1:64">
      <c r="A101" s="61"/>
      <c r="B101" s="62"/>
      <c r="C101" s="63"/>
      <c r="D101" s="64"/>
      <c r="E101" s="64"/>
      <c r="F101" s="65"/>
      <c r="G101" s="66" t="str">
        <f t="shared" si="23"/>
        <v/>
      </c>
      <c r="H101" s="67" t="str">
        <f t="shared" si="24"/>
        <v/>
      </c>
      <c r="I101" s="68" t="str">
        <f t="shared" si="25"/>
        <v/>
      </c>
      <c r="J101" s="69" t="str">
        <f t="shared" si="26"/>
        <v/>
      </c>
      <c r="K101" s="70" t="str">
        <f t="shared" si="27"/>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28"/>
        <v>0</v>
      </c>
      <c r="AL101" s="74"/>
      <c r="AM101" s="74"/>
      <c r="AN101" s="81" t="str">
        <f t="shared" si="29"/>
        <v/>
      </c>
      <c r="AO101" s="82"/>
      <c r="AP101" s="75"/>
      <c r="AQ101" s="75"/>
      <c r="AR101" s="80">
        <f t="shared" si="30"/>
        <v>0</v>
      </c>
      <c r="AS101" s="74"/>
      <c r="AT101" s="75"/>
      <c r="AU101" s="75"/>
      <c r="AV101" s="75"/>
      <c r="AW101" s="80">
        <f t="shared" si="31"/>
        <v>0</v>
      </c>
      <c r="AX101" s="81" t="str">
        <f t="shared" si="32"/>
        <v/>
      </c>
      <c r="AY101" s="83" t="str">
        <f t="shared" si="33"/>
        <v/>
      </c>
      <c r="AZ101" s="80" t="str">
        <f t="shared" si="34"/>
        <v/>
      </c>
      <c r="BA101" s="84">
        <f t="shared" si="35"/>
        <v>0</v>
      </c>
      <c r="BB101" s="85" t="str">
        <f t="shared" si="36"/>
        <v/>
      </c>
      <c r="BC101" s="86" t="str">
        <f t="shared" si="37"/>
        <v/>
      </c>
      <c r="BD101" s="84">
        <f t="shared" si="38"/>
        <v>0</v>
      </c>
      <c r="BE101" s="87" t="str">
        <f t="shared" si="39"/>
        <v/>
      </c>
      <c r="BF101" s="88" t="str">
        <f t="shared" si="40"/>
        <v/>
      </c>
      <c r="BG101" s="89" t="str">
        <f t="shared" si="41"/>
        <v/>
      </c>
      <c r="BH101" s="90" t="str">
        <f t="shared" si="42"/>
        <v/>
      </c>
      <c r="BI101" s="90" t="str">
        <f t="shared" si="43"/>
        <v/>
      </c>
      <c r="BJ101" s="91">
        <f t="shared" si="44"/>
        <v>0</v>
      </c>
      <c r="BK101" s="92">
        <f t="shared" si="45"/>
        <v>0</v>
      </c>
      <c r="BL101" s="95"/>
    </row>
    <row r="102" spans="1:64">
      <c r="A102" s="61"/>
      <c r="B102" s="62"/>
      <c r="C102" s="63"/>
      <c r="D102" s="64"/>
      <c r="E102" s="64"/>
      <c r="F102" s="65"/>
      <c r="G102" s="66" t="str">
        <f t="shared" si="23"/>
        <v/>
      </c>
      <c r="H102" s="67" t="str">
        <f t="shared" si="24"/>
        <v/>
      </c>
      <c r="I102" s="68" t="str">
        <f t="shared" si="25"/>
        <v/>
      </c>
      <c r="J102" s="69" t="str">
        <f t="shared" si="26"/>
        <v/>
      </c>
      <c r="K102" s="70" t="str">
        <f t="shared" si="27"/>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28"/>
        <v>0</v>
      </c>
      <c r="AL102" s="74"/>
      <c r="AM102" s="74"/>
      <c r="AN102" s="81" t="str">
        <f t="shared" si="29"/>
        <v/>
      </c>
      <c r="AO102" s="82"/>
      <c r="AP102" s="75"/>
      <c r="AQ102" s="75"/>
      <c r="AR102" s="80">
        <f t="shared" si="30"/>
        <v>0</v>
      </c>
      <c r="AS102" s="74"/>
      <c r="AT102" s="75"/>
      <c r="AU102" s="75"/>
      <c r="AV102" s="75"/>
      <c r="AW102" s="80">
        <f t="shared" si="31"/>
        <v>0</v>
      </c>
      <c r="AX102" s="81" t="str">
        <f t="shared" si="32"/>
        <v/>
      </c>
      <c r="AY102" s="83" t="str">
        <f t="shared" si="33"/>
        <v/>
      </c>
      <c r="AZ102" s="80" t="str">
        <f t="shared" si="34"/>
        <v/>
      </c>
      <c r="BA102" s="84">
        <f t="shared" si="35"/>
        <v>0</v>
      </c>
      <c r="BB102" s="85" t="str">
        <f t="shared" si="36"/>
        <v/>
      </c>
      <c r="BC102" s="86" t="str">
        <f t="shared" si="37"/>
        <v/>
      </c>
      <c r="BD102" s="84">
        <f t="shared" si="38"/>
        <v>0</v>
      </c>
      <c r="BE102" s="87" t="str">
        <f t="shared" si="39"/>
        <v/>
      </c>
      <c r="BF102" s="88" t="str">
        <f t="shared" si="40"/>
        <v/>
      </c>
      <c r="BG102" s="89" t="str">
        <f t="shared" si="41"/>
        <v/>
      </c>
      <c r="BH102" s="90" t="str">
        <f t="shared" si="42"/>
        <v/>
      </c>
      <c r="BI102" s="90" t="str">
        <f t="shared" si="43"/>
        <v/>
      </c>
      <c r="BJ102" s="91">
        <f t="shared" si="44"/>
        <v>0</v>
      </c>
      <c r="BK102" s="92">
        <f t="shared" si="45"/>
        <v>0</v>
      </c>
      <c r="BL102" s="95"/>
    </row>
    <row r="103" spans="1:64">
      <c r="A103" s="61"/>
      <c r="B103" s="62"/>
      <c r="C103" s="63"/>
      <c r="D103" s="64"/>
      <c r="E103" s="64"/>
      <c r="F103" s="65"/>
      <c r="G103" s="66" t="str">
        <f t="shared" si="23"/>
        <v/>
      </c>
      <c r="H103" s="67" t="str">
        <f t="shared" si="24"/>
        <v/>
      </c>
      <c r="I103" s="68" t="str">
        <f t="shared" si="25"/>
        <v/>
      </c>
      <c r="J103" s="69" t="str">
        <f t="shared" si="26"/>
        <v/>
      </c>
      <c r="K103" s="70" t="str">
        <f t="shared" si="27"/>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28"/>
        <v>0</v>
      </c>
      <c r="AL103" s="74"/>
      <c r="AM103" s="74"/>
      <c r="AN103" s="81" t="str">
        <f t="shared" si="29"/>
        <v/>
      </c>
      <c r="AO103" s="82"/>
      <c r="AP103" s="75"/>
      <c r="AQ103" s="75"/>
      <c r="AR103" s="80">
        <f t="shared" si="30"/>
        <v>0</v>
      </c>
      <c r="AS103" s="74"/>
      <c r="AT103" s="75"/>
      <c r="AU103" s="75"/>
      <c r="AV103" s="75"/>
      <c r="AW103" s="80">
        <f t="shared" si="31"/>
        <v>0</v>
      </c>
      <c r="AX103" s="81" t="str">
        <f t="shared" si="32"/>
        <v/>
      </c>
      <c r="AY103" s="83" t="str">
        <f t="shared" si="33"/>
        <v/>
      </c>
      <c r="AZ103" s="80" t="str">
        <f t="shared" si="34"/>
        <v/>
      </c>
      <c r="BA103" s="84">
        <f t="shared" si="35"/>
        <v>0</v>
      </c>
      <c r="BB103" s="85" t="str">
        <f t="shared" si="36"/>
        <v/>
      </c>
      <c r="BC103" s="86" t="str">
        <f t="shared" si="37"/>
        <v/>
      </c>
      <c r="BD103" s="84">
        <f t="shared" si="38"/>
        <v>0</v>
      </c>
      <c r="BE103" s="87" t="str">
        <f t="shared" si="39"/>
        <v/>
      </c>
      <c r="BF103" s="88" t="str">
        <f t="shared" si="40"/>
        <v/>
      </c>
      <c r="BG103" s="89" t="str">
        <f t="shared" si="41"/>
        <v/>
      </c>
      <c r="BH103" s="90" t="str">
        <f t="shared" si="42"/>
        <v/>
      </c>
      <c r="BI103" s="90" t="str">
        <f t="shared" si="43"/>
        <v/>
      </c>
      <c r="BJ103" s="91">
        <f t="shared" si="44"/>
        <v>0</v>
      </c>
      <c r="BK103" s="92">
        <f t="shared" si="45"/>
        <v>0</v>
      </c>
      <c r="BL103" s="95"/>
    </row>
    <row r="104" spans="1:64">
      <c r="A104" s="61"/>
      <c r="B104" s="62"/>
      <c r="C104" s="63"/>
      <c r="D104" s="64"/>
      <c r="E104" s="64"/>
      <c r="F104" s="65"/>
      <c r="G104" s="66" t="str">
        <f t="shared" si="23"/>
        <v/>
      </c>
      <c r="H104" s="67" t="str">
        <f t="shared" si="24"/>
        <v/>
      </c>
      <c r="I104" s="68" t="str">
        <f t="shared" si="25"/>
        <v/>
      </c>
      <c r="J104" s="69" t="str">
        <f t="shared" si="26"/>
        <v/>
      </c>
      <c r="K104" s="70" t="str">
        <f t="shared" si="27"/>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28"/>
        <v>0</v>
      </c>
      <c r="AL104" s="74"/>
      <c r="AM104" s="74"/>
      <c r="AN104" s="81" t="str">
        <f t="shared" si="29"/>
        <v/>
      </c>
      <c r="AO104" s="82"/>
      <c r="AP104" s="75"/>
      <c r="AQ104" s="75"/>
      <c r="AR104" s="80">
        <f t="shared" si="30"/>
        <v>0</v>
      </c>
      <c r="AS104" s="74"/>
      <c r="AT104" s="75"/>
      <c r="AU104" s="75"/>
      <c r="AV104" s="75"/>
      <c r="AW104" s="80">
        <f t="shared" si="31"/>
        <v>0</v>
      </c>
      <c r="AX104" s="81" t="str">
        <f t="shared" si="32"/>
        <v/>
      </c>
      <c r="AY104" s="83" t="str">
        <f t="shared" si="33"/>
        <v/>
      </c>
      <c r="AZ104" s="80" t="str">
        <f t="shared" si="34"/>
        <v/>
      </c>
      <c r="BA104" s="84">
        <f t="shared" si="35"/>
        <v>0</v>
      </c>
      <c r="BB104" s="85" t="str">
        <f t="shared" si="36"/>
        <v/>
      </c>
      <c r="BC104" s="86" t="str">
        <f t="shared" si="37"/>
        <v/>
      </c>
      <c r="BD104" s="84">
        <f t="shared" si="38"/>
        <v>0</v>
      </c>
      <c r="BE104" s="87" t="str">
        <f t="shared" si="39"/>
        <v/>
      </c>
      <c r="BF104" s="88" t="str">
        <f t="shared" si="40"/>
        <v/>
      </c>
      <c r="BG104" s="89" t="str">
        <f t="shared" si="41"/>
        <v/>
      </c>
      <c r="BH104" s="90" t="str">
        <f t="shared" si="42"/>
        <v/>
      </c>
      <c r="BI104" s="90" t="str">
        <f t="shared" si="43"/>
        <v/>
      </c>
      <c r="BJ104" s="91">
        <f t="shared" si="44"/>
        <v>0</v>
      </c>
      <c r="BK104" s="92">
        <f t="shared" si="45"/>
        <v>0</v>
      </c>
      <c r="BL104" s="95"/>
    </row>
    <row r="105" spans="1:64">
      <c r="A105" s="61"/>
      <c r="B105" s="62"/>
      <c r="C105" s="63"/>
      <c r="D105" s="64"/>
      <c r="E105" s="64"/>
      <c r="F105" s="65"/>
      <c r="G105" s="66" t="str">
        <f t="shared" si="23"/>
        <v/>
      </c>
      <c r="H105" s="67" t="str">
        <f t="shared" si="24"/>
        <v/>
      </c>
      <c r="I105" s="68" t="str">
        <f t="shared" si="25"/>
        <v/>
      </c>
      <c r="J105" s="69" t="str">
        <f t="shared" si="26"/>
        <v/>
      </c>
      <c r="K105" s="70" t="str">
        <f t="shared" si="27"/>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28"/>
        <v>0</v>
      </c>
      <c r="AL105" s="74"/>
      <c r="AM105" s="74"/>
      <c r="AN105" s="81" t="str">
        <f t="shared" si="29"/>
        <v/>
      </c>
      <c r="AO105" s="82"/>
      <c r="AP105" s="75"/>
      <c r="AQ105" s="75"/>
      <c r="AR105" s="80">
        <f t="shared" si="30"/>
        <v>0</v>
      </c>
      <c r="AS105" s="74"/>
      <c r="AT105" s="75"/>
      <c r="AU105" s="75"/>
      <c r="AV105" s="75"/>
      <c r="AW105" s="80">
        <f t="shared" si="31"/>
        <v>0</v>
      </c>
      <c r="AX105" s="81" t="str">
        <f t="shared" si="32"/>
        <v/>
      </c>
      <c r="AY105" s="83" t="str">
        <f t="shared" si="33"/>
        <v/>
      </c>
      <c r="AZ105" s="80" t="str">
        <f t="shared" si="34"/>
        <v/>
      </c>
      <c r="BA105" s="84">
        <f t="shared" si="35"/>
        <v>0</v>
      </c>
      <c r="BB105" s="85" t="str">
        <f t="shared" si="36"/>
        <v/>
      </c>
      <c r="BC105" s="86" t="str">
        <f t="shared" si="37"/>
        <v/>
      </c>
      <c r="BD105" s="84">
        <f t="shared" si="38"/>
        <v>0</v>
      </c>
      <c r="BE105" s="87" t="str">
        <f t="shared" si="39"/>
        <v/>
      </c>
      <c r="BF105" s="88" t="str">
        <f t="shared" si="40"/>
        <v/>
      </c>
      <c r="BG105" s="89" t="str">
        <f t="shared" si="41"/>
        <v/>
      </c>
      <c r="BH105" s="90" t="str">
        <f t="shared" si="42"/>
        <v/>
      </c>
      <c r="BI105" s="90" t="str">
        <f t="shared" si="43"/>
        <v/>
      </c>
      <c r="BJ105" s="91">
        <f t="shared" si="44"/>
        <v>0</v>
      </c>
      <c r="BK105" s="92">
        <f t="shared" si="45"/>
        <v>0</v>
      </c>
      <c r="BL105" s="95"/>
    </row>
    <row r="106" spans="1:64">
      <c r="A106" s="61"/>
      <c r="B106" s="62"/>
      <c r="C106" s="63"/>
      <c r="D106" s="64"/>
      <c r="E106" s="64"/>
      <c r="F106" s="65"/>
      <c r="G106" s="66" t="str">
        <f t="shared" si="23"/>
        <v/>
      </c>
      <c r="H106" s="67" t="str">
        <f t="shared" si="24"/>
        <v/>
      </c>
      <c r="I106" s="68" t="str">
        <f t="shared" si="25"/>
        <v/>
      </c>
      <c r="J106" s="69" t="str">
        <f t="shared" si="26"/>
        <v/>
      </c>
      <c r="K106" s="70" t="str">
        <f t="shared" si="27"/>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28"/>
        <v>0</v>
      </c>
      <c r="AL106" s="74"/>
      <c r="AM106" s="74"/>
      <c r="AN106" s="81" t="str">
        <f t="shared" si="29"/>
        <v/>
      </c>
      <c r="AO106" s="82"/>
      <c r="AP106" s="75"/>
      <c r="AQ106" s="75"/>
      <c r="AR106" s="80">
        <f t="shared" si="30"/>
        <v>0</v>
      </c>
      <c r="AS106" s="74"/>
      <c r="AT106" s="75"/>
      <c r="AU106" s="75"/>
      <c r="AV106" s="75"/>
      <c r="AW106" s="80">
        <f t="shared" si="31"/>
        <v>0</v>
      </c>
      <c r="AX106" s="81" t="str">
        <f t="shared" si="32"/>
        <v/>
      </c>
      <c r="AY106" s="83" t="str">
        <f t="shared" si="33"/>
        <v/>
      </c>
      <c r="AZ106" s="80" t="str">
        <f t="shared" si="34"/>
        <v/>
      </c>
      <c r="BA106" s="84">
        <f t="shared" si="35"/>
        <v>0</v>
      </c>
      <c r="BB106" s="85" t="str">
        <f t="shared" si="36"/>
        <v/>
      </c>
      <c r="BC106" s="86" t="str">
        <f t="shared" si="37"/>
        <v/>
      </c>
      <c r="BD106" s="84">
        <f t="shared" si="38"/>
        <v>0</v>
      </c>
      <c r="BE106" s="87" t="str">
        <f t="shared" si="39"/>
        <v/>
      </c>
      <c r="BF106" s="88" t="str">
        <f t="shared" si="40"/>
        <v/>
      </c>
      <c r="BG106" s="89" t="str">
        <f t="shared" si="41"/>
        <v/>
      </c>
      <c r="BH106" s="90" t="str">
        <f t="shared" si="42"/>
        <v/>
      </c>
      <c r="BI106" s="90" t="str">
        <f t="shared" si="43"/>
        <v/>
      </c>
      <c r="BJ106" s="91">
        <f t="shared" si="44"/>
        <v>0</v>
      </c>
      <c r="BK106" s="92">
        <f t="shared" si="45"/>
        <v>0</v>
      </c>
      <c r="BL106" s="95"/>
    </row>
    <row r="107" spans="1:64">
      <c r="A107" s="61"/>
      <c r="B107" s="62"/>
      <c r="C107" s="63"/>
      <c r="D107" s="64"/>
      <c r="E107" s="64"/>
      <c r="F107" s="65"/>
      <c r="G107" s="66" t="str">
        <f t="shared" si="23"/>
        <v/>
      </c>
      <c r="H107" s="67" t="str">
        <f t="shared" si="24"/>
        <v/>
      </c>
      <c r="I107" s="68" t="str">
        <f t="shared" si="25"/>
        <v/>
      </c>
      <c r="J107" s="69" t="str">
        <f t="shared" si="26"/>
        <v/>
      </c>
      <c r="K107" s="70" t="str">
        <f t="shared" si="27"/>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28"/>
        <v>0</v>
      </c>
      <c r="AL107" s="74"/>
      <c r="AM107" s="74"/>
      <c r="AN107" s="81" t="str">
        <f t="shared" si="29"/>
        <v/>
      </c>
      <c r="AO107" s="82"/>
      <c r="AP107" s="75"/>
      <c r="AQ107" s="75"/>
      <c r="AR107" s="80">
        <f t="shared" si="30"/>
        <v>0</v>
      </c>
      <c r="AS107" s="74"/>
      <c r="AT107" s="75"/>
      <c r="AU107" s="75"/>
      <c r="AV107" s="75"/>
      <c r="AW107" s="80">
        <f t="shared" si="31"/>
        <v>0</v>
      </c>
      <c r="AX107" s="81" t="str">
        <f t="shared" si="32"/>
        <v/>
      </c>
      <c r="AY107" s="83" t="str">
        <f t="shared" si="33"/>
        <v/>
      </c>
      <c r="AZ107" s="80" t="str">
        <f t="shared" si="34"/>
        <v/>
      </c>
      <c r="BA107" s="84">
        <f t="shared" si="35"/>
        <v>0</v>
      </c>
      <c r="BB107" s="85" t="str">
        <f t="shared" si="36"/>
        <v/>
      </c>
      <c r="BC107" s="86" t="str">
        <f t="shared" si="37"/>
        <v/>
      </c>
      <c r="BD107" s="84">
        <f t="shared" si="38"/>
        <v>0</v>
      </c>
      <c r="BE107" s="87" t="str">
        <f t="shared" si="39"/>
        <v/>
      </c>
      <c r="BF107" s="88" t="str">
        <f t="shared" si="40"/>
        <v/>
      </c>
      <c r="BG107" s="89" t="str">
        <f t="shared" si="41"/>
        <v/>
      </c>
      <c r="BH107" s="90" t="str">
        <f t="shared" si="42"/>
        <v/>
      </c>
      <c r="BI107" s="90" t="str">
        <f t="shared" si="43"/>
        <v/>
      </c>
      <c r="BJ107" s="91">
        <f t="shared" si="44"/>
        <v>0</v>
      </c>
      <c r="BK107" s="92">
        <f t="shared" si="45"/>
        <v>0</v>
      </c>
      <c r="BL107" s="95"/>
    </row>
    <row r="108" spans="1:64">
      <c r="A108" s="61"/>
      <c r="B108" s="62"/>
      <c r="C108" s="63"/>
      <c r="D108" s="64"/>
      <c r="E108" s="64"/>
      <c r="F108" s="65"/>
      <c r="G108" s="66" t="str">
        <f t="shared" si="23"/>
        <v/>
      </c>
      <c r="H108" s="67" t="str">
        <f t="shared" si="24"/>
        <v/>
      </c>
      <c r="I108" s="68" t="str">
        <f t="shared" si="25"/>
        <v/>
      </c>
      <c r="J108" s="69" t="str">
        <f t="shared" si="26"/>
        <v/>
      </c>
      <c r="K108" s="70" t="str">
        <f t="shared" si="27"/>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28"/>
        <v>0</v>
      </c>
      <c r="AL108" s="74"/>
      <c r="AM108" s="74"/>
      <c r="AN108" s="81" t="str">
        <f t="shared" si="29"/>
        <v/>
      </c>
      <c r="AO108" s="82"/>
      <c r="AP108" s="75"/>
      <c r="AQ108" s="75"/>
      <c r="AR108" s="80">
        <f t="shared" si="30"/>
        <v>0</v>
      </c>
      <c r="AS108" s="74"/>
      <c r="AT108" s="75"/>
      <c r="AU108" s="75"/>
      <c r="AV108" s="75"/>
      <c r="AW108" s="80">
        <f t="shared" si="31"/>
        <v>0</v>
      </c>
      <c r="AX108" s="81" t="str">
        <f t="shared" si="32"/>
        <v/>
      </c>
      <c r="AY108" s="83" t="str">
        <f t="shared" si="33"/>
        <v/>
      </c>
      <c r="AZ108" s="80" t="str">
        <f t="shared" si="34"/>
        <v/>
      </c>
      <c r="BA108" s="84">
        <f t="shared" si="35"/>
        <v>0</v>
      </c>
      <c r="BB108" s="85" t="str">
        <f t="shared" si="36"/>
        <v/>
      </c>
      <c r="BC108" s="86" t="str">
        <f t="shared" si="37"/>
        <v/>
      </c>
      <c r="BD108" s="84">
        <f t="shared" si="38"/>
        <v>0</v>
      </c>
      <c r="BE108" s="87" t="str">
        <f t="shared" si="39"/>
        <v/>
      </c>
      <c r="BF108" s="88" t="str">
        <f t="shared" si="40"/>
        <v/>
      </c>
      <c r="BG108" s="89" t="str">
        <f t="shared" si="41"/>
        <v/>
      </c>
      <c r="BH108" s="90" t="str">
        <f t="shared" si="42"/>
        <v/>
      </c>
      <c r="BI108" s="90" t="str">
        <f t="shared" si="43"/>
        <v/>
      </c>
      <c r="BJ108" s="91">
        <f t="shared" si="44"/>
        <v>0</v>
      </c>
      <c r="BK108" s="92">
        <f t="shared" si="45"/>
        <v>0</v>
      </c>
      <c r="BL108" s="95"/>
    </row>
    <row r="109" spans="1:64">
      <c r="A109" s="61"/>
      <c r="B109" s="62"/>
      <c r="C109" s="63"/>
      <c r="D109" s="64"/>
      <c r="E109" s="64"/>
      <c r="F109" s="65"/>
      <c r="G109" s="66" t="str">
        <f t="shared" si="23"/>
        <v/>
      </c>
      <c r="H109" s="67" t="str">
        <f t="shared" si="24"/>
        <v/>
      </c>
      <c r="I109" s="68" t="str">
        <f t="shared" si="25"/>
        <v/>
      </c>
      <c r="J109" s="69" t="str">
        <f t="shared" si="26"/>
        <v/>
      </c>
      <c r="K109" s="70" t="str">
        <f t="shared" si="27"/>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28"/>
        <v>0</v>
      </c>
      <c r="AL109" s="74"/>
      <c r="AM109" s="74"/>
      <c r="AN109" s="81" t="str">
        <f t="shared" si="29"/>
        <v/>
      </c>
      <c r="AO109" s="82"/>
      <c r="AP109" s="75"/>
      <c r="AQ109" s="75"/>
      <c r="AR109" s="80">
        <f t="shared" si="30"/>
        <v>0</v>
      </c>
      <c r="AS109" s="74"/>
      <c r="AT109" s="75"/>
      <c r="AU109" s="75"/>
      <c r="AV109" s="75"/>
      <c r="AW109" s="80">
        <f t="shared" si="31"/>
        <v>0</v>
      </c>
      <c r="AX109" s="81" t="str">
        <f t="shared" si="32"/>
        <v/>
      </c>
      <c r="AY109" s="83" t="str">
        <f t="shared" si="33"/>
        <v/>
      </c>
      <c r="AZ109" s="80" t="str">
        <f t="shared" si="34"/>
        <v/>
      </c>
      <c r="BA109" s="84">
        <f t="shared" si="35"/>
        <v>0</v>
      </c>
      <c r="BB109" s="85" t="str">
        <f t="shared" si="36"/>
        <v/>
      </c>
      <c r="BC109" s="86" t="str">
        <f t="shared" si="37"/>
        <v/>
      </c>
      <c r="BD109" s="84">
        <f t="shared" si="38"/>
        <v>0</v>
      </c>
      <c r="BE109" s="87" t="str">
        <f t="shared" si="39"/>
        <v/>
      </c>
      <c r="BF109" s="88" t="str">
        <f t="shared" si="40"/>
        <v/>
      </c>
      <c r="BG109" s="89" t="str">
        <f t="shared" si="41"/>
        <v/>
      </c>
      <c r="BH109" s="90" t="str">
        <f t="shared" si="42"/>
        <v/>
      </c>
      <c r="BI109" s="90" t="str">
        <f t="shared" si="43"/>
        <v/>
      </c>
      <c r="BJ109" s="91">
        <f t="shared" si="44"/>
        <v>0</v>
      </c>
      <c r="BK109" s="92">
        <f t="shared" si="45"/>
        <v>0</v>
      </c>
      <c r="BL109" s="95"/>
    </row>
    <row r="110" spans="1:64">
      <c r="A110" s="61"/>
      <c r="B110" s="62"/>
      <c r="C110" s="63"/>
      <c r="D110" s="64"/>
      <c r="E110" s="64"/>
      <c r="F110" s="65"/>
      <c r="G110" s="66" t="str">
        <f t="shared" si="23"/>
        <v/>
      </c>
      <c r="H110" s="67" t="str">
        <f t="shared" si="24"/>
        <v/>
      </c>
      <c r="I110" s="68" t="str">
        <f t="shared" si="25"/>
        <v/>
      </c>
      <c r="J110" s="69" t="str">
        <f t="shared" si="26"/>
        <v/>
      </c>
      <c r="K110" s="70" t="str">
        <f t="shared" si="27"/>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28"/>
        <v>0</v>
      </c>
      <c r="AL110" s="74"/>
      <c r="AM110" s="74"/>
      <c r="AN110" s="81" t="str">
        <f t="shared" si="29"/>
        <v/>
      </c>
      <c r="AO110" s="82"/>
      <c r="AP110" s="75"/>
      <c r="AQ110" s="75"/>
      <c r="AR110" s="80">
        <f t="shared" si="30"/>
        <v>0</v>
      </c>
      <c r="AS110" s="74"/>
      <c r="AT110" s="75"/>
      <c r="AU110" s="75"/>
      <c r="AV110" s="75"/>
      <c r="AW110" s="80">
        <f t="shared" si="31"/>
        <v>0</v>
      </c>
      <c r="AX110" s="81" t="str">
        <f t="shared" si="32"/>
        <v/>
      </c>
      <c r="AY110" s="83" t="str">
        <f t="shared" si="33"/>
        <v/>
      </c>
      <c r="AZ110" s="80" t="str">
        <f t="shared" si="34"/>
        <v/>
      </c>
      <c r="BA110" s="84">
        <f t="shared" si="35"/>
        <v>0</v>
      </c>
      <c r="BB110" s="85" t="str">
        <f t="shared" si="36"/>
        <v/>
      </c>
      <c r="BC110" s="86" t="str">
        <f t="shared" si="37"/>
        <v/>
      </c>
      <c r="BD110" s="84">
        <f t="shared" si="38"/>
        <v>0</v>
      </c>
      <c r="BE110" s="87" t="str">
        <f t="shared" si="39"/>
        <v/>
      </c>
      <c r="BF110" s="88" t="str">
        <f t="shared" si="40"/>
        <v/>
      </c>
      <c r="BG110" s="89" t="str">
        <f t="shared" si="41"/>
        <v/>
      </c>
      <c r="BH110" s="90" t="str">
        <f t="shared" si="42"/>
        <v/>
      </c>
      <c r="BI110" s="90" t="str">
        <f t="shared" si="43"/>
        <v/>
      </c>
      <c r="BJ110" s="91">
        <f t="shared" si="44"/>
        <v>0</v>
      </c>
      <c r="BK110" s="92">
        <f t="shared" si="45"/>
        <v>0</v>
      </c>
      <c r="BL110" s="95"/>
    </row>
    <row r="111" spans="1:64">
      <c r="A111" s="61"/>
      <c r="B111" s="62"/>
      <c r="C111" s="63"/>
      <c r="D111" s="64"/>
      <c r="E111" s="64"/>
      <c r="F111" s="65"/>
      <c r="G111" s="66" t="str">
        <f t="shared" si="23"/>
        <v/>
      </c>
      <c r="H111" s="67" t="str">
        <f t="shared" si="24"/>
        <v/>
      </c>
      <c r="I111" s="68" t="str">
        <f t="shared" si="25"/>
        <v/>
      </c>
      <c r="J111" s="69" t="str">
        <f t="shared" si="26"/>
        <v/>
      </c>
      <c r="K111" s="70" t="str">
        <f t="shared" si="27"/>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28"/>
        <v>0</v>
      </c>
      <c r="AL111" s="74"/>
      <c r="AM111" s="74"/>
      <c r="AN111" s="81" t="str">
        <f t="shared" si="29"/>
        <v/>
      </c>
      <c r="AO111" s="82"/>
      <c r="AP111" s="75"/>
      <c r="AQ111" s="75"/>
      <c r="AR111" s="80">
        <f t="shared" si="30"/>
        <v>0</v>
      </c>
      <c r="AS111" s="74"/>
      <c r="AT111" s="75"/>
      <c r="AU111" s="75"/>
      <c r="AV111" s="75"/>
      <c r="AW111" s="80">
        <f t="shared" si="31"/>
        <v>0</v>
      </c>
      <c r="AX111" s="81" t="str">
        <f t="shared" si="32"/>
        <v/>
      </c>
      <c r="AY111" s="83" t="str">
        <f t="shared" si="33"/>
        <v/>
      </c>
      <c r="AZ111" s="80" t="str">
        <f t="shared" si="34"/>
        <v/>
      </c>
      <c r="BA111" s="84">
        <f t="shared" si="35"/>
        <v>0</v>
      </c>
      <c r="BB111" s="85" t="str">
        <f t="shared" si="36"/>
        <v/>
      </c>
      <c r="BC111" s="86" t="str">
        <f t="shared" si="37"/>
        <v/>
      </c>
      <c r="BD111" s="84">
        <f t="shared" si="38"/>
        <v>0</v>
      </c>
      <c r="BE111" s="87" t="str">
        <f t="shared" si="39"/>
        <v/>
      </c>
      <c r="BF111" s="88" t="str">
        <f t="shared" si="40"/>
        <v/>
      </c>
      <c r="BG111" s="89" t="str">
        <f t="shared" si="41"/>
        <v/>
      </c>
      <c r="BH111" s="90" t="str">
        <f t="shared" si="42"/>
        <v/>
      </c>
      <c r="BI111" s="90" t="str">
        <f t="shared" si="43"/>
        <v/>
      </c>
      <c r="BJ111" s="91">
        <f t="shared" si="44"/>
        <v>0</v>
      </c>
      <c r="BK111" s="92">
        <f t="shared" si="45"/>
        <v>0</v>
      </c>
      <c r="BL111" s="95"/>
    </row>
    <row r="112" spans="1:64">
      <c r="A112" s="61"/>
      <c r="B112" s="62"/>
      <c r="C112" s="63"/>
      <c r="D112" s="64"/>
      <c r="E112" s="64"/>
      <c r="F112" s="65"/>
      <c r="G112" s="66" t="str">
        <f t="shared" si="23"/>
        <v/>
      </c>
      <c r="H112" s="67" t="str">
        <f t="shared" si="24"/>
        <v/>
      </c>
      <c r="I112" s="68" t="str">
        <f t="shared" si="25"/>
        <v/>
      </c>
      <c r="J112" s="69" t="str">
        <f t="shared" si="26"/>
        <v/>
      </c>
      <c r="K112" s="70" t="str">
        <f t="shared" si="27"/>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28"/>
        <v>0</v>
      </c>
      <c r="AL112" s="74"/>
      <c r="AM112" s="74"/>
      <c r="AN112" s="81" t="str">
        <f t="shared" si="29"/>
        <v/>
      </c>
      <c r="AO112" s="82"/>
      <c r="AP112" s="75"/>
      <c r="AQ112" s="75"/>
      <c r="AR112" s="80">
        <f t="shared" si="30"/>
        <v>0</v>
      </c>
      <c r="AS112" s="74"/>
      <c r="AT112" s="75"/>
      <c r="AU112" s="75"/>
      <c r="AV112" s="75"/>
      <c r="AW112" s="80">
        <f t="shared" si="31"/>
        <v>0</v>
      </c>
      <c r="AX112" s="81" t="str">
        <f t="shared" si="32"/>
        <v/>
      </c>
      <c r="AY112" s="83" t="str">
        <f t="shared" si="33"/>
        <v/>
      </c>
      <c r="AZ112" s="80" t="str">
        <f t="shared" si="34"/>
        <v/>
      </c>
      <c r="BA112" s="84">
        <f t="shared" si="35"/>
        <v>0</v>
      </c>
      <c r="BB112" s="85" t="str">
        <f t="shared" si="36"/>
        <v/>
      </c>
      <c r="BC112" s="86" t="str">
        <f t="shared" si="37"/>
        <v/>
      </c>
      <c r="BD112" s="84">
        <f t="shared" si="38"/>
        <v>0</v>
      </c>
      <c r="BE112" s="87" t="str">
        <f t="shared" si="39"/>
        <v/>
      </c>
      <c r="BF112" s="88" t="str">
        <f t="shared" si="40"/>
        <v/>
      </c>
      <c r="BG112" s="89" t="str">
        <f t="shared" si="41"/>
        <v/>
      </c>
      <c r="BH112" s="90" t="str">
        <f t="shared" si="42"/>
        <v/>
      </c>
      <c r="BI112" s="90" t="str">
        <f t="shared" si="43"/>
        <v/>
      </c>
      <c r="BJ112" s="91">
        <f t="shared" si="44"/>
        <v>0</v>
      </c>
      <c r="BK112" s="92">
        <f t="shared" si="45"/>
        <v>0</v>
      </c>
      <c r="BL112" s="95"/>
    </row>
    <row r="113" spans="1:64">
      <c r="A113" s="61"/>
      <c r="B113" s="62"/>
      <c r="C113" s="63"/>
      <c r="D113" s="64"/>
      <c r="E113" s="64"/>
      <c r="F113" s="65"/>
      <c r="G113" s="66" t="str">
        <f t="shared" si="23"/>
        <v/>
      </c>
      <c r="H113" s="67" t="str">
        <f t="shared" si="24"/>
        <v/>
      </c>
      <c r="I113" s="68" t="str">
        <f t="shared" si="25"/>
        <v/>
      </c>
      <c r="J113" s="69" t="str">
        <f t="shared" si="26"/>
        <v/>
      </c>
      <c r="K113" s="70" t="str">
        <f t="shared" si="27"/>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28"/>
        <v>0</v>
      </c>
      <c r="AL113" s="74"/>
      <c r="AM113" s="74"/>
      <c r="AN113" s="81" t="str">
        <f t="shared" si="29"/>
        <v/>
      </c>
      <c r="AO113" s="82"/>
      <c r="AP113" s="75"/>
      <c r="AQ113" s="75"/>
      <c r="AR113" s="80">
        <f t="shared" si="30"/>
        <v>0</v>
      </c>
      <c r="AS113" s="74"/>
      <c r="AT113" s="75"/>
      <c r="AU113" s="75"/>
      <c r="AV113" s="75"/>
      <c r="AW113" s="80">
        <f t="shared" si="31"/>
        <v>0</v>
      </c>
      <c r="AX113" s="81" t="str">
        <f t="shared" si="32"/>
        <v/>
      </c>
      <c r="AY113" s="83" t="str">
        <f t="shared" si="33"/>
        <v/>
      </c>
      <c r="AZ113" s="80" t="str">
        <f t="shared" si="34"/>
        <v/>
      </c>
      <c r="BA113" s="84">
        <f t="shared" si="35"/>
        <v>0</v>
      </c>
      <c r="BB113" s="85" t="str">
        <f t="shared" si="36"/>
        <v/>
      </c>
      <c r="BC113" s="86" t="str">
        <f t="shared" si="37"/>
        <v/>
      </c>
      <c r="BD113" s="84">
        <f t="shared" si="38"/>
        <v>0</v>
      </c>
      <c r="BE113" s="87" t="str">
        <f t="shared" si="39"/>
        <v/>
      </c>
      <c r="BF113" s="88" t="str">
        <f t="shared" si="40"/>
        <v/>
      </c>
      <c r="BG113" s="89" t="str">
        <f t="shared" si="41"/>
        <v/>
      </c>
      <c r="BH113" s="90" t="str">
        <f t="shared" si="42"/>
        <v/>
      </c>
      <c r="BI113" s="90" t="str">
        <f t="shared" si="43"/>
        <v/>
      </c>
      <c r="BJ113" s="91">
        <f t="shared" si="44"/>
        <v>0</v>
      </c>
      <c r="BK113" s="92">
        <f t="shared" si="45"/>
        <v>0</v>
      </c>
      <c r="BL113" s="95"/>
    </row>
    <row r="114" spans="1:64">
      <c r="A114" s="61"/>
      <c r="B114" s="62"/>
      <c r="C114" s="63"/>
      <c r="D114" s="64"/>
      <c r="E114" s="64"/>
      <c r="F114" s="65"/>
      <c r="G114" s="66" t="str">
        <f t="shared" si="23"/>
        <v/>
      </c>
      <c r="H114" s="67" t="str">
        <f t="shared" si="24"/>
        <v/>
      </c>
      <c r="I114" s="68" t="str">
        <f t="shared" si="25"/>
        <v/>
      </c>
      <c r="J114" s="69" t="str">
        <f t="shared" si="26"/>
        <v/>
      </c>
      <c r="K114" s="70" t="str">
        <f t="shared" si="27"/>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28"/>
        <v>0</v>
      </c>
      <c r="AL114" s="74"/>
      <c r="AM114" s="74"/>
      <c r="AN114" s="81" t="str">
        <f t="shared" si="29"/>
        <v/>
      </c>
      <c r="AO114" s="82"/>
      <c r="AP114" s="75"/>
      <c r="AQ114" s="75"/>
      <c r="AR114" s="80">
        <f t="shared" si="30"/>
        <v>0</v>
      </c>
      <c r="AS114" s="74"/>
      <c r="AT114" s="75"/>
      <c r="AU114" s="75"/>
      <c r="AV114" s="75"/>
      <c r="AW114" s="80">
        <f t="shared" si="31"/>
        <v>0</v>
      </c>
      <c r="AX114" s="81" t="str">
        <f t="shared" si="32"/>
        <v/>
      </c>
      <c r="AY114" s="83" t="str">
        <f t="shared" si="33"/>
        <v/>
      </c>
      <c r="AZ114" s="80" t="str">
        <f t="shared" si="34"/>
        <v/>
      </c>
      <c r="BA114" s="84">
        <f t="shared" si="35"/>
        <v>0</v>
      </c>
      <c r="BB114" s="85" t="str">
        <f t="shared" si="36"/>
        <v/>
      </c>
      <c r="BC114" s="86" t="str">
        <f t="shared" si="37"/>
        <v/>
      </c>
      <c r="BD114" s="84">
        <f t="shared" si="38"/>
        <v>0</v>
      </c>
      <c r="BE114" s="87" t="str">
        <f t="shared" si="39"/>
        <v/>
      </c>
      <c r="BF114" s="88" t="str">
        <f t="shared" si="40"/>
        <v/>
      </c>
      <c r="BG114" s="89" t="str">
        <f t="shared" si="41"/>
        <v/>
      </c>
      <c r="BH114" s="90" t="str">
        <f t="shared" si="42"/>
        <v/>
      </c>
      <c r="BI114" s="90" t="str">
        <f t="shared" si="43"/>
        <v/>
      </c>
      <c r="BJ114" s="91">
        <f t="shared" si="44"/>
        <v>0</v>
      </c>
      <c r="BK114" s="92">
        <f t="shared" si="45"/>
        <v>0</v>
      </c>
      <c r="BL114" s="95"/>
    </row>
    <row r="115" spans="1:64">
      <c r="A115" s="61"/>
      <c r="B115" s="62"/>
      <c r="C115" s="63"/>
      <c r="D115" s="64"/>
      <c r="E115" s="64"/>
      <c r="F115" s="65"/>
      <c r="G115" s="66" t="str">
        <f t="shared" si="23"/>
        <v/>
      </c>
      <c r="H115" s="67" t="str">
        <f t="shared" si="24"/>
        <v/>
      </c>
      <c r="I115" s="68" t="str">
        <f t="shared" si="25"/>
        <v/>
      </c>
      <c r="J115" s="69" t="str">
        <f t="shared" si="26"/>
        <v/>
      </c>
      <c r="K115" s="70" t="str">
        <f t="shared" si="27"/>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28"/>
        <v>0</v>
      </c>
      <c r="AL115" s="74"/>
      <c r="AM115" s="74"/>
      <c r="AN115" s="81" t="str">
        <f t="shared" si="29"/>
        <v/>
      </c>
      <c r="AO115" s="82"/>
      <c r="AP115" s="75"/>
      <c r="AQ115" s="75"/>
      <c r="AR115" s="80">
        <f t="shared" si="30"/>
        <v>0</v>
      </c>
      <c r="AS115" s="74"/>
      <c r="AT115" s="75"/>
      <c r="AU115" s="75"/>
      <c r="AV115" s="75"/>
      <c r="AW115" s="80">
        <f t="shared" si="31"/>
        <v>0</v>
      </c>
      <c r="AX115" s="81" t="str">
        <f t="shared" si="32"/>
        <v/>
      </c>
      <c r="AY115" s="83" t="str">
        <f t="shared" si="33"/>
        <v/>
      </c>
      <c r="AZ115" s="80" t="str">
        <f t="shared" si="34"/>
        <v/>
      </c>
      <c r="BA115" s="84">
        <f t="shared" si="35"/>
        <v>0</v>
      </c>
      <c r="BB115" s="85" t="str">
        <f t="shared" si="36"/>
        <v/>
      </c>
      <c r="BC115" s="86" t="str">
        <f t="shared" si="37"/>
        <v/>
      </c>
      <c r="BD115" s="84">
        <f t="shared" si="38"/>
        <v>0</v>
      </c>
      <c r="BE115" s="87" t="str">
        <f t="shared" si="39"/>
        <v/>
      </c>
      <c r="BF115" s="88" t="str">
        <f t="shared" si="40"/>
        <v/>
      </c>
      <c r="BG115" s="89" t="str">
        <f t="shared" si="41"/>
        <v/>
      </c>
      <c r="BH115" s="90" t="str">
        <f t="shared" si="42"/>
        <v/>
      </c>
      <c r="BI115" s="90" t="str">
        <f t="shared" si="43"/>
        <v/>
      </c>
      <c r="BJ115" s="91">
        <f t="shared" si="44"/>
        <v>0</v>
      </c>
      <c r="BK115" s="92">
        <f t="shared" si="45"/>
        <v>0</v>
      </c>
      <c r="BL115" s="95"/>
    </row>
    <row r="116" spans="1:64">
      <c r="A116" s="61"/>
      <c r="B116" s="62"/>
      <c r="C116" s="63"/>
      <c r="D116" s="64"/>
      <c r="E116" s="64"/>
      <c r="F116" s="65"/>
      <c r="G116" s="66" t="str">
        <f t="shared" si="23"/>
        <v/>
      </c>
      <c r="H116" s="67" t="str">
        <f t="shared" si="24"/>
        <v/>
      </c>
      <c r="I116" s="68" t="str">
        <f t="shared" si="25"/>
        <v/>
      </c>
      <c r="J116" s="69" t="str">
        <f t="shared" si="26"/>
        <v/>
      </c>
      <c r="K116" s="70" t="str">
        <f t="shared" si="27"/>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28"/>
        <v>0</v>
      </c>
      <c r="AL116" s="74"/>
      <c r="AM116" s="74"/>
      <c r="AN116" s="81" t="str">
        <f t="shared" si="29"/>
        <v/>
      </c>
      <c r="AO116" s="82"/>
      <c r="AP116" s="75"/>
      <c r="AQ116" s="75"/>
      <c r="AR116" s="80">
        <f t="shared" si="30"/>
        <v>0</v>
      </c>
      <c r="AS116" s="74"/>
      <c r="AT116" s="75"/>
      <c r="AU116" s="75"/>
      <c r="AV116" s="75"/>
      <c r="AW116" s="80">
        <f t="shared" si="31"/>
        <v>0</v>
      </c>
      <c r="AX116" s="81" t="str">
        <f t="shared" si="32"/>
        <v/>
      </c>
      <c r="AY116" s="83" t="str">
        <f t="shared" si="33"/>
        <v/>
      </c>
      <c r="AZ116" s="80" t="str">
        <f t="shared" si="34"/>
        <v/>
      </c>
      <c r="BA116" s="84">
        <f t="shared" si="35"/>
        <v>0</v>
      </c>
      <c r="BB116" s="85" t="str">
        <f t="shared" si="36"/>
        <v/>
      </c>
      <c r="BC116" s="86" t="str">
        <f t="shared" si="37"/>
        <v/>
      </c>
      <c r="BD116" s="84">
        <f t="shared" si="38"/>
        <v>0</v>
      </c>
      <c r="BE116" s="87" t="str">
        <f t="shared" si="39"/>
        <v/>
      </c>
      <c r="BF116" s="88" t="str">
        <f t="shared" si="40"/>
        <v/>
      </c>
      <c r="BG116" s="89" t="str">
        <f t="shared" si="41"/>
        <v/>
      </c>
      <c r="BH116" s="90" t="str">
        <f t="shared" si="42"/>
        <v/>
      </c>
      <c r="BI116" s="90" t="str">
        <f t="shared" si="43"/>
        <v/>
      </c>
      <c r="BJ116" s="91">
        <f t="shared" si="44"/>
        <v>0</v>
      </c>
      <c r="BK116" s="92">
        <f t="shared" si="45"/>
        <v>0</v>
      </c>
      <c r="BL116" s="95"/>
    </row>
    <row r="117" spans="1:64">
      <c r="A117" s="61"/>
      <c r="B117" s="62"/>
      <c r="C117" s="63"/>
      <c r="D117" s="64"/>
      <c r="E117" s="64"/>
      <c r="F117" s="65"/>
      <c r="G117" s="66" t="str">
        <f t="shared" si="23"/>
        <v/>
      </c>
      <c r="H117" s="67" t="str">
        <f t="shared" si="24"/>
        <v/>
      </c>
      <c r="I117" s="68" t="str">
        <f t="shared" si="25"/>
        <v/>
      </c>
      <c r="J117" s="69" t="str">
        <f t="shared" si="26"/>
        <v/>
      </c>
      <c r="K117" s="70" t="str">
        <f t="shared" si="27"/>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28"/>
        <v>0</v>
      </c>
      <c r="AL117" s="74"/>
      <c r="AM117" s="74"/>
      <c r="AN117" s="81" t="str">
        <f t="shared" si="29"/>
        <v/>
      </c>
      <c r="AO117" s="82"/>
      <c r="AP117" s="75"/>
      <c r="AQ117" s="75"/>
      <c r="AR117" s="80">
        <f t="shared" si="30"/>
        <v>0</v>
      </c>
      <c r="AS117" s="74"/>
      <c r="AT117" s="75"/>
      <c r="AU117" s="75"/>
      <c r="AV117" s="75"/>
      <c r="AW117" s="80">
        <f t="shared" si="31"/>
        <v>0</v>
      </c>
      <c r="AX117" s="81" t="str">
        <f t="shared" si="32"/>
        <v/>
      </c>
      <c r="AY117" s="83" t="str">
        <f t="shared" si="33"/>
        <v/>
      </c>
      <c r="AZ117" s="80" t="str">
        <f t="shared" si="34"/>
        <v/>
      </c>
      <c r="BA117" s="84">
        <f t="shared" si="35"/>
        <v>0</v>
      </c>
      <c r="BB117" s="85" t="str">
        <f t="shared" si="36"/>
        <v/>
      </c>
      <c r="BC117" s="86" t="str">
        <f t="shared" si="37"/>
        <v/>
      </c>
      <c r="BD117" s="84">
        <f t="shared" si="38"/>
        <v>0</v>
      </c>
      <c r="BE117" s="87" t="str">
        <f t="shared" si="39"/>
        <v/>
      </c>
      <c r="BF117" s="88" t="str">
        <f t="shared" si="40"/>
        <v/>
      </c>
      <c r="BG117" s="89" t="str">
        <f t="shared" si="41"/>
        <v/>
      </c>
      <c r="BH117" s="90" t="str">
        <f t="shared" si="42"/>
        <v/>
      </c>
      <c r="BI117" s="90" t="str">
        <f t="shared" si="43"/>
        <v/>
      </c>
      <c r="BJ117" s="91">
        <f t="shared" si="44"/>
        <v>0</v>
      </c>
      <c r="BK117" s="92">
        <f t="shared" si="45"/>
        <v>0</v>
      </c>
      <c r="BL117" s="95"/>
    </row>
    <row r="118" spans="1:64">
      <c r="A118" s="61"/>
      <c r="B118" s="62"/>
      <c r="C118" s="63"/>
      <c r="D118" s="64"/>
      <c r="E118" s="64"/>
      <c r="F118" s="65"/>
      <c r="G118" s="66" t="str">
        <f t="shared" si="23"/>
        <v/>
      </c>
      <c r="H118" s="67" t="str">
        <f t="shared" si="24"/>
        <v/>
      </c>
      <c r="I118" s="68" t="str">
        <f t="shared" si="25"/>
        <v/>
      </c>
      <c r="J118" s="69" t="str">
        <f t="shared" si="26"/>
        <v/>
      </c>
      <c r="K118" s="70" t="str">
        <f t="shared" si="27"/>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28"/>
        <v>0</v>
      </c>
      <c r="AL118" s="74"/>
      <c r="AM118" s="74"/>
      <c r="AN118" s="81" t="str">
        <f t="shared" si="29"/>
        <v/>
      </c>
      <c r="AO118" s="82"/>
      <c r="AP118" s="75"/>
      <c r="AQ118" s="75"/>
      <c r="AR118" s="80">
        <f t="shared" si="30"/>
        <v>0</v>
      </c>
      <c r="AS118" s="74"/>
      <c r="AT118" s="75"/>
      <c r="AU118" s="75"/>
      <c r="AV118" s="75"/>
      <c r="AW118" s="80">
        <f t="shared" si="31"/>
        <v>0</v>
      </c>
      <c r="AX118" s="81" t="str">
        <f t="shared" si="32"/>
        <v/>
      </c>
      <c r="AY118" s="83" t="str">
        <f t="shared" si="33"/>
        <v/>
      </c>
      <c r="AZ118" s="80" t="str">
        <f t="shared" si="34"/>
        <v/>
      </c>
      <c r="BA118" s="84">
        <f t="shared" si="35"/>
        <v>0</v>
      </c>
      <c r="BB118" s="85" t="str">
        <f t="shared" si="36"/>
        <v/>
      </c>
      <c r="BC118" s="86" t="str">
        <f t="shared" si="37"/>
        <v/>
      </c>
      <c r="BD118" s="84">
        <f t="shared" si="38"/>
        <v>0</v>
      </c>
      <c r="BE118" s="87" t="str">
        <f t="shared" si="39"/>
        <v/>
      </c>
      <c r="BF118" s="88" t="str">
        <f t="shared" si="40"/>
        <v/>
      </c>
      <c r="BG118" s="89" t="str">
        <f t="shared" si="41"/>
        <v/>
      </c>
      <c r="BH118" s="90" t="str">
        <f t="shared" si="42"/>
        <v/>
      </c>
      <c r="BI118" s="90" t="str">
        <f t="shared" si="43"/>
        <v/>
      </c>
      <c r="BJ118" s="91">
        <f t="shared" si="44"/>
        <v>0</v>
      </c>
      <c r="BK118" s="92">
        <f t="shared" si="45"/>
        <v>0</v>
      </c>
      <c r="BL118" s="95"/>
    </row>
    <row r="119" spans="1:64">
      <c r="A119" s="61"/>
      <c r="B119" s="62"/>
      <c r="C119" s="63"/>
      <c r="D119" s="64"/>
      <c r="E119" s="64"/>
      <c r="F119" s="65"/>
      <c r="G119" s="66" t="str">
        <f t="shared" si="23"/>
        <v/>
      </c>
      <c r="H119" s="67" t="str">
        <f t="shared" si="24"/>
        <v/>
      </c>
      <c r="I119" s="68" t="str">
        <f t="shared" si="25"/>
        <v/>
      </c>
      <c r="J119" s="69" t="str">
        <f t="shared" si="26"/>
        <v/>
      </c>
      <c r="K119" s="70" t="str">
        <f t="shared" si="27"/>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28"/>
        <v>0</v>
      </c>
      <c r="AL119" s="74"/>
      <c r="AM119" s="74"/>
      <c r="AN119" s="81" t="str">
        <f t="shared" si="29"/>
        <v/>
      </c>
      <c r="AO119" s="82"/>
      <c r="AP119" s="75"/>
      <c r="AQ119" s="75"/>
      <c r="AR119" s="80">
        <f t="shared" si="30"/>
        <v>0</v>
      </c>
      <c r="AS119" s="74"/>
      <c r="AT119" s="75"/>
      <c r="AU119" s="75"/>
      <c r="AV119" s="75"/>
      <c r="AW119" s="80">
        <f t="shared" si="31"/>
        <v>0</v>
      </c>
      <c r="AX119" s="81" t="str">
        <f t="shared" si="32"/>
        <v/>
      </c>
      <c r="AY119" s="83" t="str">
        <f t="shared" si="33"/>
        <v/>
      </c>
      <c r="AZ119" s="80" t="str">
        <f t="shared" si="34"/>
        <v/>
      </c>
      <c r="BA119" s="84">
        <f t="shared" si="35"/>
        <v>0</v>
      </c>
      <c r="BB119" s="85" t="str">
        <f t="shared" si="36"/>
        <v/>
      </c>
      <c r="BC119" s="86" t="str">
        <f t="shared" si="37"/>
        <v/>
      </c>
      <c r="BD119" s="84">
        <f t="shared" si="38"/>
        <v>0</v>
      </c>
      <c r="BE119" s="87" t="str">
        <f t="shared" si="39"/>
        <v/>
      </c>
      <c r="BF119" s="88" t="str">
        <f t="shared" si="40"/>
        <v/>
      </c>
      <c r="BG119" s="89" t="str">
        <f t="shared" si="41"/>
        <v/>
      </c>
      <c r="BH119" s="90" t="str">
        <f t="shared" si="42"/>
        <v/>
      </c>
      <c r="BI119" s="90" t="str">
        <f t="shared" si="43"/>
        <v/>
      </c>
      <c r="BJ119" s="91">
        <f t="shared" si="44"/>
        <v>0</v>
      </c>
      <c r="BK119" s="92">
        <f t="shared" si="45"/>
        <v>0</v>
      </c>
      <c r="BL119" s="95"/>
    </row>
    <row r="120" spans="1:64">
      <c r="A120" s="61"/>
      <c r="B120" s="62"/>
      <c r="C120" s="63"/>
      <c r="D120" s="64"/>
      <c r="E120" s="64"/>
      <c r="F120" s="65"/>
      <c r="G120" s="66" t="str">
        <f t="shared" si="23"/>
        <v/>
      </c>
      <c r="H120" s="67" t="str">
        <f t="shared" si="24"/>
        <v/>
      </c>
      <c r="I120" s="68" t="str">
        <f t="shared" si="25"/>
        <v/>
      </c>
      <c r="J120" s="69" t="str">
        <f t="shared" si="26"/>
        <v/>
      </c>
      <c r="K120" s="70" t="str">
        <f t="shared" si="27"/>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28"/>
        <v>0</v>
      </c>
      <c r="AL120" s="74"/>
      <c r="AM120" s="74"/>
      <c r="AN120" s="81" t="str">
        <f t="shared" si="29"/>
        <v/>
      </c>
      <c r="AO120" s="82"/>
      <c r="AP120" s="75"/>
      <c r="AQ120" s="75"/>
      <c r="AR120" s="80">
        <f t="shared" si="30"/>
        <v>0</v>
      </c>
      <c r="AS120" s="74"/>
      <c r="AT120" s="75"/>
      <c r="AU120" s="75"/>
      <c r="AV120" s="75"/>
      <c r="AW120" s="80">
        <f t="shared" si="31"/>
        <v>0</v>
      </c>
      <c r="AX120" s="81" t="str">
        <f t="shared" si="32"/>
        <v/>
      </c>
      <c r="AY120" s="83" t="str">
        <f t="shared" si="33"/>
        <v/>
      </c>
      <c r="AZ120" s="80" t="str">
        <f t="shared" si="34"/>
        <v/>
      </c>
      <c r="BA120" s="84">
        <f t="shared" si="35"/>
        <v>0</v>
      </c>
      <c r="BB120" s="85" t="str">
        <f t="shared" si="36"/>
        <v/>
      </c>
      <c r="BC120" s="86" t="str">
        <f t="shared" si="37"/>
        <v/>
      </c>
      <c r="BD120" s="84">
        <f t="shared" si="38"/>
        <v>0</v>
      </c>
      <c r="BE120" s="87" t="str">
        <f t="shared" si="39"/>
        <v/>
      </c>
      <c r="BF120" s="88" t="str">
        <f t="shared" si="40"/>
        <v/>
      </c>
      <c r="BG120" s="89" t="str">
        <f t="shared" si="41"/>
        <v/>
      </c>
      <c r="BH120" s="90" t="str">
        <f t="shared" si="42"/>
        <v/>
      </c>
      <c r="BI120" s="90" t="str">
        <f t="shared" si="43"/>
        <v/>
      </c>
      <c r="BJ120" s="91">
        <f t="shared" si="44"/>
        <v>0</v>
      </c>
      <c r="BK120" s="92">
        <f t="shared" si="45"/>
        <v>0</v>
      </c>
      <c r="BL120" s="95"/>
    </row>
    <row r="121" spans="1:64">
      <c r="A121" s="61"/>
      <c r="B121" s="62"/>
      <c r="C121" s="63"/>
      <c r="D121" s="64"/>
      <c r="E121" s="64"/>
      <c r="F121" s="65"/>
      <c r="G121" s="66" t="str">
        <f t="shared" si="23"/>
        <v/>
      </c>
      <c r="H121" s="67" t="str">
        <f t="shared" si="24"/>
        <v/>
      </c>
      <c r="I121" s="68" t="str">
        <f t="shared" si="25"/>
        <v/>
      </c>
      <c r="J121" s="69" t="str">
        <f t="shared" si="26"/>
        <v/>
      </c>
      <c r="K121" s="70" t="str">
        <f t="shared" si="27"/>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28"/>
        <v>0</v>
      </c>
      <c r="AL121" s="74"/>
      <c r="AM121" s="74"/>
      <c r="AN121" s="81" t="str">
        <f t="shared" si="29"/>
        <v/>
      </c>
      <c r="AO121" s="82"/>
      <c r="AP121" s="75"/>
      <c r="AQ121" s="75"/>
      <c r="AR121" s="80">
        <f t="shared" si="30"/>
        <v>0</v>
      </c>
      <c r="AS121" s="74"/>
      <c r="AT121" s="75"/>
      <c r="AU121" s="75"/>
      <c r="AV121" s="75"/>
      <c r="AW121" s="80">
        <f t="shared" si="31"/>
        <v>0</v>
      </c>
      <c r="AX121" s="81" t="str">
        <f t="shared" si="32"/>
        <v/>
      </c>
      <c r="AY121" s="83" t="str">
        <f t="shared" si="33"/>
        <v/>
      </c>
      <c r="AZ121" s="80" t="str">
        <f t="shared" si="34"/>
        <v/>
      </c>
      <c r="BA121" s="84">
        <f t="shared" si="35"/>
        <v>0</v>
      </c>
      <c r="BB121" s="85" t="str">
        <f t="shared" si="36"/>
        <v/>
      </c>
      <c r="BC121" s="86" t="str">
        <f t="shared" si="37"/>
        <v/>
      </c>
      <c r="BD121" s="84">
        <f t="shared" si="38"/>
        <v>0</v>
      </c>
      <c r="BE121" s="87" t="str">
        <f t="shared" si="39"/>
        <v/>
      </c>
      <c r="BF121" s="88" t="str">
        <f t="shared" si="40"/>
        <v/>
      </c>
      <c r="BG121" s="89" t="str">
        <f t="shared" si="41"/>
        <v/>
      </c>
      <c r="BH121" s="90" t="str">
        <f t="shared" si="42"/>
        <v/>
      </c>
      <c r="BI121" s="90" t="str">
        <f t="shared" si="43"/>
        <v/>
      </c>
      <c r="BJ121" s="91">
        <f t="shared" si="44"/>
        <v>0</v>
      </c>
      <c r="BK121" s="92">
        <f t="shared" si="45"/>
        <v>0</v>
      </c>
      <c r="BL121" s="95"/>
    </row>
    <row r="122" spans="1:64">
      <c r="A122" s="61"/>
      <c r="B122" s="62"/>
      <c r="C122" s="63"/>
      <c r="D122" s="64"/>
      <c r="E122" s="64"/>
      <c r="F122" s="65"/>
      <c r="G122" s="66" t="str">
        <f t="shared" si="23"/>
        <v/>
      </c>
      <c r="H122" s="67" t="str">
        <f t="shared" si="24"/>
        <v/>
      </c>
      <c r="I122" s="68" t="str">
        <f t="shared" si="25"/>
        <v/>
      </c>
      <c r="J122" s="69" t="str">
        <f t="shared" si="26"/>
        <v/>
      </c>
      <c r="K122" s="70" t="str">
        <f t="shared" si="27"/>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28"/>
        <v>0</v>
      </c>
      <c r="AL122" s="74"/>
      <c r="AM122" s="74"/>
      <c r="AN122" s="81" t="str">
        <f t="shared" si="29"/>
        <v/>
      </c>
      <c r="AO122" s="82"/>
      <c r="AP122" s="75"/>
      <c r="AQ122" s="75"/>
      <c r="AR122" s="80">
        <f t="shared" si="30"/>
        <v>0</v>
      </c>
      <c r="AS122" s="74"/>
      <c r="AT122" s="75"/>
      <c r="AU122" s="75"/>
      <c r="AV122" s="75"/>
      <c r="AW122" s="80">
        <f t="shared" si="31"/>
        <v>0</v>
      </c>
      <c r="AX122" s="81" t="str">
        <f t="shared" si="32"/>
        <v/>
      </c>
      <c r="AY122" s="83" t="str">
        <f t="shared" si="33"/>
        <v/>
      </c>
      <c r="AZ122" s="80" t="str">
        <f t="shared" si="34"/>
        <v/>
      </c>
      <c r="BA122" s="84">
        <f t="shared" si="35"/>
        <v>0</v>
      </c>
      <c r="BB122" s="85" t="str">
        <f t="shared" si="36"/>
        <v/>
      </c>
      <c r="BC122" s="86" t="str">
        <f t="shared" si="37"/>
        <v/>
      </c>
      <c r="BD122" s="84">
        <f t="shared" si="38"/>
        <v>0</v>
      </c>
      <c r="BE122" s="87" t="str">
        <f t="shared" si="39"/>
        <v/>
      </c>
      <c r="BF122" s="88" t="str">
        <f t="shared" si="40"/>
        <v/>
      </c>
      <c r="BG122" s="89" t="str">
        <f t="shared" si="41"/>
        <v/>
      </c>
      <c r="BH122" s="90" t="str">
        <f t="shared" si="42"/>
        <v/>
      </c>
      <c r="BI122" s="90" t="str">
        <f t="shared" si="43"/>
        <v/>
      </c>
      <c r="BJ122" s="91">
        <f t="shared" si="44"/>
        <v>0</v>
      </c>
      <c r="BK122" s="92">
        <f t="shared" si="45"/>
        <v>0</v>
      </c>
      <c r="BL122" s="95"/>
    </row>
    <row r="123" spans="1:64">
      <c r="A123" s="61"/>
      <c r="B123" s="62"/>
      <c r="C123" s="63"/>
      <c r="D123" s="64"/>
      <c r="E123" s="64"/>
      <c r="F123" s="65"/>
      <c r="G123" s="66" t="str">
        <f t="shared" si="23"/>
        <v/>
      </c>
      <c r="H123" s="67" t="str">
        <f t="shared" si="24"/>
        <v/>
      </c>
      <c r="I123" s="68" t="str">
        <f t="shared" si="25"/>
        <v/>
      </c>
      <c r="J123" s="69" t="str">
        <f t="shared" si="26"/>
        <v/>
      </c>
      <c r="K123" s="70" t="str">
        <f t="shared" si="27"/>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28"/>
        <v>0</v>
      </c>
      <c r="AL123" s="74"/>
      <c r="AM123" s="74"/>
      <c r="AN123" s="81" t="str">
        <f t="shared" si="29"/>
        <v/>
      </c>
      <c r="AO123" s="82"/>
      <c r="AP123" s="75"/>
      <c r="AQ123" s="75"/>
      <c r="AR123" s="80">
        <f t="shared" si="30"/>
        <v>0</v>
      </c>
      <c r="AS123" s="74"/>
      <c r="AT123" s="75"/>
      <c r="AU123" s="75"/>
      <c r="AV123" s="75"/>
      <c r="AW123" s="80">
        <f t="shared" si="31"/>
        <v>0</v>
      </c>
      <c r="AX123" s="81" t="str">
        <f t="shared" si="32"/>
        <v/>
      </c>
      <c r="AY123" s="83" t="str">
        <f t="shared" si="33"/>
        <v/>
      </c>
      <c r="AZ123" s="80" t="str">
        <f t="shared" si="34"/>
        <v/>
      </c>
      <c r="BA123" s="84">
        <f t="shared" si="35"/>
        <v>0</v>
      </c>
      <c r="BB123" s="85" t="str">
        <f t="shared" si="36"/>
        <v/>
      </c>
      <c r="BC123" s="86" t="str">
        <f t="shared" si="37"/>
        <v/>
      </c>
      <c r="BD123" s="84">
        <f t="shared" si="38"/>
        <v>0</v>
      </c>
      <c r="BE123" s="87" t="str">
        <f t="shared" si="39"/>
        <v/>
      </c>
      <c r="BF123" s="88" t="str">
        <f t="shared" si="40"/>
        <v/>
      </c>
      <c r="BG123" s="89" t="str">
        <f t="shared" si="41"/>
        <v/>
      </c>
      <c r="BH123" s="90" t="str">
        <f t="shared" si="42"/>
        <v/>
      </c>
      <c r="BI123" s="90" t="str">
        <f t="shared" si="43"/>
        <v/>
      </c>
      <c r="BJ123" s="91">
        <f t="shared" si="44"/>
        <v>0</v>
      </c>
      <c r="BK123" s="92">
        <f t="shared" si="45"/>
        <v>0</v>
      </c>
      <c r="BL123" s="95"/>
    </row>
    <row r="124" spans="1:64">
      <c r="A124" s="61"/>
      <c r="B124" s="62"/>
      <c r="C124" s="63"/>
      <c r="D124" s="64"/>
      <c r="E124" s="64"/>
      <c r="F124" s="65"/>
      <c r="G124" s="66" t="str">
        <f t="shared" si="23"/>
        <v/>
      </c>
      <c r="H124" s="67" t="str">
        <f t="shared" si="24"/>
        <v/>
      </c>
      <c r="I124" s="68" t="str">
        <f t="shared" si="25"/>
        <v/>
      </c>
      <c r="J124" s="69" t="str">
        <f t="shared" si="26"/>
        <v/>
      </c>
      <c r="K124" s="70" t="str">
        <f t="shared" si="27"/>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28"/>
        <v>0</v>
      </c>
      <c r="AL124" s="74"/>
      <c r="AM124" s="74"/>
      <c r="AN124" s="81" t="str">
        <f t="shared" si="29"/>
        <v/>
      </c>
      <c r="AO124" s="82"/>
      <c r="AP124" s="75"/>
      <c r="AQ124" s="75"/>
      <c r="AR124" s="80">
        <f t="shared" si="30"/>
        <v>0</v>
      </c>
      <c r="AS124" s="74"/>
      <c r="AT124" s="75"/>
      <c r="AU124" s="75"/>
      <c r="AV124" s="75"/>
      <c r="AW124" s="80">
        <f t="shared" si="31"/>
        <v>0</v>
      </c>
      <c r="AX124" s="81" t="str">
        <f t="shared" si="32"/>
        <v/>
      </c>
      <c r="AY124" s="83" t="str">
        <f t="shared" si="33"/>
        <v/>
      </c>
      <c r="AZ124" s="80" t="str">
        <f t="shared" si="34"/>
        <v/>
      </c>
      <c r="BA124" s="84">
        <f t="shared" si="35"/>
        <v>0</v>
      </c>
      <c r="BB124" s="85" t="str">
        <f t="shared" si="36"/>
        <v/>
      </c>
      <c r="BC124" s="86" t="str">
        <f t="shared" si="37"/>
        <v/>
      </c>
      <c r="BD124" s="84">
        <f t="shared" si="38"/>
        <v>0</v>
      </c>
      <c r="BE124" s="87" t="str">
        <f t="shared" si="39"/>
        <v/>
      </c>
      <c r="BF124" s="88" t="str">
        <f t="shared" si="40"/>
        <v/>
      </c>
      <c r="BG124" s="89" t="str">
        <f t="shared" si="41"/>
        <v/>
      </c>
      <c r="BH124" s="90" t="str">
        <f t="shared" si="42"/>
        <v/>
      </c>
      <c r="BI124" s="90" t="str">
        <f t="shared" si="43"/>
        <v/>
      </c>
      <c r="BJ124" s="91">
        <f t="shared" si="44"/>
        <v>0</v>
      </c>
      <c r="BK124" s="92">
        <f t="shared" si="45"/>
        <v>0</v>
      </c>
      <c r="BL124" s="95"/>
    </row>
    <row r="125" spans="1:64">
      <c r="A125" s="61"/>
      <c r="B125" s="62"/>
      <c r="C125" s="63"/>
      <c r="D125" s="64"/>
      <c r="E125" s="64"/>
      <c r="F125" s="65"/>
      <c r="G125" s="66" t="str">
        <f t="shared" si="23"/>
        <v/>
      </c>
      <c r="H125" s="67" t="str">
        <f t="shared" si="24"/>
        <v/>
      </c>
      <c r="I125" s="68" t="str">
        <f t="shared" si="25"/>
        <v/>
      </c>
      <c r="J125" s="69" t="str">
        <f t="shared" si="26"/>
        <v/>
      </c>
      <c r="K125" s="70" t="str">
        <f t="shared" si="27"/>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28"/>
        <v>0</v>
      </c>
      <c r="AL125" s="74"/>
      <c r="AM125" s="74"/>
      <c r="AN125" s="81" t="str">
        <f t="shared" si="29"/>
        <v/>
      </c>
      <c r="AO125" s="82"/>
      <c r="AP125" s="75"/>
      <c r="AQ125" s="75"/>
      <c r="AR125" s="80">
        <f t="shared" si="30"/>
        <v>0</v>
      </c>
      <c r="AS125" s="74"/>
      <c r="AT125" s="75"/>
      <c r="AU125" s="75"/>
      <c r="AV125" s="75"/>
      <c r="AW125" s="80">
        <f t="shared" si="31"/>
        <v>0</v>
      </c>
      <c r="AX125" s="81" t="str">
        <f t="shared" si="32"/>
        <v/>
      </c>
      <c r="AY125" s="83" t="str">
        <f t="shared" si="33"/>
        <v/>
      </c>
      <c r="AZ125" s="80" t="str">
        <f t="shared" si="34"/>
        <v/>
      </c>
      <c r="BA125" s="84">
        <f t="shared" si="35"/>
        <v>0</v>
      </c>
      <c r="BB125" s="85" t="str">
        <f t="shared" si="36"/>
        <v/>
      </c>
      <c r="BC125" s="86" t="str">
        <f t="shared" si="37"/>
        <v/>
      </c>
      <c r="BD125" s="84">
        <f t="shared" si="38"/>
        <v>0</v>
      </c>
      <c r="BE125" s="87" t="str">
        <f t="shared" si="39"/>
        <v/>
      </c>
      <c r="BF125" s="88" t="str">
        <f t="shared" si="40"/>
        <v/>
      </c>
      <c r="BG125" s="89" t="str">
        <f t="shared" si="41"/>
        <v/>
      </c>
      <c r="BH125" s="90" t="str">
        <f t="shared" si="42"/>
        <v/>
      </c>
      <c r="BI125" s="90" t="str">
        <f t="shared" si="43"/>
        <v/>
      </c>
      <c r="BJ125" s="91">
        <f t="shared" si="44"/>
        <v>0</v>
      </c>
      <c r="BK125" s="92">
        <f t="shared" si="45"/>
        <v>0</v>
      </c>
      <c r="BL125" s="95"/>
    </row>
    <row r="126" spans="1:64">
      <c r="A126" s="61"/>
      <c r="B126" s="62"/>
      <c r="C126" s="63"/>
      <c r="D126" s="64"/>
      <c r="E126" s="64"/>
      <c r="F126" s="65"/>
      <c r="G126" s="66" t="str">
        <f t="shared" si="23"/>
        <v/>
      </c>
      <c r="H126" s="67" t="str">
        <f t="shared" si="24"/>
        <v/>
      </c>
      <c r="I126" s="68" t="str">
        <f t="shared" si="25"/>
        <v/>
      </c>
      <c r="J126" s="69" t="str">
        <f t="shared" si="26"/>
        <v/>
      </c>
      <c r="K126" s="70" t="str">
        <f t="shared" si="27"/>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28"/>
        <v>0</v>
      </c>
      <c r="AL126" s="74"/>
      <c r="AM126" s="74"/>
      <c r="AN126" s="81" t="str">
        <f t="shared" si="29"/>
        <v/>
      </c>
      <c r="AO126" s="82"/>
      <c r="AP126" s="75"/>
      <c r="AQ126" s="75"/>
      <c r="AR126" s="80">
        <f t="shared" si="30"/>
        <v>0</v>
      </c>
      <c r="AS126" s="74"/>
      <c r="AT126" s="75"/>
      <c r="AU126" s="75"/>
      <c r="AV126" s="75"/>
      <c r="AW126" s="80">
        <f t="shared" si="31"/>
        <v>0</v>
      </c>
      <c r="AX126" s="81" t="str">
        <f t="shared" si="32"/>
        <v/>
      </c>
      <c r="AY126" s="83" t="str">
        <f t="shared" si="33"/>
        <v/>
      </c>
      <c r="AZ126" s="80" t="str">
        <f t="shared" si="34"/>
        <v/>
      </c>
      <c r="BA126" s="84">
        <f t="shared" si="35"/>
        <v>0</v>
      </c>
      <c r="BB126" s="85" t="str">
        <f t="shared" si="36"/>
        <v/>
      </c>
      <c r="BC126" s="86" t="str">
        <f t="shared" si="37"/>
        <v/>
      </c>
      <c r="BD126" s="84">
        <f t="shared" si="38"/>
        <v>0</v>
      </c>
      <c r="BE126" s="87" t="str">
        <f t="shared" si="39"/>
        <v/>
      </c>
      <c r="BF126" s="88" t="str">
        <f t="shared" si="40"/>
        <v/>
      </c>
      <c r="BG126" s="89" t="str">
        <f t="shared" si="41"/>
        <v/>
      </c>
      <c r="BH126" s="90" t="str">
        <f t="shared" si="42"/>
        <v/>
      </c>
      <c r="BI126" s="90" t="str">
        <f t="shared" si="43"/>
        <v/>
      </c>
      <c r="BJ126" s="91">
        <f t="shared" si="44"/>
        <v>0</v>
      </c>
      <c r="BK126" s="92">
        <f t="shared" si="45"/>
        <v>0</v>
      </c>
      <c r="BL126" s="95"/>
    </row>
    <row r="127" spans="1:64">
      <c r="A127" s="61"/>
      <c r="B127" s="62"/>
      <c r="C127" s="63"/>
      <c r="D127" s="64"/>
      <c r="E127" s="64"/>
      <c r="F127" s="65"/>
      <c r="G127" s="66" t="str">
        <f t="shared" si="23"/>
        <v/>
      </c>
      <c r="H127" s="67" t="str">
        <f t="shared" si="24"/>
        <v/>
      </c>
      <c r="I127" s="68" t="str">
        <f t="shared" si="25"/>
        <v/>
      </c>
      <c r="J127" s="69" t="str">
        <f t="shared" si="26"/>
        <v/>
      </c>
      <c r="K127" s="70" t="str">
        <f t="shared" si="27"/>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28"/>
        <v>0</v>
      </c>
      <c r="AL127" s="74"/>
      <c r="AM127" s="74"/>
      <c r="AN127" s="81" t="str">
        <f t="shared" si="29"/>
        <v/>
      </c>
      <c r="AO127" s="82"/>
      <c r="AP127" s="75"/>
      <c r="AQ127" s="75"/>
      <c r="AR127" s="80">
        <f t="shared" si="30"/>
        <v>0</v>
      </c>
      <c r="AS127" s="74"/>
      <c r="AT127" s="75"/>
      <c r="AU127" s="75"/>
      <c r="AV127" s="75"/>
      <c r="AW127" s="80">
        <f t="shared" si="31"/>
        <v>0</v>
      </c>
      <c r="AX127" s="81" t="str">
        <f t="shared" si="32"/>
        <v/>
      </c>
      <c r="AY127" s="83" t="str">
        <f t="shared" si="33"/>
        <v/>
      </c>
      <c r="AZ127" s="80" t="str">
        <f t="shared" si="34"/>
        <v/>
      </c>
      <c r="BA127" s="84">
        <f t="shared" si="35"/>
        <v>0</v>
      </c>
      <c r="BB127" s="85" t="str">
        <f t="shared" si="36"/>
        <v/>
      </c>
      <c r="BC127" s="86" t="str">
        <f t="shared" si="37"/>
        <v/>
      </c>
      <c r="BD127" s="84">
        <f t="shared" si="38"/>
        <v>0</v>
      </c>
      <c r="BE127" s="87" t="str">
        <f t="shared" si="39"/>
        <v/>
      </c>
      <c r="BF127" s="88" t="str">
        <f t="shared" si="40"/>
        <v/>
      </c>
      <c r="BG127" s="89" t="str">
        <f t="shared" si="41"/>
        <v/>
      </c>
      <c r="BH127" s="90" t="str">
        <f t="shared" si="42"/>
        <v/>
      </c>
      <c r="BI127" s="90" t="str">
        <f t="shared" si="43"/>
        <v/>
      </c>
      <c r="BJ127" s="91">
        <f t="shared" si="44"/>
        <v>0</v>
      </c>
      <c r="BK127" s="92">
        <f t="shared" si="45"/>
        <v>0</v>
      </c>
      <c r="BL127" s="95"/>
    </row>
    <row r="128" spans="1:64">
      <c r="A128" s="61"/>
      <c r="B128" s="62"/>
      <c r="C128" s="63"/>
      <c r="D128" s="64"/>
      <c r="E128" s="64"/>
      <c r="F128" s="65"/>
      <c r="G128" s="66" t="str">
        <f t="shared" si="23"/>
        <v/>
      </c>
      <c r="H128" s="67" t="str">
        <f t="shared" si="24"/>
        <v/>
      </c>
      <c r="I128" s="68" t="str">
        <f t="shared" si="25"/>
        <v/>
      </c>
      <c r="J128" s="69" t="str">
        <f t="shared" si="26"/>
        <v/>
      </c>
      <c r="K128" s="70" t="str">
        <f t="shared" si="27"/>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28"/>
        <v>0</v>
      </c>
      <c r="AL128" s="74"/>
      <c r="AM128" s="74"/>
      <c r="AN128" s="81" t="str">
        <f t="shared" si="29"/>
        <v/>
      </c>
      <c r="AO128" s="82"/>
      <c r="AP128" s="75"/>
      <c r="AQ128" s="75"/>
      <c r="AR128" s="80">
        <f t="shared" si="30"/>
        <v>0</v>
      </c>
      <c r="AS128" s="74"/>
      <c r="AT128" s="75"/>
      <c r="AU128" s="75"/>
      <c r="AV128" s="75"/>
      <c r="AW128" s="80">
        <f t="shared" si="31"/>
        <v>0</v>
      </c>
      <c r="AX128" s="81" t="str">
        <f t="shared" si="32"/>
        <v/>
      </c>
      <c r="AY128" s="83" t="str">
        <f t="shared" si="33"/>
        <v/>
      </c>
      <c r="AZ128" s="80" t="str">
        <f t="shared" si="34"/>
        <v/>
      </c>
      <c r="BA128" s="84">
        <f t="shared" si="35"/>
        <v>0</v>
      </c>
      <c r="BB128" s="85" t="str">
        <f t="shared" si="36"/>
        <v/>
      </c>
      <c r="BC128" s="86" t="str">
        <f t="shared" si="37"/>
        <v/>
      </c>
      <c r="BD128" s="84">
        <f t="shared" si="38"/>
        <v>0</v>
      </c>
      <c r="BE128" s="87" t="str">
        <f t="shared" si="39"/>
        <v/>
      </c>
      <c r="BF128" s="88" t="str">
        <f t="shared" si="40"/>
        <v/>
      </c>
      <c r="BG128" s="89" t="str">
        <f t="shared" si="41"/>
        <v/>
      </c>
      <c r="BH128" s="90" t="str">
        <f t="shared" si="42"/>
        <v/>
      </c>
      <c r="BI128" s="90" t="str">
        <f t="shared" si="43"/>
        <v/>
      </c>
      <c r="BJ128" s="91">
        <f t="shared" si="44"/>
        <v>0</v>
      </c>
      <c r="BK128" s="92">
        <f t="shared" si="45"/>
        <v>0</v>
      </c>
      <c r="BL128" s="95"/>
    </row>
    <row r="129" spans="1:64">
      <c r="A129" s="61"/>
      <c r="B129" s="62"/>
      <c r="C129" s="63"/>
      <c r="D129" s="64"/>
      <c r="E129" s="64"/>
      <c r="F129" s="65"/>
      <c r="G129" s="66" t="str">
        <f t="shared" si="23"/>
        <v/>
      </c>
      <c r="H129" s="67" t="str">
        <f t="shared" si="24"/>
        <v/>
      </c>
      <c r="I129" s="68" t="str">
        <f t="shared" si="25"/>
        <v/>
      </c>
      <c r="J129" s="69" t="str">
        <f t="shared" si="26"/>
        <v/>
      </c>
      <c r="K129" s="70" t="str">
        <f t="shared" si="27"/>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28"/>
        <v>0</v>
      </c>
      <c r="AL129" s="74"/>
      <c r="AM129" s="74"/>
      <c r="AN129" s="81" t="str">
        <f t="shared" si="29"/>
        <v/>
      </c>
      <c r="AO129" s="82"/>
      <c r="AP129" s="75"/>
      <c r="AQ129" s="75"/>
      <c r="AR129" s="80">
        <f t="shared" si="30"/>
        <v>0</v>
      </c>
      <c r="AS129" s="74"/>
      <c r="AT129" s="75"/>
      <c r="AU129" s="75"/>
      <c r="AV129" s="75"/>
      <c r="AW129" s="80">
        <f t="shared" si="31"/>
        <v>0</v>
      </c>
      <c r="AX129" s="81" t="str">
        <f t="shared" si="32"/>
        <v/>
      </c>
      <c r="AY129" s="83" t="str">
        <f t="shared" si="33"/>
        <v/>
      </c>
      <c r="AZ129" s="80" t="str">
        <f t="shared" si="34"/>
        <v/>
      </c>
      <c r="BA129" s="84">
        <f t="shared" si="35"/>
        <v>0</v>
      </c>
      <c r="BB129" s="85" t="str">
        <f t="shared" si="36"/>
        <v/>
      </c>
      <c r="BC129" s="86" t="str">
        <f t="shared" si="37"/>
        <v/>
      </c>
      <c r="BD129" s="84">
        <f t="shared" si="38"/>
        <v>0</v>
      </c>
      <c r="BE129" s="87" t="str">
        <f t="shared" si="39"/>
        <v/>
      </c>
      <c r="BF129" s="88" t="str">
        <f t="shared" si="40"/>
        <v/>
      </c>
      <c r="BG129" s="89" t="str">
        <f t="shared" si="41"/>
        <v/>
      </c>
      <c r="BH129" s="90" t="str">
        <f t="shared" si="42"/>
        <v/>
      </c>
      <c r="BI129" s="90" t="str">
        <f t="shared" si="43"/>
        <v/>
      </c>
      <c r="BJ129" s="91">
        <f t="shared" si="44"/>
        <v>0</v>
      </c>
      <c r="BK129" s="92">
        <f t="shared" si="45"/>
        <v>0</v>
      </c>
      <c r="BL129" s="95"/>
    </row>
    <row r="130" spans="1:64">
      <c r="A130" s="61"/>
      <c r="B130" s="62"/>
      <c r="C130" s="63"/>
      <c r="D130" s="64"/>
      <c r="E130" s="64"/>
      <c r="F130" s="65"/>
      <c r="G130" s="66" t="str">
        <f t="shared" si="23"/>
        <v/>
      </c>
      <c r="H130" s="67" t="str">
        <f t="shared" si="24"/>
        <v/>
      </c>
      <c r="I130" s="68" t="str">
        <f t="shared" si="25"/>
        <v/>
      </c>
      <c r="J130" s="69" t="str">
        <f t="shared" si="26"/>
        <v/>
      </c>
      <c r="K130" s="70" t="str">
        <f t="shared" si="27"/>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28"/>
        <v>0</v>
      </c>
      <c r="AL130" s="74"/>
      <c r="AM130" s="74"/>
      <c r="AN130" s="81" t="str">
        <f t="shared" si="29"/>
        <v/>
      </c>
      <c r="AO130" s="82"/>
      <c r="AP130" s="75"/>
      <c r="AQ130" s="75"/>
      <c r="AR130" s="80">
        <f t="shared" si="30"/>
        <v>0</v>
      </c>
      <c r="AS130" s="74"/>
      <c r="AT130" s="75"/>
      <c r="AU130" s="75"/>
      <c r="AV130" s="75"/>
      <c r="AW130" s="80">
        <f t="shared" si="31"/>
        <v>0</v>
      </c>
      <c r="AX130" s="81" t="str">
        <f t="shared" si="32"/>
        <v/>
      </c>
      <c r="AY130" s="83" t="str">
        <f t="shared" si="33"/>
        <v/>
      </c>
      <c r="AZ130" s="80" t="str">
        <f t="shared" si="34"/>
        <v/>
      </c>
      <c r="BA130" s="84">
        <f t="shared" si="35"/>
        <v>0</v>
      </c>
      <c r="BB130" s="85" t="str">
        <f t="shared" si="36"/>
        <v/>
      </c>
      <c r="BC130" s="86" t="str">
        <f t="shared" si="37"/>
        <v/>
      </c>
      <c r="BD130" s="84">
        <f t="shared" si="38"/>
        <v>0</v>
      </c>
      <c r="BE130" s="87" t="str">
        <f t="shared" si="39"/>
        <v/>
      </c>
      <c r="BF130" s="88" t="str">
        <f t="shared" si="40"/>
        <v/>
      </c>
      <c r="BG130" s="89" t="str">
        <f t="shared" si="41"/>
        <v/>
      </c>
      <c r="BH130" s="90" t="str">
        <f t="shared" si="42"/>
        <v/>
      </c>
      <c r="BI130" s="90" t="str">
        <f t="shared" si="43"/>
        <v/>
      </c>
      <c r="BJ130" s="91">
        <f t="shared" si="44"/>
        <v>0</v>
      </c>
      <c r="BK130" s="92">
        <f t="shared" si="45"/>
        <v>0</v>
      </c>
      <c r="BL130" s="95"/>
    </row>
    <row r="131" spans="1:64">
      <c r="A131" s="61"/>
      <c r="B131" s="62"/>
      <c r="C131" s="63"/>
      <c r="D131" s="64"/>
      <c r="E131" s="64"/>
      <c r="F131" s="65"/>
      <c r="G131" s="66" t="str">
        <f t="shared" si="23"/>
        <v/>
      </c>
      <c r="H131" s="67" t="str">
        <f t="shared" si="24"/>
        <v/>
      </c>
      <c r="I131" s="68" t="str">
        <f t="shared" si="25"/>
        <v/>
      </c>
      <c r="J131" s="69" t="str">
        <f t="shared" si="26"/>
        <v/>
      </c>
      <c r="K131" s="70" t="str">
        <f t="shared" si="27"/>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28"/>
        <v>0</v>
      </c>
      <c r="AL131" s="74"/>
      <c r="AM131" s="74"/>
      <c r="AN131" s="81" t="str">
        <f t="shared" si="29"/>
        <v/>
      </c>
      <c r="AO131" s="82"/>
      <c r="AP131" s="75"/>
      <c r="AQ131" s="75"/>
      <c r="AR131" s="80">
        <f t="shared" si="30"/>
        <v>0</v>
      </c>
      <c r="AS131" s="74"/>
      <c r="AT131" s="75"/>
      <c r="AU131" s="75"/>
      <c r="AV131" s="75"/>
      <c r="AW131" s="80">
        <f t="shared" si="31"/>
        <v>0</v>
      </c>
      <c r="AX131" s="81" t="str">
        <f t="shared" si="32"/>
        <v/>
      </c>
      <c r="AY131" s="83" t="str">
        <f t="shared" si="33"/>
        <v/>
      </c>
      <c r="AZ131" s="80" t="str">
        <f t="shared" si="34"/>
        <v/>
      </c>
      <c r="BA131" s="84">
        <f t="shared" si="35"/>
        <v>0</v>
      </c>
      <c r="BB131" s="85" t="str">
        <f t="shared" si="36"/>
        <v/>
      </c>
      <c r="BC131" s="86" t="str">
        <f t="shared" si="37"/>
        <v/>
      </c>
      <c r="BD131" s="84">
        <f t="shared" si="38"/>
        <v>0</v>
      </c>
      <c r="BE131" s="87" t="str">
        <f t="shared" si="39"/>
        <v/>
      </c>
      <c r="BF131" s="88" t="str">
        <f t="shared" si="40"/>
        <v/>
      </c>
      <c r="BG131" s="89" t="str">
        <f t="shared" si="41"/>
        <v/>
      </c>
      <c r="BH131" s="90" t="str">
        <f t="shared" si="42"/>
        <v/>
      </c>
      <c r="BI131" s="90" t="str">
        <f t="shared" si="43"/>
        <v/>
      </c>
      <c r="BJ131" s="91">
        <f t="shared" si="44"/>
        <v>0</v>
      </c>
      <c r="BK131" s="92">
        <f t="shared" si="45"/>
        <v>0</v>
      </c>
      <c r="BL131" s="95"/>
    </row>
    <row r="132" spans="1:64">
      <c r="A132" s="61"/>
      <c r="B132" s="62"/>
      <c r="C132" s="63"/>
      <c r="D132" s="64"/>
      <c r="E132" s="64"/>
      <c r="F132" s="65"/>
      <c r="G132" s="66" t="str">
        <f t="shared" si="23"/>
        <v/>
      </c>
      <c r="H132" s="67" t="str">
        <f t="shared" si="24"/>
        <v/>
      </c>
      <c r="I132" s="68" t="str">
        <f t="shared" si="25"/>
        <v/>
      </c>
      <c r="J132" s="69" t="str">
        <f t="shared" si="26"/>
        <v/>
      </c>
      <c r="K132" s="70" t="str">
        <f t="shared" si="27"/>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28"/>
        <v>0</v>
      </c>
      <c r="AL132" s="74"/>
      <c r="AM132" s="74"/>
      <c r="AN132" s="81" t="str">
        <f t="shared" si="29"/>
        <v/>
      </c>
      <c r="AO132" s="82"/>
      <c r="AP132" s="75"/>
      <c r="AQ132" s="75"/>
      <c r="AR132" s="80">
        <f t="shared" si="30"/>
        <v>0</v>
      </c>
      <c r="AS132" s="74"/>
      <c r="AT132" s="75"/>
      <c r="AU132" s="75"/>
      <c r="AV132" s="75"/>
      <c r="AW132" s="80">
        <f t="shared" si="31"/>
        <v>0</v>
      </c>
      <c r="AX132" s="81" t="str">
        <f t="shared" si="32"/>
        <v/>
      </c>
      <c r="AY132" s="83" t="str">
        <f t="shared" si="33"/>
        <v/>
      </c>
      <c r="AZ132" s="80" t="str">
        <f t="shared" si="34"/>
        <v/>
      </c>
      <c r="BA132" s="84">
        <f t="shared" si="35"/>
        <v>0</v>
      </c>
      <c r="BB132" s="85" t="str">
        <f t="shared" si="36"/>
        <v/>
      </c>
      <c r="BC132" s="86" t="str">
        <f t="shared" si="37"/>
        <v/>
      </c>
      <c r="BD132" s="84">
        <f t="shared" si="38"/>
        <v>0</v>
      </c>
      <c r="BE132" s="87" t="str">
        <f t="shared" si="39"/>
        <v/>
      </c>
      <c r="BF132" s="88" t="str">
        <f t="shared" si="40"/>
        <v/>
      </c>
      <c r="BG132" s="89" t="str">
        <f t="shared" si="41"/>
        <v/>
      </c>
      <c r="BH132" s="90" t="str">
        <f t="shared" si="42"/>
        <v/>
      </c>
      <c r="BI132" s="90" t="str">
        <f t="shared" si="43"/>
        <v/>
      </c>
      <c r="BJ132" s="91">
        <f t="shared" si="44"/>
        <v>0</v>
      </c>
      <c r="BK132" s="92">
        <f t="shared" si="45"/>
        <v>0</v>
      </c>
      <c r="BL132" s="95"/>
    </row>
    <row r="133" spans="1:64">
      <c r="A133" s="61"/>
      <c r="B133" s="62"/>
      <c r="C133" s="63"/>
      <c r="D133" s="64"/>
      <c r="E133" s="64"/>
      <c r="F133" s="65"/>
      <c r="G133" s="66" t="str">
        <f t="shared" ref="G133:G196" si="46">IF(E133="","",IF(E133="","",IF((E133-D133+1)&gt;360,"Most Recently 12 Months","Year To Date")))</f>
        <v/>
      </c>
      <c r="H133" s="67" t="str">
        <f t="shared" ref="H133:H196" si="47">IF(E133="","",ROUND((E133-D133+1)/(((365*3+366)/4)/12),0))</f>
        <v/>
      </c>
      <c r="I133" s="68" t="str">
        <f t="shared" ref="I133:I196" si="48">IF(E133="","",YEAR(E133))</f>
        <v/>
      </c>
      <c r="J133" s="69" t="str">
        <f t="shared" ref="J133:J196" si="49">IF(E133="","",CEILING(K133/3,1))</f>
        <v/>
      </c>
      <c r="K133" s="70" t="str">
        <f t="shared" ref="K133:K196" si="50">IF(E133="","",MONTH(E133))</f>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ref="AK133:AK196" si="51">SUM(AH133:AJ133)</f>
        <v>0</v>
      </c>
      <c r="AL133" s="74"/>
      <c r="AM133" s="74"/>
      <c r="AN133" s="81" t="str">
        <f t="shared" ref="AN133:AN196" si="52">IFERROR(AM133/AL133,"")</f>
        <v/>
      </c>
      <c r="AO133" s="82"/>
      <c r="AP133" s="75"/>
      <c r="AQ133" s="75"/>
      <c r="AR133" s="80">
        <f t="shared" ref="AR133:AR196" si="53">SUM(AP133:AQ133)</f>
        <v>0</v>
      </c>
      <c r="AS133" s="74"/>
      <c r="AT133" s="75"/>
      <c r="AU133" s="75"/>
      <c r="AV133" s="75"/>
      <c r="AW133" s="80">
        <f t="shared" ref="AW133:AW196" si="54">SUM(AS133:AV133)</f>
        <v>0</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0</v>
      </c>
      <c r="BB133" s="85" t="str">
        <f t="shared" ref="BB133:BB196" si="59">IFERROR(BA133/AU133,"")</f>
        <v/>
      </c>
      <c r="BC133" s="86" t="str">
        <f t="shared" ref="BC133:BC196" si="60">IFERROR(BA133/AF133,"")</f>
        <v/>
      </c>
      <c r="BD133" s="84">
        <f t="shared" ref="BD133:BD196" si="61">AF133-SUM(AK133,AR133:AT133)</f>
        <v>0</v>
      </c>
      <c r="BE133" s="87" t="str">
        <f t="shared" ref="BE133:BE196" si="62">IFERROR(BD133/SUM(AU133:AV133),"")</f>
        <v/>
      </c>
      <c r="BF133" s="88" t="str">
        <f t="shared" ref="BF133:BF196" si="63">IFERROR(BD133/AF133,"")</f>
        <v/>
      </c>
      <c r="BG133" s="89" t="str">
        <f t="shared" ref="BG133:BG196" si="64">IFERROR(AR133/AF133,"")</f>
        <v/>
      </c>
      <c r="BH133" s="90" t="str">
        <f t="shared" ref="BH133:BH196" si="65">IFERROR(AK133/AF133,"")</f>
        <v/>
      </c>
      <c r="BI133" s="90" t="str">
        <f t="shared" ref="BI133:BI196" si="66">IFERROR(AW133/AF133,"")</f>
        <v/>
      </c>
      <c r="BJ133" s="91">
        <f t="shared" ref="BJ133:BJ196" si="67">SUM(BG133:BI133)</f>
        <v>0</v>
      </c>
      <c r="BK133" s="92">
        <f t="shared" ref="BK133:BK196" si="68">AF133-SUM(AK133,AR133,AW133)</f>
        <v>0</v>
      </c>
      <c r="BL133" s="95"/>
    </row>
    <row r="134" spans="1:64">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c r="A136" s="61"/>
      <c r="B136" s="62"/>
      <c r="C136" s="63"/>
      <c r="D136" s="64"/>
      <c r="E136" s="64"/>
      <c r="F136" s="65"/>
      <c r="G136" s="66" t="str">
        <f t="shared" si="46"/>
        <v/>
      </c>
      <c r="H136" s="67" t="str">
        <f t="shared" si="47"/>
        <v/>
      </c>
      <c r="I136" s="68" t="str">
        <f t="shared" si="48"/>
        <v/>
      </c>
      <c r="J136" s="69" t="str">
        <f t="shared" si="49"/>
        <v/>
      </c>
      <c r="K136" s="70" t="str">
        <f t="shared" si="50"/>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si="51"/>
        <v>0</v>
      </c>
      <c r="AL136" s="74"/>
      <c r="AM136" s="74"/>
      <c r="AN136" s="81" t="str">
        <f t="shared" si="52"/>
        <v/>
      </c>
      <c r="AO136" s="82"/>
      <c r="AP136" s="75"/>
      <c r="AQ136" s="75"/>
      <c r="AR136" s="80">
        <f t="shared" si="53"/>
        <v>0</v>
      </c>
      <c r="AS136" s="74"/>
      <c r="AT136" s="75"/>
      <c r="AU136" s="75"/>
      <c r="AV136" s="75"/>
      <c r="AW136" s="80">
        <f t="shared" si="54"/>
        <v>0</v>
      </c>
      <c r="AX136" s="81" t="str">
        <f t="shared" si="55"/>
        <v/>
      </c>
      <c r="AY136" s="83" t="str">
        <f t="shared" si="56"/>
        <v/>
      </c>
      <c r="AZ136" s="80" t="str">
        <f t="shared" si="57"/>
        <v/>
      </c>
      <c r="BA136" s="84">
        <f t="shared" si="58"/>
        <v>0</v>
      </c>
      <c r="BB136" s="85" t="str">
        <f t="shared" si="59"/>
        <v/>
      </c>
      <c r="BC136" s="86" t="str">
        <f t="shared" si="60"/>
        <v/>
      </c>
      <c r="BD136" s="84">
        <f t="shared" si="61"/>
        <v>0</v>
      </c>
      <c r="BE136" s="87" t="str">
        <f t="shared" si="62"/>
        <v/>
      </c>
      <c r="BF136" s="88" t="str">
        <f t="shared" si="63"/>
        <v/>
      </c>
      <c r="BG136" s="89" t="str">
        <f t="shared" si="64"/>
        <v/>
      </c>
      <c r="BH136" s="90" t="str">
        <f t="shared" si="65"/>
        <v/>
      </c>
      <c r="BI136" s="90" t="str">
        <f t="shared" si="66"/>
        <v/>
      </c>
      <c r="BJ136" s="91">
        <f t="shared" si="67"/>
        <v>0</v>
      </c>
      <c r="BK136" s="92">
        <f t="shared" si="68"/>
        <v>0</v>
      </c>
      <c r="BL136" s="95"/>
    </row>
    <row r="137" spans="1:64">
      <c r="A137" s="61"/>
      <c r="B137" s="62"/>
      <c r="C137" s="63"/>
      <c r="D137" s="64"/>
      <c r="E137" s="64"/>
      <c r="F137" s="65"/>
      <c r="G137" s="66" t="str">
        <f t="shared" si="46"/>
        <v/>
      </c>
      <c r="H137" s="67" t="str">
        <f t="shared" si="47"/>
        <v/>
      </c>
      <c r="I137" s="68" t="str">
        <f t="shared" si="48"/>
        <v/>
      </c>
      <c r="J137" s="69" t="str">
        <f t="shared" si="49"/>
        <v/>
      </c>
      <c r="K137" s="70" t="str">
        <f t="shared" si="50"/>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51"/>
        <v>0</v>
      </c>
      <c r="AL137" s="74"/>
      <c r="AM137" s="74"/>
      <c r="AN137" s="81" t="str">
        <f t="shared" si="52"/>
        <v/>
      </c>
      <c r="AO137" s="82"/>
      <c r="AP137" s="75"/>
      <c r="AQ137" s="75"/>
      <c r="AR137" s="80">
        <f t="shared" si="53"/>
        <v>0</v>
      </c>
      <c r="AS137" s="74"/>
      <c r="AT137" s="75"/>
      <c r="AU137" s="75"/>
      <c r="AV137" s="75"/>
      <c r="AW137" s="80">
        <f t="shared" si="54"/>
        <v>0</v>
      </c>
      <c r="AX137" s="81" t="str">
        <f t="shared" si="55"/>
        <v/>
      </c>
      <c r="AY137" s="83" t="str">
        <f t="shared" si="56"/>
        <v/>
      </c>
      <c r="AZ137" s="80" t="str">
        <f t="shared" si="57"/>
        <v/>
      </c>
      <c r="BA137" s="84">
        <f t="shared" si="58"/>
        <v>0</v>
      </c>
      <c r="BB137" s="85" t="str">
        <f t="shared" si="59"/>
        <v/>
      </c>
      <c r="BC137" s="86" t="str">
        <f t="shared" si="60"/>
        <v/>
      </c>
      <c r="BD137" s="84">
        <f t="shared" si="61"/>
        <v>0</v>
      </c>
      <c r="BE137" s="87" t="str">
        <f t="shared" si="62"/>
        <v/>
      </c>
      <c r="BF137" s="88" t="str">
        <f t="shared" si="63"/>
        <v/>
      </c>
      <c r="BG137" s="89" t="str">
        <f t="shared" si="64"/>
        <v/>
      </c>
      <c r="BH137" s="90" t="str">
        <f t="shared" si="65"/>
        <v/>
      </c>
      <c r="BI137" s="90" t="str">
        <f t="shared" si="66"/>
        <v/>
      </c>
      <c r="BJ137" s="91">
        <f t="shared" si="67"/>
        <v>0</v>
      </c>
      <c r="BK137" s="92">
        <f t="shared" si="68"/>
        <v>0</v>
      </c>
      <c r="BL137" s="95"/>
    </row>
    <row r="138" spans="1:64">
      <c r="A138" s="61"/>
      <c r="B138" s="62"/>
      <c r="C138" s="63"/>
      <c r="D138" s="64"/>
      <c r="E138" s="64"/>
      <c r="F138" s="65"/>
      <c r="G138" s="66" t="str">
        <f t="shared" si="46"/>
        <v/>
      </c>
      <c r="H138" s="67" t="str">
        <f t="shared" si="47"/>
        <v/>
      </c>
      <c r="I138" s="68" t="str">
        <f t="shared" si="48"/>
        <v/>
      </c>
      <c r="J138" s="69" t="str">
        <f t="shared" si="49"/>
        <v/>
      </c>
      <c r="K138" s="70" t="str">
        <f t="shared" si="50"/>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51"/>
        <v>0</v>
      </c>
      <c r="AL138" s="74"/>
      <c r="AM138" s="74"/>
      <c r="AN138" s="81" t="str">
        <f t="shared" si="52"/>
        <v/>
      </c>
      <c r="AO138" s="82"/>
      <c r="AP138" s="75"/>
      <c r="AQ138" s="75"/>
      <c r="AR138" s="80">
        <f t="shared" si="53"/>
        <v>0</v>
      </c>
      <c r="AS138" s="74"/>
      <c r="AT138" s="75"/>
      <c r="AU138" s="75"/>
      <c r="AV138" s="75"/>
      <c r="AW138" s="80">
        <f t="shared" si="54"/>
        <v>0</v>
      </c>
      <c r="AX138" s="81" t="str">
        <f t="shared" si="55"/>
        <v/>
      </c>
      <c r="AY138" s="83" t="str">
        <f t="shared" si="56"/>
        <v/>
      </c>
      <c r="AZ138" s="80" t="str">
        <f t="shared" si="57"/>
        <v/>
      </c>
      <c r="BA138" s="84">
        <f t="shared" si="58"/>
        <v>0</v>
      </c>
      <c r="BB138" s="85" t="str">
        <f t="shared" si="59"/>
        <v/>
      </c>
      <c r="BC138" s="86" t="str">
        <f t="shared" si="60"/>
        <v/>
      </c>
      <c r="BD138" s="84">
        <f t="shared" si="61"/>
        <v>0</v>
      </c>
      <c r="BE138" s="87" t="str">
        <f t="shared" si="62"/>
        <v/>
      </c>
      <c r="BF138" s="88" t="str">
        <f t="shared" si="63"/>
        <v/>
      </c>
      <c r="BG138" s="89" t="str">
        <f t="shared" si="64"/>
        <v/>
      </c>
      <c r="BH138" s="90" t="str">
        <f t="shared" si="65"/>
        <v/>
      </c>
      <c r="BI138" s="90" t="str">
        <f t="shared" si="66"/>
        <v/>
      </c>
      <c r="BJ138" s="91">
        <f t="shared" si="67"/>
        <v>0</v>
      </c>
      <c r="BK138" s="92">
        <f t="shared" si="68"/>
        <v>0</v>
      </c>
      <c r="BL138" s="95"/>
    </row>
    <row r="139" spans="1:64">
      <c r="A139" s="61"/>
      <c r="B139" s="62"/>
      <c r="C139" s="63"/>
      <c r="D139" s="64"/>
      <c r="E139" s="64"/>
      <c r="F139" s="65"/>
      <c r="G139" s="66" t="str">
        <f t="shared" si="46"/>
        <v/>
      </c>
      <c r="H139" s="67" t="str">
        <f t="shared" si="47"/>
        <v/>
      </c>
      <c r="I139" s="68" t="str">
        <f t="shared" si="48"/>
        <v/>
      </c>
      <c r="J139" s="69" t="str">
        <f t="shared" si="49"/>
        <v/>
      </c>
      <c r="K139" s="70" t="str">
        <f t="shared" si="50"/>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51"/>
        <v>0</v>
      </c>
      <c r="AL139" s="74"/>
      <c r="AM139" s="74"/>
      <c r="AN139" s="81" t="str">
        <f t="shared" si="52"/>
        <v/>
      </c>
      <c r="AO139" s="82"/>
      <c r="AP139" s="75"/>
      <c r="AQ139" s="75"/>
      <c r="AR139" s="80">
        <f t="shared" si="53"/>
        <v>0</v>
      </c>
      <c r="AS139" s="74"/>
      <c r="AT139" s="75"/>
      <c r="AU139" s="75"/>
      <c r="AV139" s="75"/>
      <c r="AW139" s="80">
        <f t="shared" si="54"/>
        <v>0</v>
      </c>
      <c r="AX139" s="81" t="str">
        <f t="shared" si="55"/>
        <v/>
      </c>
      <c r="AY139" s="83" t="str">
        <f t="shared" si="56"/>
        <v/>
      </c>
      <c r="AZ139" s="80" t="str">
        <f t="shared" si="57"/>
        <v/>
      </c>
      <c r="BA139" s="84">
        <f t="shared" si="58"/>
        <v>0</v>
      </c>
      <c r="BB139" s="85" t="str">
        <f t="shared" si="59"/>
        <v/>
      </c>
      <c r="BC139" s="86" t="str">
        <f t="shared" si="60"/>
        <v/>
      </c>
      <c r="BD139" s="84">
        <f t="shared" si="61"/>
        <v>0</v>
      </c>
      <c r="BE139" s="87" t="str">
        <f t="shared" si="62"/>
        <v/>
      </c>
      <c r="BF139" s="88" t="str">
        <f t="shared" si="63"/>
        <v/>
      </c>
      <c r="BG139" s="89" t="str">
        <f t="shared" si="64"/>
        <v/>
      </c>
      <c r="BH139" s="90" t="str">
        <f t="shared" si="65"/>
        <v/>
      </c>
      <c r="BI139" s="90" t="str">
        <f t="shared" si="66"/>
        <v/>
      </c>
      <c r="BJ139" s="91">
        <f t="shared" si="67"/>
        <v>0</v>
      </c>
      <c r="BK139" s="92">
        <f t="shared" si="68"/>
        <v>0</v>
      </c>
      <c r="BL139" s="95"/>
    </row>
    <row r="140" spans="1:64">
      <c r="A140" s="61"/>
      <c r="B140" s="62"/>
      <c r="C140" s="63"/>
      <c r="D140" s="64"/>
      <c r="E140" s="64"/>
      <c r="F140" s="65"/>
      <c r="G140" s="66" t="str">
        <f t="shared" si="46"/>
        <v/>
      </c>
      <c r="H140" s="67" t="str">
        <f t="shared" si="47"/>
        <v/>
      </c>
      <c r="I140" s="68" t="str">
        <f t="shared" si="48"/>
        <v/>
      </c>
      <c r="J140" s="69" t="str">
        <f t="shared" si="49"/>
        <v/>
      </c>
      <c r="K140" s="70" t="str">
        <f t="shared" si="50"/>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51"/>
        <v>0</v>
      </c>
      <c r="AL140" s="74"/>
      <c r="AM140" s="74"/>
      <c r="AN140" s="81" t="str">
        <f t="shared" si="52"/>
        <v/>
      </c>
      <c r="AO140" s="82"/>
      <c r="AP140" s="75"/>
      <c r="AQ140" s="75"/>
      <c r="AR140" s="80">
        <f t="shared" si="53"/>
        <v>0</v>
      </c>
      <c r="AS140" s="74"/>
      <c r="AT140" s="75"/>
      <c r="AU140" s="75"/>
      <c r="AV140" s="75"/>
      <c r="AW140" s="80">
        <f t="shared" si="54"/>
        <v>0</v>
      </c>
      <c r="AX140" s="81" t="str">
        <f t="shared" si="55"/>
        <v/>
      </c>
      <c r="AY140" s="83" t="str">
        <f t="shared" si="56"/>
        <v/>
      </c>
      <c r="AZ140" s="80" t="str">
        <f t="shared" si="57"/>
        <v/>
      </c>
      <c r="BA140" s="84">
        <f t="shared" si="58"/>
        <v>0</v>
      </c>
      <c r="BB140" s="85" t="str">
        <f t="shared" si="59"/>
        <v/>
      </c>
      <c r="BC140" s="86" t="str">
        <f t="shared" si="60"/>
        <v/>
      </c>
      <c r="BD140" s="84">
        <f t="shared" si="61"/>
        <v>0</v>
      </c>
      <c r="BE140" s="87" t="str">
        <f t="shared" si="62"/>
        <v/>
      </c>
      <c r="BF140" s="88" t="str">
        <f t="shared" si="63"/>
        <v/>
      </c>
      <c r="BG140" s="89" t="str">
        <f t="shared" si="64"/>
        <v/>
      </c>
      <c r="BH140" s="90" t="str">
        <f t="shared" si="65"/>
        <v/>
      </c>
      <c r="BI140" s="90" t="str">
        <f t="shared" si="66"/>
        <v/>
      </c>
      <c r="BJ140" s="91">
        <f t="shared" si="67"/>
        <v>0</v>
      </c>
      <c r="BK140" s="92">
        <f t="shared" si="68"/>
        <v>0</v>
      </c>
      <c r="BL140" s="95"/>
    </row>
    <row r="141" spans="1:64">
      <c r="A141" s="61"/>
      <c r="B141" s="62"/>
      <c r="C141" s="63"/>
      <c r="D141" s="64"/>
      <c r="E141" s="64"/>
      <c r="F141" s="65"/>
      <c r="G141" s="66" t="str">
        <f t="shared" si="46"/>
        <v/>
      </c>
      <c r="H141" s="67" t="str">
        <f t="shared" si="47"/>
        <v/>
      </c>
      <c r="I141" s="68" t="str">
        <f t="shared" si="48"/>
        <v/>
      </c>
      <c r="J141" s="69" t="str">
        <f t="shared" si="49"/>
        <v/>
      </c>
      <c r="K141" s="70" t="str">
        <f t="shared" si="50"/>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51"/>
        <v>0</v>
      </c>
      <c r="AL141" s="74"/>
      <c r="AM141" s="74"/>
      <c r="AN141" s="81" t="str">
        <f t="shared" si="52"/>
        <v/>
      </c>
      <c r="AO141" s="82"/>
      <c r="AP141" s="75"/>
      <c r="AQ141" s="75"/>
      <c r="AR141" s="80">
        <f t="shared" si="53"/>
        <v>0</v>
      </c>
      <c r="AS141" s="74"/>
      <c r="AT141" s="75"/>
      <c r="AU141" s="75"/>
      <c r="AV141" s="75"/>
      <c r="AW141" s="80">
        <f t="shared" si="54"/>
        <v>0</v>
      </c>
      <c r="AX141" s="81" t="str">
        <f t="shared" si="55"/>
        <v/>
      </c>
      <c r="AY141" s="83" t="str">
        <f t="shared" si="56"/>
        <v/>
      </c>
      <c r="AZ141" s="80" t="str">
        <f t="shared" si="57"/>
        <v/>
      </c>
      <c r="BA141" s="84">
        <f t="shared" si="58"/>
        <v>0</v>
      </c>
      <c r="BB141" s="85" t="str">
        <f t="shared" si="59"/>
        <v/>
      </c>
      <c r="BC141" s="86" t="str">
        <f t="shared" si="60"/>
        <v/>
      </c>
      <c r="BD141" s="84">
        <f t="shared" si="61"/>
        <v>0</v>
      </c>
      <c r="BE141" s="87" t="str">
        <f t="shared" si="62"/>
        <v/>
      </c>
      <c r="BF141" s="88" t="str">
        <f t="shared" si="63"/>
        <v/>
      </c>
      <c r="BG141" s="89" t="str">
        <f t="shared" si="64"/>
        <v/>
      </c>
      <c r="BH141" s="90" t="str">
        <f t="shared" si="65"/>
        <v/>
      </c>
      <c r="BI141" s="90" t="str">
        <f t="shared" si="66"/>
        <v/>
      </c>
      <c r="BJ141" s="91">
        <f t="shared" si="67"/>
        <v>0</v>
      </c>
      <c r="BK141" s="92">
        <f t="shared" si="68"/>
        <v>0</v>
      </c>
      <c r="BL141" s="95"/>
    </row>
    <row r="142" spans="1:64">
      <c r="A142" s="61"/>
      <c r="B142" s="62"/>
      <c r="C142" s="63"/>
      <c r="D142" s="64"/>
      <c r="E142" s="64"/>
      <c r="F142" s="65"/>
      <c r="G142" s="66" t="str">
        <f t="shared" si="46"/>
        <v/>
      </c>
      <c r="H142" s="67" t="str">
        <f t="shared" si="47"/>
        <v/>
      </c>
      <c r="I142" s="68" t="str">
        <f t="shared" si="48"/>
        <v/>
      </c>
      <c r="J142" s="69" t="str">
        <f t="shared" si="49"/>
        <v/>
      </c>
      <c r="K142" s="70" t="str">
        <f t="shared" si="50"/>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51"/>
        <v>0</v>
      </c>
      <c r="AL142" s="74"/>
      <c r="AM142" s="74"/>
      <c r="AN142" s="81" t="str">
        <f t="shared" si="52"/>
        <v/>
      </c>
      <c r="AO142" s="82"/>
      <c r="AP142" s="75"/>
      <c r="AQ142" s="75"/>
      <c r="AR142" s="80">
        <f t="shared" si="53"/>
        <v>0</v>
      </c>
      <c r="AS142" s="74"/>
      <c r="AT142" s="75"/>
      <c r="AU142" s="75"/>
      <c r="AV142" s="75"/>
      <c r="AW142" s="80">
        <f t="shared" si="54"/>
        <v>0</v>
      </c>
      <c r="AX142" s="81" t="str">
        <f t="shared" si="55"/>
        <v/>
      </c>
      <c r="AY142" s="83" t="str">
        <f t="shared" si="56"/>
        <v/>
      </c>
      <c r="AZ142" s="80" t="str">
        <f t="shared" si="57"/>
        <v/>
      </c>
      <c r="BA142" s="84">
        <f t="shared" si="58"/>
        <v>0</v>
      </c>
      <c r="BB142" s="85" t="str">
        <f t="shared" si="59"/>
        <v/>
      </c>
      <c r="BC142" s="86" t="str">
        <f t="shared" si="60"/>
        <v/>
      </c>
      <c r="BD142" s="84">
        <f t="shared" si="61"/>
        <v>0</v>
      </c>
      <c r="BE142" s="87" t="str">
        <f t="shared" si="62"/>
        <v/>
      </c>
      <c r="BF142" s="88" t="str">
        <f t="shared" si="63"/>
        <v/>
      </c>
      <c r="BG142" s="89" t="str">
        <f t="shared" si="64"/>
        <v/>
      </c>
      <c r="BH142" s="90" t="str">
        <f t="shared" si="65"/>
        <v/>
      </c>
      <c r="BI142" s="90" t="str">
        <f t="shared" si="66"/>
        <v/>
      </c>
      <c r="BJ142" s="91">
        <f t="shared" si="67"/>
        <v>0</v>
      </c>
      <c r="BK142" s="92">
        <f t="shared" si="68"/>
        <v>0</v>
      </c>
      <c r="BL142" s="95"/>
    </row>
    <row r="143" spans="1:64">
      <c r="A143" s="61"/>
      <c r="B143" s="62"/>
      <c r="C143" s="63"/>
      <c r="D143" s="64"/>
      <c r="E143" s="64"/>
      <c r="F143" s="65"/>
      <c r="G143" s="66" t="str">
        <f t="shared" si="46"/>
        <v/>
      </c>
      <c r="H143" s="67" t="str">
        <f t="shared" si="47"/>
        <v/>
      </c>
      <c r="I143" s="68" t="str">
        <f t="shared" si="48"/>
        <v/>
      </c>
      <c r="J143" s="69" t="str">
        <f t="shared" si="49"/>
        <v/>
      </c>
      <c r="K143" s="70" t="str">
        <f t="shared" si="50"/>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51"/>
        <v>0</v>
      </c>
      <c r="AL143" s="74"/>
      <c r="AM143" s="74"/>
      <c r="AN143" s="81" t="str">
        <f t="shared" si="52"/>
        <v/>
      </c>
      <c r="AO143" s="82"/>
      <c r="AP143" s="75"/>
      <c r="AQ143" s="75"/>
      <c r="AR143" s="80">
        <f t="shared" si="53"/>
        <v>0</v>
      </c>
      <c r="AS143" s="74"/>
      <c r="AT143" s="75"/>
      <c r="AU143" s="75"/>
      <c r="AV143" s="75"/>
      <c r="AW143" s="80">
        <f t="shared" si="54"/>
        <v>0</v>
      </c>
      <c r="AX143" s="81" t="str">
        <f t="shared" si="55"/>
        <v/>
      </c>
      <c r="AY143" s="83" t="str">
        <f t="shared" si="56"/>
        <v/>
      </c>
      <c r="AZ143" s="80" t="str">
        <f t="shared" si="57"/>
        <v/>
      </c>
      <c r="BA143" s="84">
        <f t="shared" si="58"/>
        <v>0</v>
      </c>
      <c r="BB143" s="85" t="str">
        <f t="shared" si="59"/>
        <v/>
      </c>
      <c r="BC143" s="86" t="str">
        <f t="shared" si="60"/>
        <v/>
      </c>
      <c r="BD143" s="84">
        <f t="shared" si="61"/>
        <v>0</v>
      </c>
      <c r="BE143" s="87" t="str">
        <f t="shared" si="62"/>
        <v/>
      </c>
      <c r="BF143" s="88" t="str">
        <f t="shared" si="63"/>
        <v/>
      </c>
      <c r="BG143" s="89" t="str">
        <f t="shared" si="64"/>
        <v/>
      </c>
      <c r="BH143" s="90" t="str">
        <f t="shared" si="65"/>
        <v/>
      </c>
      <c r="BI143" s="90" t="str">
        <f t="shared" si="66"/>
        <v/>
      </c>
      <c r="BJ143" s="91">
        <f t="shared" si="67"/>
        <v>0</v>
      </c>
      <c r="BK143" s="92">
        <f t="shared" si="68"/>
        <v>0</v>
      </c>
      <c r="BL143" s="95"/>
    </row>
    <row r="144" spans="1:64">
      <c r="A144" s="61"/>
      <c r="B144" s="62"/>
      <c r="C144" s="63"/>
      <c r="D144" s="64"/>
      <c r="E144" s="64"/>
      <c r="F144" s="65"/>
      <c r="G144" s="66" t="str">
        <f t="shared" si="46"/>
        <v/>
      </c>
      <c r="H144" s="67" t="str">
        <f t="shared" si="47"/>
        <v/>
      </c>
      <c r="I144" s="68" t="str">
        <f t="shared" si="48"/>
        <v/>
      </c>
      <c r="J144" s="69" t="str">
        <f t="shared" si="49"/>
        <v/>
      </c>
      <c r="K144" s="70" t="str">
        <f t="shared" si="50"/>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51"/>
        <v>0</v>
      </c>
      <c r="AL144" s="74"/>
      <c r="AM144" s="74"/>
      <c r="AN144" s="81" t="str">
        <f t="shared" si="52"/>
        <v/>
      </c>
      <c r="AO144" s="82"/>
      <c r="AP144" s="75"/>
      <c r="AQ144" s="75"/>
      <c r="AR144" s="80">
        <f t="shared" si="53"/>
        <v>0</v>
      </c>
      <c r="AS144" s="74"/>
      <c r="AT144" s="75"/>
      <c r="AU144" s="75"/>
      <c r="AV144" s="75"/>
      <c r="AW144" s="80">
        <f t="shared" si="54"/>
        <v>0</v>
      </c>
      <c r="AX144" s="81" t="str">
        <f t="shared" si="55"/>
        <v/>
      </c>
      <c r="AY144" s="83" t="str">
        <f t="shared" si="56"/>
        <v/>
      </c>
      <c r="AZ144" s="80" t="str">
        <f t="shared" si="57"/>
        <v/>
      </c>
      <c r="BA144" s="84">
        <f t="shared" si="58"/>
        <v>0</v>
      </c>
      <c r="BB144" s="85" t="str">
        <f t="shared" si="59"/>
        <v/>
      </c>
      <c r="BC144" s="86" t="str">
        <f t="shared" si="60"/>
        <v/>
      </c>
      <c r="BD144" s="84">
        <f t="shared" si="61"/>
        <v>0</v>
      </c>
      <c r="BE144" s="87" t="str">
        <f t="shared" si="62"/>
        <v/>
      </c>
      <c r="BF144" s="88" t="str">
        <f t="shared" si="63"/>
        <v/>
      </c>
      <c r="BG144" s="89" t="str">
        <f t="shared" si="64"/>
        <v/>
      </c>
      <c r="BH144" s="90" t="str">
        <f t="shared" si="65"/>
        <v/>
      </c>
      <c r="BI144" s="90" t="str">
        <f t="shared" si="66"/>
        <v/>
      </c>
      <c r="BJ144" s="91">
        <f t="shared" si="67"/>
        <v>0</v>
      </c>
      <c r="BK144" s="92">
        <f t="shared" si="68"/>
        <v>0</v>
      </c>
      <c r="BL144" s="95"/>
    </row>
    <row r="145" spans="1:64">
      <c r="A145" s="61"/>
      <c r="B145" s="62"/>
      <c r="C145" s="63"/>
      <c r="D145" s="64"/>
      <c r="E145" s="64"/>
      <c r="F145" s="65"/>
      <c r="G145" s="66" t="str">
        <f t="shared" si="46"/>
        <v/>
      </c>
      <c r="H145" s="67" t="str">
        <f t="shared" si="47"/>
        <v/>
      </c>
      <c r="I145" s="68" t="str">
        <f t="shared" si="48"/>
        <v/>
      </c>
      <c r="J145" s="69" t="str">
        <f t="shared" si="49"/>
        <v/>
      </c>
      <c r="K145" s="70" t="str">
        <f t="shared" si="50"/>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51"/>
        <v>0</v>
      </c>
      <c r="AL145" s="74"/>
      <c r="AM145" s="74"/>
      <c r="AN145" s="81" t="str">
        <f t="shared" si="52"/>
        <v/>
      </c>
      <c r="AO145" s="82"/>
      <c r="AP145" s="75"/>
      <c r="AQ145" s="75"/>
      <c r="AR145" s="80">
        <f t="shared" si="53"/>
        <v>0</v>
      </c>
      <c r="AS145" s="74"/>
      <c r="AT145" s="75"/>
      <c r="AU145" s="75"/>
      <c r="AV145" s="75"/>
      <c r="AW145" s="80">
        <f t="shared" si="54"/>
        <v>0</v>
      </c>
      <c r="AX145" s="81" t="str">
        <f t="shared" si="55"/>
        <v/>
      </c>
      <c r="AY145" s="83" t="str">
        <f t="shared" si="56"/>
        <v/>
      </c>
      <c r="AZ145" s="80" t="str">
        <f t="shared" si="57"/>
        <v/>
      </c>
      <c r="BA145" s="84">
        <f t="shared" si="58"/>
        <v>0</v>
      </c>
      <c r="BB145" s="85" t="str">
        <f t="shared" si="59"/>
        <v/>
      </c>
      <c r="BC145" s="86" t="str">
        <f t="shared" si="60"/>
        <v/>
      </c>
      <c r="BD145" s="84">
        <f t="shared" si="61"/>
        <v>0</v>
      </c>
      <c r="BE145" s="87" t="str">
        <f t="shared" si="62"/>
        <v/>
      </c>
      <c r="BF145" s="88" t="str">
        <f t="shared" si="63"/>
        <v/>
      </c>
      <c r="BG145" s="89" t="str">
        <f t="shared" si="64"/>
        <v/>
      </c>
      <c r="BH145" s="90" t="str">
        <f t="shared" si="65"/>
        <v/>
      </c>
      <c r="BI145" s="90" t="str">
        <f t="shared" si="66"/>
        <v/>
      </c>
      <c r="BJ145" s="91">
        <f t="shared" si="67"/>
        <v>0</v>
      </c>
      <c r="BK145" s="92">
        <f t="shared" si="68"/>
        <v>0</v>
      </c>
      <c r="BL145" s="95"/>
    </row>
    <row r="146" spans="1:64">
      <c r="A146" s="61"/>
      <c r="B146" s="62"/>
      <c r="C146" s="63"/>
      <c r="D146" s="64"/>
      <c r="E146" s="64"/>
      <c r="F146" s="65"/>
      <c r="G146" s="66" t="str">
        <f t="shared" si="46"/>
        <v/>
      </c>
      <c r="H146" s="67" t="str">
        <f t="shared" si="47"/>
        <v/>
      </c>
      <c r="I146" s="68" t="str">
        <f t="shared" si="48"/>
        <v/>
      </c>
      <c r="J146" s="69" t="str">
        <f t="shared" si="49"/>
        <v/>
      </c>
      <c r="K146" s="70" t="str">
        <f t="shared" si="50"/>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51"/>
        <v>0</v>
      </c>
      <c r="AL146" s="74"/>
      <c r="AM146" s="74"/>
      <c r="AN146" s="81" t="str">
        <f t="shared" si="52"/>
        <v/>
      </c>
      <c r="AO146" s="82"/>
      <c r="AP146" s="75"/>
      <c r="AQ146" s="75"/>
      <c r="AR146" s="80">
        <f t="shared" si="53"/>
        <v>0</v>
      </c>
      <c r="AS146" s="74"/>
      <c r="AT146" s="75"/>
      <c r="AU146" s="75"/>
      <c r="AV146" s="75"/>
      <c r="AW146" s="80">
        <f t="shared" si="54"/>
        <v>0</v>
      </c>
      <c r="AX146" s="81" t="str">
        <f t="shared" si="55"/>
        <v/>
      </c>
      <c r="AY146" s="83" t="str">
        <f t="shared" si="56"/>
        <v/>
      </c>
      <c r="AZ146" s="80" t="str">
        <f t="shared" si="57"/>
        <v/>
      </c>
      <c r="BA146" s="84">
        <f t="shared" si="58"/>
        <v>0</v>
      </c>
      <c r="BB146" s="85" t="str">
        <f t="shared" si="59"/>
        <v/>
      </c>
      <c r="BC146" s="86" t="str">
        <f t="shared" si="60"/>
        <v/>
      </c>
      <c r="BD146" s="84">
        <f t="shared" si="61"/>
        <v>0</v>
      </c>
      <c r="BE146" s="87" t="str">
        <f t="shared" si="62"/>
        <v/>
      </c>
      <c r="BF146" s="88" t="str">
        <f t="shared" si="63"/>
        <v/>
      </c>
      <c r="BG146" s="89" t="str">
        <f t="shared" si="64"/>
        <v/>
      </c>
      <c r="BH146" s="90" t="str">
        <f t="shared" si="65"/>
        <v/>
      </c>
      <c r="BI146" s="90" t="str">
        <f t="shared" si="66"/>
        <v/>
      </c>
      <c r="BJ146" s="91">
        <f t="shared" si="67"/>
        <v>0</v>
      </c>
      <c r="BK146" s="92">
        <f t="shared" si="68"/>
        <v>0</v>
      </c>
      <c r="BL146" s="95"/>
    </row>
    <row r="147" spans="1:64">
      <c r="A147" s="61"/>
      <c r="B147" s="62"/>
      <c r="C147" s="63"/>
      <c r="D147" s="64"/>
      <c r="E147" s="64"/>
      <c r="F147" s="65"/>
      <c r="G147" s="66" t="str">
        <f t="shared" si="46"/>
        <v/>
      </c>
      <c r="H147" s="67" t="str">
        <f t="shared" si="47"/>
        <v/>
      </c>
      <c r="I147" s="68" t="str">
        <f t="shared" si="48"/>
        <v/>
      </c>
      <c r="J147" s="69" t="str">
        <f t="shared" si="49"/>
        <v/>
      </c>
      <c r="K147" s="70" t="str">
        <f t="shared" si="50"/>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51"/>
        <v>0</v>
      </c>
      <c r="AL147" s="74"/>
      <c r="AM147" s="74"/>
      <c r="AN147" s="81" t="str">
        <f t="shared" si="52"/>
        <v/>
      </c>
      <c r="AO147" s="82"/>
      <c r="AP147" s="75"/>
      <c r="AQ147" s="75"/>
      <c r="AR147" s="80">
        <f t="shared" si="53"/>
        <v>0</v>
      </c>
      <c r="AS147" s="74"/>
      <c r="AT147" s="75"/>
      <c r="AU147" s="75"/>
      <c r="AV147" s="75"/>
      <c r="AW147" s="80">
        <f t="shared" si="54"/>
        <v>0</v>
      </c>
      <c r="AX147" s="81" t="str">
        <f t="shared" si="55"/>
        <v/>
      </c>
      <c r="AY147" s="83" t="str">
        <f t="shared" si="56"/>
        <v/>
      </c>
      <c r="AZ147" s="80" t="str">
        <f t="shared" si="57"/>
        <v/>
      </c>
      <c r="BA147" s="84">
        <f t="shared" si="58"/>
        <v>0</v>
      </c>
      <c r="BB147" s="85" t="str">
        <f t="shared" si="59"/>
        <v/>
      </c>
      <c r="BC147" s="86" t="str">
        <f t="shared" si="60"/>
        <v/>
      </c>
      <c r="BD147" s="84">
        <f t="shared" si="61"/>
        <v>0</v>
      </c>
      <c r="BE147" s="87" t="str">
        <f t="shared" si="62"/>
        <v/>
      </c>
      <c r="BF147" s="88" t="str">
        <f t="shared" si="63"/>
        <v/>
      </c>
      <c r="BG147" s="89" t="str">
        <f t="shared" si="64"/>
        <v/>
      </c>
      <c r="BH147" s="90" t="str">
        <f t="shared" si="65"/>
        <v/>
      </c>
      <c r="BI147" s="90" t="str">
        <f t="shared" si="66"/>
        <v/>
      </c>
      <c r="BJ147" s="91">
        <f t="shared" si="67"/>
        <v>0</v>
      </c>
      <c r="BK147" s="92">
        <f t="shared" si="68"/>
        <v>0</v>
      </c>
      <c r="BL147" s="95"/>
    </row>
    <row r="148" spans="1:64">
      <c r="A148" s="61"/>
      <c r="B148" s="62"/>
      <c r="C148" s="63"/>
      <c r="D148" s="64"/>
      <c r="E148" s="64"/>
      <c r="F148" s="65"/>
      <c r="G148" s="66" t="str">
        <f t="shared" si="46"/>
        <v/>
      </c>
      <c r="H148" s="67" t="str">
        <f t="shared" si="47"/>
        <v/>
      </c>
      <c r="I148" s="68" t="str">
        <f t="shared" si="48"/>
        <v/>
      </c>
      <c r="J148" s="69" t="str">
        <f t="shared" si="49"/>
        <v/>
      </c>
      <c r="K148" s="70" t="str">
        <f t="shared" si="50"/>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51"/>
        <v>0</v>
      </c>
      <c r="AL148" s="74"/>
      <c r="AM148" s="74"/>
      <c r="AN148" s="81" t="str">
        <f t="shared" si="52"/>
        <v/>
      </c>
      <c r="AO148" s="82"/>
      <c r="AP148" s="75"/>
      <c r="AQ148" s="75"/>
      <c r="AR148" s="80">
        <f t="shared" si="53"/>
        <v>0</v>
      </c>
      <c r="AS148" s="74"/>
      <c r="AT148" s="75"/>
      <c r="AU148" s="75"/>
      <c r="AV148" s="75"/>
      <c r="AW148" s="80">
        <f t="shared" si="54"/>
        <v>0</v>
      </c>
      <c r="AX148" s="81" t="str">
        <f t="shared" si="55"/>
        <v/>
      </c>
      <c r="AY148" s="83" t="str">
        <f t="shared" si="56"/>
        <v/>
      </c>
      <c r="AZ148" s="80" t="str">
        <f t="shared" si="57"/>
        <v/>
      </c>
      <c r="BA148" s="84">
        <f t="shared" si="58"/>
        <v>0</v>
      </c>
      <c r="BB148" s="85" t="str">
        <f t="shared" si="59"/>
        <v/>
      </c>
      <c r="BC148" s="86" t="str">
        <f t="shared" si="60"/>
        <v/>
      </c>
      <c r="BD148" s="84">
        <f t="shared" si="61"/>
        <v>0</v>
      </c>
      <c r="BE148" s="87" t="str">
        <f t="shared" si="62"/>
        <v/>
      </c>
      <c r="BF148" s="88" t="str">
        <f t="shared" si="63"/>
        <v/>
      </c>
      <c r="BG148" s="89" t="str">
        <f t="shared" si="64"/>
        <v/>
      </c>
      <c r="BH148" s="90" t="str">
        <f t="shared" si="65"/>
        <v/>
      </c>
      <c r="BI148" s="90" t="str">
        <f t="shared" si="66"/>
        <v/>
      </c>
      <c r="BJ148" s="91">
        <f t="shared" si="67"/>
        <v>0</v>
      </c>
      <c r="BK148" s="92">
        <f t="shared" si="68"/>
        <v>0</v>
      </c>
      <c r="BL148" s="95"/>
    </row>
    <row r="149" spans="1:64">
      <c r="A149" s="61"/>
      <c r="B149" s="62"/>
      <c r="C149" s="63"/>
      <c r="D149" s="64"/>
      <c r="E149" s="64"/>
      <c r="F149" s="65"/>
      <c r="G149" s="66" t="str">
        <f t="shared" si="46"/>
        <v/>
      </c>
      <c r="H149" s="67" t="str">
        <f t="shared" si="47"/>
        <v/>
      </c>
      <c r="I149" s="68" t="str">
        <f t="shared" si="48"/>
        <v/>
      </c>
      <c r="J149" s="69" t="str">
        <f t="shared" si="49"/>
        <v/>
      </c>
      <c r="K149" s="70" t="str">
        <f t="shared" si="50"/>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51"/>
        <v>0</v>
      </c>
      <c r="AL149" s="74"/>
      <c r="AM149" s="74"/>
      <c r="AN149" s="81" t="str">
        <f t="shared" si="52"/>
        <v/>
      </c>
      <c r="AO149" s="82"/>
      <c r="AP149" s="75"/>
      <c r="AQ149" s="75"/>
      <c r="AR149" s="80">
        <f t="shared" si="53"/>
        <v>0</v>
      </c>
      <c r="AS149" s="74"/>
      <c r="AT149" s="75"/>
      <c r="AU149" s="75"/>
      <c r="AV149" s="75"/>
      <c r="AW149" s="80">
        <f t="shared" si="54"/>
        <v>0</v>
      </c>
      <c r="AX149" s="81" t="str">
        <f t="shared" si="55"/>
        <v/>
      </c>
      <c r="AY149" s="83" t="str">
        <f t="shared" si="56"/>
        <v/>
      </c>
      <c r="AZ149" s="80" t="str">
        <f t="shared" si="57"/>
        <v/>
      </c>
      <c r="BA149" s="84">
        <f t="shared" si="58"/>
        <v>0</v>
      </c>
      <c r="BB149" s="85" t="str">
        <f t="shared" si="59"/>
        <v/>
      </c>
      <c r="BC149" s="86" t="str">
        <f t="shared" si="60"/>
        <v/>
      </c>
      <c r="BD149" s="84">
        <f t="shared" si="61"/>
        <v>0</v>
      </c>
      <c r="BE149" s="87" t="str">
        <f t="shared" si="62"/>
        <v/>
      </c>
      <c r="BF149" s="88" t="str">
        <f t="shared" si="63"/>
        <v/>
      </c>
      <c r="BG149" s="89" t="str">
        <f t="shared" si="64"/>
        <v/>
      </c>
      <c r="BH149" s="90" t="str">
        <f t="shared" si="65"/>
        <v/>
      </c>
      <c r="BI149" s="90" t="str">
        <f t="shared" si="66"/>
        <v/>
      </c>
      <c r="BJ149" s="91">
        <f t="shared" si="67"/>
        <v>0</v>
      </c>
      <c r="BK149" s="92">
        <f t="shared" si="68"/>
        <v>0</v>
      </c>
      <c r="BL149" s="95"/>
    </row>
    <row r="150" spans="1:64">
      <c r="A150" s="61"/>
      <c r="B150" s="62"/>
      <c r="C150" s="63"/>
      <c r="D150" s="64"/>
      <c r="E150" s="64"/>
      <c r="F150" s="65"/>
      <c r="G150" s="66" t="str">
        <f t="shared" si="46"/>
        <v/>
      </c>
      <c r="H150" s="67" t="str">
        <f t="shared" si="47"/>
        <v/>
      </c>
      <c r="I150" s="68" t="str">
        <f t="shared" si="48"/>
        <v/>
      </c>
      <c r="J150" s="69" t="str">
        <f t="shared" si="49"/>
        <v/>
      </c>
      <c r="K150" s="70" t="str">
        <f t="shared" si="50"/>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51"/>
        <v>0</v>
      </c>
      <c r="AL150" s="74"/>
      <c r="AM150" s="74"/>
      <c r="AN150" s="81" t="str">
        <f t="shared" si="52"/>
        <v/>
      </c>
      <c r="AO150" s="82"/>
      <c r="AP150" s="75"/>
      <c r="AQ150" s="75"/>
      <c r="AR150" s="80">
        <f t="shared" si="53"/>
        <v>0</v>
      </c>
      <c r="AS150" s="74"/>
      <c r="AT150" s="75"/>
      <c r="AU150" s="75"/>
      <c r="AV150" s="75"/>
      <c r="AW150" s="80">
        <f t="shared" si="54"/>
        <v>0</v>
      </c>
      <c r="AX150" s="81" t="str">
        <f t="shared" si="55"/>
        <v/>
      </c>
      <c r="AY150" s="83" t="str">
        <f t="shared" si="56"/>
        <v/>
      </c>
      <c r="AZ150" s="80" t="str">
        <f t="shared" si="57"/>
        <v/>
      </c>
      <c r="BA150" s="84">
        <f t="shared" si="58"/>
        <v>0</v>
      </c>
      <c r="BB150" s="85" t="str">
        <f t="shared" si="59"/>
        <v/>
      </c>
      <c r="BC150" s="86" t="str">
        <f t="shared" si="60"/>
        <v/>
      </c>
      <c r="BD150" s="84">
        <f t="shared" si="61"/>
        <v>0</v>
      </c>
      <c r="BE150" s="87" t="str">
        <f t="shared" si="62"/>
        <v/>
      </c>
      <c r="BF150" s="88" t="str">
        <f t="shared" si="63"/>
        <v/>
      </c>
      <c r="BG150" s="89" t="str">
        <f t="shared" si="64"/>
        <v/>
      </c>
      <c r="BH150" s="90" t="str">
        <f t="shared" si="65"/>
        <v/>
      </c>
      <c r="BI150" s="90" t="str">
        <f t="shared" si="66"/>
        <v/>
      </c>
      <c r="BJ150" s="91">
        <f t="shared" si="67"/>
        <v>0</v>
      </c>
      <c r="BK150" s="92">
        <f t="shared" si="68"/>
        <v>0</v>
      </c>
      <c r="BL150" s="95"/>
    </row>
    <row r="151" spans="1:64">
      <c r="A151" s="61"/>
      <c r="B151" s="62"/>
      <c r="C151" s="63"/>
      <c r="D151" s="64"/>
      <c r="E151" s="64"/>
      <c r="F151" s="65"/>
      <c r="G151" s="66" t="str">
        <f t="shared" si="46"/>
        <v/>
      </c>
      <c r="H151" s="67" t="str">
        <f t="shared" si="47"/>
        <v/>
      </c>
      <c r="I151" s="68" t="str">
        <f t="shared" si="48"/>
        <v/>
      </c>
      <c r="J151" s="69" t="str">
        <f t="shared" si="49"/>
        <v/>
      </c>
      <c r="K151" s="70" t="str">
        <f t="shared" si="50"/>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51"/>
        <v>0</v>
      </c>
      <c r="AL151" s="74"/>
      <c r="AM151" s="74"/>
      <c r="AN151" s="81" t="str">
        <f t="shared" si="52"/>
        <v/>
      </c>
      <c r="AO151" s="82"/>
      <c r="AP151" s="75"/>
      <c r="AQ151" s="75"/>
      <c r="AR151" s="80">
        <f t="shared" si="53"/>
        <v>0</v>
      </c>
      <c r="AS151" s="74"/>
      <c r="AT151" s="75"/>
      <c r="AU151" s="75"/>
      <c r="AV151" s="75"/>
      <c r="AW151" s="80">
        <f t="shared" si="54"/>
        <v>0</v>
      </c>
      <c r="AX151" s="81" t="str">
        <f t="shared" si="55"/>
        <v/>
      </c>
      <c r="AY151" s="83" t="str">
        <f t="shared" si="56"/>
        <v/>
      </c>
      <c r="AZ151" s="80" t="str">
        <f t="shared" si="57"/>
        <v/>
      </c>
      <c r="BA151" s="84">
        <f t="shared" si="58"/>
        <v>0</v>
      </c>
      <c r="BB151" s="85" t="str">
        <f t="shared" si="59"/>
        <v/>
      </c>
      <c r="BC151" s="86" t="str">
        <f t="shared" si="60"/>
        <v/>
      </c>
      <c r="BD151" s="84">
        <f t="shared" si="61"/>
        <v>0</v>
      </c>
      <c r="BE151" s="87" t="str">
        <f t="shared" si="62"/>
        <v/>
      </c>
      <c r="BF151" s="88" t="str">
        <f t="shared" si="63"/>
        <v/>
      </c>
      <c r="BG151" s="89" t="str">
        <f t="shared" si="64"/>
        <v/>
      </c>
      <c r="BH151" s="90" t="str">
        <f t="shared" si="65"/>
        <v/>
      </c>
      <c r="BI151" s="90" t="str">
        <f t="shared" si="66"/>
        <v/>
      </c>
      <c r="BJ151" s="91">
        <f t="shared" si="67"/>
        <v>0</v>
      </c>
      <c r="BK151" s="92">
        <f t="shared" si="68"/>
        <v>0</v>
      </c>
      <c r="BL151" s="95"/>
    </row>
    <row r="152" spans="1:64">
      <c r="A152" s="61"/>
      <c r="B152" s="62"/>
      <c r="C152" s="63"/>
      <c r="D152" s="64"/>
      <c r="E152" s="64"/>
      <c r="F152" s="65"/>
      <c r="G152" s="66" t="str">
        <f t="shared" si="46"/>
        <v/>
      </c>
      <c r="H152" s="67" t="str">
        <f t="shared" si="47"/>
        <v/>
      </c>
      <c r="I152" s="68" t="str">
        <f t="shared" si="48"/>
        <v/>
      </c>
      <c r="J152" s="69" t="str">
        <f t="shared" si="49"/>
        <v/>
      </c>
      <c r="K152" s="70" t="str">
        <f t="shared" si="50"/>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51"/>
        <v>0</v>
      </c>
      <c r="AL152" s="74"/>
      <c r="AM152" s="74"/>
      <c r="AN152" s="81" t="str">
        <f t="shared" si="52"/>
        <v/>
      </c>
      <c r="AO152" s="82"/>
      <c r="AP152" s="75"/>
      <c r="AQ152" s="75"/>
      <c r="AR152" s="80">
        <f t="shared" si="53"/>
        <v>0</v>
      </c>
      <c r="AS152" s="74"/>
      <c r="AT152" s="75"/>
      <c r="AU152" s="75"/>
      <c r="AV152" s="75"/>
      <c r="AW152" s="80">
        <f t="shared" si="54"/>
        <v>0</v>
      </c>
      <c r="AX152" s="81" t="str">
        <f t="shared" si="55"/>
        <v/>
      </c>
      <c r="AY152" s="83" t="str">
        <f t="shared" si="56"/>
        <v/>
      </c>
      <c r="AZ152" s="80" t="str">
        <f t="shared" si="57"/>
        <v/>
      </c>
      <c r="BA152" s="84">
        <f t="shared" si="58"/>
        <v>0</v>
      </c>
      <c r="BB152" s="85" t="str">
        <f t="shared" si="59"/>
        <v/>
      </c>
      <c r="BC152" s="86" t="str">
        <f t="shared" si="60"/>
        <v/>
      </c>
      <c r="BD152" s="84">
        <f t="shared" si="61"/>
        <v>0</v>
      </c>
      <c r="BE152" s="87" t="str">
        <f t="shared" si="62"/>
        <v/>
      </c>
      <c r="BF152" s="88" t="str">
        <f t="shared" si="63"/>
        <v/>
      </c>
      <c r="BG152" s="89" t="str">
        <f t="shared" si="64"/>
        <v/>
      </c>
      <c r="BH152" s="90" t="str">
        <f t="shared" si="65"/>
        <v/>
      </c>
      <c r="BI152" s="90" t="str">
        <f t="shared" si="66"/>
        <v/>
      </c>
      <c r="BJ152" s="91">
        <f t="shared" si="67"/>
        <v>0</v>
      </c>
      <c r="BK152" s="92">
        <f t="shared" si="68"/>
        <v>0</v>
      </c>
      <c r="BL152" s="95"/>
    </row>
    <row r="153" spans="1:64">
      <c r="A153" s="61"/>
      <c r="B153" s="62"/>
      <c r="C153" s="63"/>
      <c r="D153" s="64"/>
      <c r="E153" s="64"/>
      <c r="F153" s="65"/>
      <c r="G153" s="66" t="str">
        <f t="shared" si="46"/>
        <v/>
      </c>
      <c r="H153" s="67" t="str">
        <f t="shared" si="47"/>
        <v/>
      </c>
      <c r="I153" s="68" t="str">
        <f t="shared" si="48"/>
        <v/>
      </c>
      <c r="J153" s="69" t="str">
        <f t="shared" si="49"/>
        <v/>
      </c>
      <c r="K153" s="70" t="str">
        <f t="shared" si="50"/>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51"/>
        <v>0</v>
      </c>
      <c r="AL153" s="74"/>
      <c r="AM153" s="74"/>
      <c r="AN153" s="81" t="str">
        <f t="shared" si="52"/>
        <v/>
      </c>
      <c r="AO153" s="82"/>
      <c r="AP153" s="75"/>
      <c r="AQ153" s="75"/>
      <c r="AR153" s="80">
        <f t="shared" si="53"/>
        <v>0</v>
      </c>
      <c r="AS153" s="74"/>
      <c r="AT153" s="75"/>
      <c r="AU153" s="75"/>
      <c r="AV153" s="75"/>
      <c r="AW153" s="80">
        <f t="shared" si="54"/>
        <v>0</v>
      </c>
      <c r="AX153" s="81" t="str">
        <f t="shared" si="55"/>
        <v/>
      </c>
      <c r="AY153" s="83" t="str">
        <f t="shared" si="56"/>
        <v/>
      </c>
      <c r="AZ153" s="80" t="str">
        <f t="shared" si="57"/>
        <v/>
      </c>
      <c r="BA153" s="84">
        <f t="shared" si="58"/>
        <v>0</v>
      </c>
      <c r="BB153" s="85" t="str">
        <f t="shared" si="59"/>
        <v/>
      </c>
      <c r="BC153" s="86" t="str">
        <f t="shared" si="60"/>
        <v/>
      </c>
      <c r="BD153" s="84">
        <f t="shared" si="61"/>
        <v>0</v>
      </c>
      <c r="BE153" s="87" t="str">
        <f t="shared" si="62"/>
        <v/>
      </c>
      <c r="BF153" s="88" t="str">
        <f t="shared" si="63"/>
        <v/>
      </c>
      <c r="BG153" s="89" t="str">
        <f t="shared" si="64"/>
        <v/>
      </c>
      <c r="BH153" s="90" t="str">
        <f t="shared" si="65"/>
        <v/>
      </c>
      <c r="BI153" s="90" t="str">
        <f t="shared" si="66"/>
        <v/>
      </c>
      <c r="BJ153" s="91">
        <f t="shared" si="67"/>
        <v>0</v>
      </c>
      <c r="BK153" s="92">
        <f t="shared" si="68"/>
        <v>0</v>
      </c>
      <c r="BL153" s="95"/>
    </row>
    <row r="154" spans="1:64">
      <c r="A154" s="61"/>
      <c r="B154" s="62"/>
      <c r="C154" s="63"/>
      <c r="D154" s="64"/>
      <c r="E154" s="64"/>
      <c r="F154" s="65"/>
      <c r="G154" s="66" t="str">
        <f t="shared" si="46"/>
        <v/>
      </c>
      <c r="H154" s="67" t="str">
        <f t="shared" si="47"/>
        <v/>
      </c>
      <c r="I154" s="68" t="str">
        <f t="shared" si="48"/>
        <v/>
      </c>
      <c r="J154" s="69" t="str">
        <f t="shared" si="49"/>
        <v/>
      </c>
      <c r="K154" s="70" t="str">
        <f t="shared" si="50"/>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51"/>
        <v>0</v>
      </c>
      <c r="AL154" s="74"/>
      <c r="AM154" s="74"/>
      <c r="AN154" s="81" t="str">
        <f t="shared" si="52"/>
        <v/>
      </c>
      <c r="AO154" s="82"/>
      <c r="AP154" s="75"/>
      <c r="AQ154" s="75"/>
      <c r="AR154" s="80">
        <f t="shared" si="53"/>
        <v>0</v>
      </c>
      <c r="AS154" s="74"/>
      <c r="AT154" s="75"/>
      <c r="AU154" s="75"/>
      <c r="AV154" s="75"/>
      <c r="AW154" s="80">
        <f t="shared" si="54"/>
        <v>0</v>
      </c>
      <c r="AX154" s="81" t="str">
        <f t="shared" si="55"/>
        <v/>
      </c>
      <c r="AY154" s="83" t="str">
        <f t="shared" si="56"/>
        <v/>
      </c>
      <c r="AZ154" s="80" t="str">
        <f t="shared" si="57"/>
        <v/>
      </c>
      <c r="BA154" s="84">
        <f t="shared" si="58"/>
        <v>0</v>
      </c>
      <c r="BB154" s="85" t="str">
        <f t="shared" si="59"/>
        <v/>
      </c>
      <c r="BC154" s="86" t="str">
        <f t="shared" si="60"/>
        <v/>
      </c>
      <c r="BD154" s="84">
        <f t="shared" si="61"/>
        <v>0</v>
      </c>
      <c r="BE154" s="87" t="str">
        <f t="shared" si="62"/>
        <v/>
      </c>
      <c r="BF154" s="88" t="str">
        <f t="shared" si="63"/>
        <v/>
      </c>
      <c r="BG154" s="89" t="str">
        <f t="shared" si="64"/>
        <v/>
      </c>
      <c r="BH154" s="90" t="str">
        <f t="shared" si="65"/>
        <v/>
      </c>
      <c r="BI154" s="90" t="str">
        <f t="shared" si="66"/>
        <v/>
      </c>
      <c r="BJ154" s="91">
        <f t="shared" si="67"/>
        <v>0</v>
      </c>
      <c r="BK154" s="92">
        <f t="shared" si="68"/>
        <v>0</v>
      </c>
      <c r="BL154" s="95"/>
    </row>
    <row r="155" spans="1:64">
      <c r="A155" s="61"/>
      <c r="B155" s="62"/>
      <c r="C155" s="63"/>
      <c r="D155" s="64"/>
      <c r="E155" s="64"/>
      <c r="F155" s="65"/>
      <c r="G155" s="66" t="str">
        <f t="shared" si="46"/>
        <v/>
      </c>
      <c r="H155" s="67" t="str">
        <f t="shared" si="47"/>
        <v/>
      </c>
      <c r="I155" s="68" t="str">
        <f t="shared" si="48"/>
        <v/>
      </c>
      <c r="J155" s="69" t="str">
        <f t="shared" si="49"/>
        <v/>
      </c>
      <c r="K155" s="70" t="str">
        <f t="shared" si="50"/>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51"/>
        <v>0</v>
      </c>
      <c r="AL155" s="74"/>
      <c r="AM155" s="74"/>
      <c r="AN155" s="81" t="str">
        <f t="shared" si="52"/>
        <v/>
      </c>
      <c r="AO155" s="82"/>
      <c r="AP155" s="75"/>
      <c r="AQ155" s="75"/>
      <c r="AR155" s="80">
        <f t="shared" si="53"/>
        <v>0</v>
      </c>
      <c r="AS155" s="74"/>
      <c r="AT155" s="75"/>
      <c r="AU155" s="75"/>
      <c r="AV155" s="75"/>
      <c r="AW155" s="80">
        <f t="shared" si="54"/>
        <v>0</v>
      </c>
      <c r="AX155" s="81" t="str">
        <f t="shared" si="55"/>
        <v/>
      </c>
      <c r="AY155" s="83" t="str">
        <f t="shared" si="56"/>
        <v/>
      </c>
      <c r="AZ155" s="80" t="str">
        <f t="shared" si="57"/>
        <v/>
      </c>
      <c r="BA155" s="84">
        <f t="shared" si="58"/>
        <v>0</v>
      </c>
      <c r="BB155" s="85" t="str">
        <f t="shared" si="59"/>
        <v/>
      </c>
      <c r="BC155" s="86" t="str">
        <f t="shared" si="60"/>
        <v/>
      </c>
      <c r="BD155" s="84">
        <f t="shared" si="61"/>
        <v>0</v>
      </c>
      <c r="BE155" s="87" t="str">
        <f t="shared" si="62"/>
        <v/>
      </c>
      <c r="BF155" s="88" t="str">
        <f t="shared" si="63"/>
        <v/>
      </c>
      <c r="BG155" s="89" t="str">
        <f t="shared" si="64"/>
        <v/>
      </c>
      <c r="BH155" s="90" t="str">
        <f t="shared" si="65"/>
        <v/>
      </c>
      <c r="BI155" s="90" t="str">
        <f t="shared" si="66"/>
        <v/>
      </c>
      <c r="BJ155" s="91">
        <f t="shared" si="67"/>
        <v>0</v>
      </c>
      <c r="BK155" s="92">
        <f t="shared" si="68"/>
        <v>0</v>
      </c>
      <c r="BL155" s="95"/>
    </row>
    <row r="156" spans="1:64">
      <c r="A156" s="61"/>
      <c r="B156" s="62"/>
      <c r="C156" s="63"/>
      <c r="D156" s="64"/>
      <c r="E156" s="64"/>
      <c r="F156" s="65"/>
      <c r="G156" s="66" t="str">
        <f t="shared" si="46"/>
        <v/>
      </c>
      <c r="H156" s="67" t="str">
        <f t="shared" si="47"/>
        <v/>
      </c>
      <c r="I156" s="68" t="str">
        <f t="shared" si="48"/>
        <v/>
      </c>
      <c r="J156" s="69" t="str">
        <f t="shared" si="49"/>
        <v/>
      </c>
      <c r="K156" s="70" t="str">
        <f t="shared" si="50"/>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51"/>
        <v>0</v>
      </c>
      <c r="AL156" s="74"/>
      <c r="AM156" s="74"/>
      <c r="AN156" s="81" t="str">
        <f t="shared" si="52"/>
        <v/>
      </c>
      <c r="AO156" s="82"/>
      <c r="AP156" s="75"/>
      <c r="AQ156" s="75"/>
      <c r="AR156" s="80">
        <f t="shared" si="53"/>
        <v>0</v>
      </c>
      <c r="AS156" s="74"/>
      <c r="AT156" s="75"/>
      <c r="AU156" s="75"/>
      <c r="AV156" s="75"/>
      <c r="AW156" s="80">
        <f t="shared" si="54"/>
        <v>0</v>
      </c>
      <c r="AX156" s="81" t="str">
        <f t="shared" si="55"/>
        <v/>
      </c>
      <c r="AY156" s="83" t="str">
        <f t="shared" si="56"/>
        <v/>
      </c>
      <c r="AZ156" s="80" t="str">
        <f t="shared" si="57"/>
        <v/>
      </c>
      <c r="BA156" s="84">
        <f t="shared" si="58"/>
        <v>0</v>
      </c>
      <c r="BB156" s="85" t="str">
        <f t="shared" si="59"/>
        <v/>
      </c>
      <c r="BC156" s="86" t="str">
        <f t="shared" si="60"/>
        <v/>
      </c>
      <c r="BD156" s="84">
        <f t="shared" si="61"/>
        <v>0</v>
      </c>
      <c r="BE156" s="87" t="str">
        <f t="shared" si="62"/>
        <v/>
      </c>
      <c r="BF156" s="88" t="str">
        <f t="shared" si="63"/>
        <v/>
      </c>
      <c r="BG156" s="89" t="str">
        <f t="shared" si="64"/>
        <v/>
      </c>
      <c r="BH156" s="90" t="str">
        <f t="shared" si="65"/>
        <v/>
      </c>
      <c r="BI156" s="90" t="str">
        <f t="shared" si="66"/>
        <v/>
      </c>
      <c r="BJ156" s="91">
        <f t="shared" si="67"/>
        <v>0</v>
      </c>
      <c r="BK156" s="92">
        <f t="shared" si="68"/>
        <v>0</v>
      </c>
      <c r="BL156" s="95"/>
    </row>
    <row r="157" spans="1:64">
      <c r="A157" s="61"/>
      <c r="B157" s="62"/>
      <c r="C157" s="63"/>
      <c r="D157" s="64"/>
      <c r="E157" s="64"/>
      <c r="F157" s="65"/>
      <c r="G157" s="66" t="str">
        <f t="shared" si="46"/>
        <v/>
      </c>
      <c r="H157" s="67" t="str">
        <f t="shared" si="47"/>
        <v/>
      </c>
      <c r="I157" s="68" t="str">
        <f t="shared" si="48"/>
        <v/>
      </c>
      <c r="J157" s="69" t="str">
        <f t="shared" si="49"/>
        <v/>
      </c>
      <c r="K157" s="70" t="str">
        <f t="shared" si="50"/>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51"/>
        <v>0</v>
      </c>
      <c r="AL157" s="74"/>
      <c r="AM157" s="74"/>
      <c r="AN157" s="81" t="str">
        <f t="shared" si="52"/>
        <v/>
      </c>
      <c r="AO157" s="82"/>
      <c r="AP157" s="75"/>
      <c r="AQ157" s="75"/>
      <c r="AR157" s="80">
        <f t="shared" si="53"/>
        <v>0</v>
      </c>
      <c r="AS157" s="74"/>
      <c r="AT157" s="75"/>
      <c r="AU157" s="75"/>
      <c r="AV157" s="75"/>
      <c r="AW157" s="80">
        <f t="shared" si="54"/>
        <v>0</v>
      </c>
      <c r="AX157" s="81" t="str">
        <f t="shared" si="55"/>
        <v/>
      </c>
      <c r="AY157" s="83" t="str">
        <f t="shared" si="56"/>
        <v/>
      </c>
      <c r="AZ157" s="80" t="str">
        <f t="shared" si="57"/>
        <v/>
      </c>
      <c r="BA157" s="84">
        <f t="shared" si="58"/>
        <v>0</v>
      </c>
      <c r="BB157" s="85" t="str">
        <f t="shared" si="59"/>
        <v/>
      </c>
      <c r="BC157" s="86" t="str">
        <f t="shared" si="60"/>
        <v/>
      </c>
      <c r="BD157" s="84">
        <f t="shared" si="61"/>
        <v>0</v>
      </c>
      <c r="BE157" s="87" t="str">
        <f t="shared" si="62"/>
        <v/>
      </c>
      <c r="BF157" s="88" t="str">
        <f t="shared" si="63"/>
        <v/>
      </c>
      <c r="BG157" s="89" t="str">
        <f t="shared" si="64"/>
        <v/>
      </c>
      <c r="BH157" s="90" t="str">
        <f t="shared" si="65"/>
        <v/>
      </c>
      <c r="BI157" s="90" t="str">
        <f t="shared" si="66"/>
        <v/>
      </c>
      <c r="BJ157" s="91">
        <f t="shared" si="67"/>
        <v>0</v>
      </c>
      <c r="BK157" s="92">
        <f t="shared" si="68"/>
        <v>0</v>
      </c>
      <c r="BL157" s="95"/>
    </row>
    <row r="158" spans="1:64">
      <c r="A158" s="61"/>
      <c r="B158" s="62"/>
      <c r="C158" s="63"/>
      <c r="D158" s="64"/>
      <c r="E158" s="64"/>
      <c r="F158" s="65"/>
      <c r="G158" s="66" t="str">
        <f t="shared" si="46"/>
        <v/>
      </c>
      <c r="H158" s="67" t="str">
        <f t="shared" si="47"/>
        <v/>
      </c>
      <c r="I158" s="68" t="str">
        <f t="shared" si="48"/>
        <v/>
      </c>
      <c r="J158" s="69" t="str">
        <f t="shared" si="49"/>
        <v/>
      </c>
      <c r="K158" s="70" t="str">
        <f t="shared" si="50"/>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51"/>
        <v>0</v>
      </c>
      <c r="AL158" s="74"/>
      <c r="AM158" s="74"/>
      <c r="AN158" s="81" t="str">
        <f t="shared" si="52"/>
        <v/>
      </c>
      <c r="AO158" s="82"/>
      <c r="AP158" s="75"/>
      <c r="AQ158" s="75"/>
      <c r="AR158" s="80">
        <f t="shared" si="53"/>
        <v>0</v>
      </c>
      <c r="AS158" s="74"/>
      <c r="AT158" s="75"/>
      <c r="AU158" s="75"/>
      <c r="AV158" s="75"/>
      <c r="AW158" s="80">
        <f t="shared" si="54"/>
        <v>0</v>
      </c>
      <c r="AX158" s="81" t="str">
        <f t="shared" si="55"/>
        <v/>
      </c>
      <c r="AY158" s="83" t="str">
        <f t="shared" si="56"/>
        <v/>
      </c>
      <c r="AZ158" s="80" t="str">
        <f t="shared" si="57"/>
        <v/>
      </c>
      <c r="BA158" s="84">
        <f t="shared" si="58"/>
        <v>0</v>
      </c>
      <c r="BB158" s="85" t="str">
        <f t="shared" si="59"/>
        <v/>
      </c>
      <c r="BC158" s="86" t="str">
        <f t="shared" si="60"/>
        <v/>
      </c>
      <c r="BD158" s="84">
        <f t="shared" si="61"/>
        <v>0</v>
      </c>
      <c r="BE158" s="87" t="str">
        <f t="shared" si="62"/>
        <v/>
      </c>
      <c r="BF158" s="88" t="str">
        <f t="shared" si="63"/>
        <v/>
      </c>
      <c r="BG158" s="89" t="str">
        <f t="shared" si="64"/>
        <v/>
      </c>
      <c r="BH158" s="90" t="str">
        <f t="shared" si="65"/>
        <v/>
      </c>
      <c r="BI158" s="90" t="str">
        <f t="shared" si="66"/>
        <v/>
      </c>
      <c r="BJ158" s="91">
        <f t="shared" si="67"/>
        <v>0</v>
      </c>
      <c r="BK158" s="92">
        <f t="shared" si="68"/>
        <v>0</v>
      </c>
      <c r="BL158" s="95"/>
    </row>
    <row r="159" spans="1:64">
      <c r="A159" s="61"/>
      <c r="B159" s="62"/>
      <c r="C159" s="63"/>
      <c r="D159" s="64"/>
      <c r="E159" s="64"/>
      <c r="F159" s="65"/>
      <c r="G159" s="66" t="str">
        <f t="shared" si="46"/>
        <v/>
      </c>
      <c r="H159" s="67" t="str">
        <f t="shared" si="47"/>
        <v/>
      </c>
      <c r="I159" s="68" t="str">
        <f t="shared" si="48"/>
        <v/>
      </c>
      <c r="J159" s="69" t="str">
        <f t="shared" si="49"/>
        <v/>
      </c>
      <c r="K159" s="70" t="str">
        <f t="shared" si="50"/>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51"/>
        <v>0</v>
      </c>
      <c r="AL159" s="74"/>
      <c r="AM159" s="74"/>
      <c r="AN159" s="81" t="str">
        <f t="shared" si="52"/>
        <v/>
      </c>
      <c r="AO159" s="82"/>
      <c r="AP159" s="75"/>
      <c r="AQ159" s="75"/>
      <c r="AR159" s="80">
        <f t="shared" si="53"/>
        <v>0</v>
      </c>
      <c r="AS159" s="74"/>
      <c r="AT159" s="75"/>
      <c r="AU159" s="75"/>
      <c r="AV159" s="75"/>
      <c r="AW159" s="80">
        <f t="shared" si="54"/>
        <v>0</v>
      </c>
      <c r="AX159" s="81" t="str">
        <f t="shared" si="55"/>
        <v/>
      </c>
      <c r="AY159" s="83" t="str">
        <f t="shared" si="56"/>
        <v/>
      </c>
      <c r="AZ159" s="80" t="str">
        <f t="shared" si="57"/>
        <v/>
      </c>
      <c r="BA159" s="84">
        <f t="shared" si="58"/>
        <v>0</v>
      </c>
      <c r="BB159" s="85" t="str">
        <f t="shared" si="59"/>
        <v/>
      </c>
      <c r="BC159" s="86" t="str">
        <f t="shared" si="60"/>
        <v/>
      </c>
      <c r="BD159" s="84">
        <f t="shared" si="61"/>
        <v>0</v>
      </c>
      <c r="BE159" s="87" t="str">
        <f t="shared" si="62"/>
        <v/>
      </c>
      <c r="BF159" s="88" t="str">
        <f t="shared" si="63"/>
        <v/>
      </c>
      <c r="BG159" s="89" t="str">
        <f t="shared" si="64"/>
        <v/>
      </c>
      <c r="BH159" s="90" t="str">
        <f t="shared" si="65"/>
        <v/>
      </c>
      <c r="BI159" s="90" t="str">
        <f t="shared" si="66"/>
        <v/>
      </c>
      <c r="BJ159" s="91">
        <f t="shared" si="67"/>
        <v>0</v>
      </c>
      <c r="BK159" s="92">
        <f t="shared" si="68"/>
        <v>0</v>
      </c>
      <c r="BL159" s="95"/>
    </row>
    <row r="160" spans="1:64">
      <c r="A160" s="61"/>
      <c r="B160" s="62"/>
      <c r="C160" s="63"/>
      <c r="D160" s="64"/>
      <c r="E160" s="64"/>
      <c r="F160" s="65"/>
      <c r="G160" s="66" t="str">
        <f t="shared" si="46"/>
        <v/>
      </c>
      <c r="H160" s="67" t="str">
        <f t="shared" si="47"/>
        <v/>
      </c>
      <c r="I160" s="68" t="str">
        <f t="shared" si="48"/>
        <v/>
      </c>
      <c r="J160" s="69" t="str">
        <f t="shared" si="49"/>
        <v/>
      </c>
      <c r="K160" s="70" t="str">
        <f t="shared" si="50"/>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51"/>
        <v>0</v>
      </c>
      <c r="AL160" s="74"/>
      <c r="AM160" s="74"/>
      <c r="AN160" s="81" t="str">
        <f t="shared" si="52"/>
        <v/>
      </c>
      <c r="AO160" s="82"/>
      <c r="AP160" s="75"/>
      <c r="AQ160" s="75"/>
      <c r="AR160" s="80">
        <f t="shared" si="53"/>
        <v>0</v>
      </c>
      <c r="AS160" s="74"/>
      <c r="AT160" s="75"/>
      <c r="AU160" s="75"/>
      <c r="AV160" s="75"/>
      <c r="AW160" s="80">
        <f t="shared" si="54"/>
        <v>0</v>
      </c>
      <c r="AX160" s="81" t="str">
        <f t="shared" si="55"/>
        <v/>
      </c>
      <c r="AY160" s="83" t="str">
        <f t="shared" si="56"/>
        <v/>
      </c>
      <c r="AZ160" s="80" t="str">
        <f t="shared" si="57"/>
        <v/>
      </c>
      <c r="BA160" s="84">
        <f t="shared" si="58"/>
        <v>0</v>
      </c>
      <c r="BB160" s="85" t="str">
        <f t="shared" si="59"/>
        <v/>
      </c>
      <c r="BC160" s="86" t="str">
        <f t="shared" si="60"/>
        <v/>
      </c>
      <c r="BD160" s="84">
        <f t="shared" si="61"/>
        <v>0</v>
      </c>
      <c r="BE160" s="87" t="str">
        <f t="shared" si="62"/>
        <v/>
      </c>
      <c r="BF160" s="88" t="str">
        <f t="shared" si="63"/>
        <v/>
      </c>
      <c r="BG160" s="89" t="str">
        <f t="shared" si="64"/>
        <v/>
      </c>
      <c r="BH160" s="90" t="str">
        <f t="shared" si="65"/>
        <v/>
      </c>
      <c r="BI160" s="90" t="str">
        <f t="shared" si="66"/>
        <v/>
      </c>
      <c r="BJ160" s="91">
        <f t="shared" si="67"/>
        <v>0</v>
      </c>
      <c r="BK160" s="92">
        <f t="shared" si="68"/>
        <v>0</v>
      </c>
      <c r="BL160" s="95"/>
    </row>
    <row r="161" spans="1:64">
      <c r="A161" s="61"/>
      <c r="B161" s="62"/>
      <c r="C161" s="63"/>
      <c r="D161" s="64"/>
      <c r="E161" s="64"/>
      <c r="F161" s="65"/>
      <c r="G161" s="66" t="str">
        <f t="shared" si="46"/>
        <v/>
      </c>
      <c r="H161" s="67" t="str">
        <f t="shared" si="47"/>
        <v/>
      </c>
      <c r="I161" s="68" t="str">
        <f t="shared" si="48"/>
        <v/>
      </c>
      <c r="J161" s="69" t="str">
        <f t="shared" si="49"/>
        <v/>
      </c>
      <c r="K161" s="70" t="str">
        <f t="shared" si="50"/>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51"/>
        <v>0</v>
      </c>
      <c r="AL161" s="74"/>
      <c r="AM161" s="74"/>
      <c r="AN161" s="81" t="str">
        <f t="shared" si="52"/>
        <v/>
      </c>
      <c r="AO161" s="82"/>
      <c r="AP161" s="75"/>
      <c r="AQ161" s="75"/>
      <c r="AR161" s="80">
        <f t="shared" si="53"/>
        <v>0</v>
      </c>
      <c r="AS161" s="74"/>
      <c r="AT161" s="75"/>
      <c r="AU161" s="75"/>
      <c r="AV161" s="75"/>
      <c r="AW161" s="80">
        <f t="shared" si="54"/>
        <v>0</v>
      </c>
      <c r="AX161" s="81" t="str">
        <f t="shared" si="55"/>
        <v/>
      </c>
      <c r="AY161" s="83" t="str">
        <f t="shared" si="56"/>
        <v/>
      </c>
      <c r="AZ161" s="80" t="str">
        <f t="shared" si="57"/>
        <v/>
      </c>
      <c r="BA161" s="84">
        <f t="shared" si="58"/>
        <v>0</v>
      </c>
      <c r="BB161" s="85" t="str">
        <f t="shared" si="59"/>
        <v/>
      </c>
      <c r="BC161" s="86" t="str">
        <f t="shared" si="60"/>
        <v/>
      </c>
      <c r="BD161" s="84">
        <f t="shared" si="61"/>
        <v>0</v>
      </c>
      <c r="BE161" s="87" t="str">
        <f t="shared" si="62"/>
        <v/>
      </c>
      <c r="BF161" s="88" t="str">
        <f t="shared" si="63"/>
        <v/>
      </c>
      <c r="BG161" s="89" t="str">
        <f t="shared" si="64"/>
        <v/>
      </c>
      <c r="BH161" s="90" t="str">
        <f t="shared" si="65"/>
        <v/>
      </c>
      <c r="BI161" s="90" t="str">
        <f t="shared" si="66"/>
        <v/>
      </c>
      <c r="BJ161" s="91">
        <f t="shared" si="67"/>
        <v>0</v>
      </c>
      <c r="BK161" s="92">
        <f t="shared" si="68"/>
        <v>0</v>
      </c>
      <c r="BL161" s="95"/>
    </row>
    <row r="162" spans="1:64">
      <c r="A162" s="61"/>
      <c r="B162" s="62"/>
      <c r="C162" s="63"/>
      <c r="D162" s="64"/>
      <c r="E162" s="64"/>
      <c r="F162" s="65"/>
      <c r="G162" s="66" t="str">
        <f t="shared" si="46"/>
        <v/>
      </c>
      <c r="H162" s="67" t="str">
        <f t="shared" si="47"/>
        <v/>
      </c>
      <c r="I162" s="68" t="str">
        <f t="shared" si="48"/>
        <v/>
      </c>
      <c r="J162" s="69" t="str">
        <f t="shared" si="49"/>
        <v/>
      </c>
      <c r="K162" s="70" t="str">
        <f t="shared" si="50"/>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51"/>
        <v>0</v>
      </c>
      <c r="AL162" s="74"/>
      <c r="AM162" s="74"/>
      <c r="AN162" s="81" t="str">
        <f t="shared" si="52"/>
        <v/>
      </c>
      <c r="AO162" s="82"/>
      <c r="AP162" s="75"/>
      <c r="AQ162" s="75"/>
      <c r="AR162" s="80">
        <f t="shared" si="53"/>
        <v>0</v>
      </c>
      <c r="AS162" s="74"/>
      <c r="AT162" s="75"/>
      <c r="AU162" s="75"/>
      <c r="AV162" s="75"/>
      <c r="AW162" s="80">
        <f t="shared" si="54"/>
        <v>0</v>
      </c>
      <c r="AX162" s="81" t="str">
        <f t="shared" si="55"/>
        <v/>
      </c>
      <c r="AY162" s="83" t="str">
        <f t="shared" si="56"/>
        <v/>
      </c>
      <c r="AZ162" s="80" t="str">
        <f t="shared" si="57"/>
        <v/>
      </c>
      <c r="BA162" s="84">
        <f t="shared" si="58"/>
        <v>0</v>
      </c>
      <c r="BB162" s="85" t="str">
        <f t="shared" si="59"/>
        <v/>
      </c>
      <c r="BC162" s="86" t="str">
        <f t="shared" si="60"/>
        <v/>
      </c>
      <c r="BD162" s="84">
        <f t="shared" si="61"/>
        <v>0</v>
      </c>
      <c r="BE162" s="87" t="str">
        <f t="shared" si="62"/>
        <v/>
      </c>
      <c r="BF162" s="88" t="str">
        <f t="shared" si="63"/>
        <v/>
      </c>
      <c r="BG162" s="89" t="str">
        <f t="shared" si="64"/>
        <v/>
      </c>
      <c r="BH162" s="90" t="str">
        <f t="shared" si="65"/>
        <v/>
      </c>
      <c r="BI162" s="90" t="str">
        <f t="shared" si="66"/>
        <v/>
      </c>
      <c r="BJ162" s="91">
        <f t="shared" si="67"/>
        <v>0</v>
      </c>
      <c r="BK162" s="92">
        <f t="shared" si="68"/>
        <v>0</v>
      </c>
      <c r="BL162" s="95"/>
    </row>
    <row r="163" spans="1:64">
      <c r="A163" s="61"/>
      <c r="B163" s="62"/>
      <c r="C163" s="63"/>
      <c r="D163" s="64"/>
      <c r="E163" s="64"/>
      <c r="F163" s="65"/>
      <c r="G163" s="66" t="str">
        <f t="shared" si="46"/>
        <v/>
      </c>
      <c r="H163" s="67" t="str">
        <f t="shared" si="47"/>
        <v/>
      </c>
      <c r="I163" s="68" t="str">
        <f t="shared" si="48"/>
        <v/>
      </c>
      <c r="J163" s="69" t="str">
        <f t="shared" si="49"/>
        <v/>
      </c>
      <c r="K163" s="70" t="str">
        <f t="shared" si="50"/>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51"/>
        <v>0</v>
      </c>
      <c r="AL163" s="74"/>
      <c r="AM163" s="74"/>
      <c r="AN163" s="81" t="str">
        <f t="shared" si="52"/>
        <v/>
      </c>
      <c r="AO163" s="82"/>
      <c r="AP163" s="75"/>
      <c r="AQ163" s="75"/>
      <c r="AR163" s="80">
        <f t="shared" si="53"/>
        <v>0</v>
      </c>
      <c r="AS163" s="74"/>
      <c r="AT163" s="75"/>
      <c r="AU163" s="75"/>
      <c r="AV163" s="75"/>
      <c r="AW163" s="80">
        <f t="shared" si="54"/>
        <v>0</v>
      </c>
      <c r="AX163" s="81" t="str">
        <f t="shared" si="55"/>
        <v/>
      </c>
      <c r="AY163" s="83" t="str">
        <f t="shared" si="56"/>
        <v/>
      </c>
      <c r="AZ163" s="80" t="str">
        <f t="shared" si="57"/>
        <v/>
      </c>
      <c r="BA163" s="84">
        <f t="shared" si="58"/>
        <v>0</v>
      </c>
      <c r="BB163" s="85" t="str">
        <f t="shared" si="59"/>
        <v/>
      </c>
      <c r="BC163" s="86" t="str">
        <f t="shared" si="60"/>
        <v/>
      </c>
      <c r="BD163" s="84">
        <f t="shared" si="61"/>
        <v>0</v>
      </c>
      <c r="BE163" s="87" t="str">
        <f t="shared" si="62"/>
        <v/>
      </c>
      <c r="BF163" s="88" t="str">
        <f t="shared" si="63"/>
        <v/>
      </c>
      <c r="BG163" s="89" t="str">
        <f t="shared" si="64"/>
        <v/>
      </c>
      <c r="BH163" s="90" t="str">
        <f t="shared" si="65"/>
        <v/>
      </c>
      <c r="BI163" s="90" t="str">
        <f t="shared" si="66"/>
        <v/>
      </c>
      <c r="BJ163" s="91">
        <f t="shared" si="67"/>
        <v>0</v>
      </c>
      <c r="BK163" s="92">
        <f t="shared" si="68"/>
        <v>0</v>
      </c>
      <c r="BL163" s="95"/>
    </row>
    <row r="164" spans="1:64">
      <c r="A164" s="61"/>
      <c r="B164" s="62"/>
      <c r="C164" s="63"/>
      <c r="D164" s="64"/>
      <c r="E164" s="64"/>
      <c r="F164" s="65"/>
      <c r="G164" s="66" t="str">
        <f t="shared" si="46"/>
        <v/>
      </c>
      <c r="H164" s="67" t="str">
        <f t="shared" si="47"/>
        <v/>
      </c>
      <c r="I164" s="68" t="str">
        <f t="shared" si="48"/>
        <v/>
      </c>
      <c r="J164" s="69" t="str">
        <f t="shared" si="49"/>
        <v/>
      </c>
      <c r="K164" s="70" t="str">
        <f t="shared" si="50"/>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51"/>
        <v>0</v>
      </c>
      <c r="AL164" s="74"/>
      <c r="AM164" s="74"/>
      <c r="AN164" s="81" t="str">
        <f t="shared" si="52"/>
        <v/>
      </c>
      <c r="AO164" s="82"/>
      <c r="AP164" s="75"/>
      <c r="AQ164" s="75"/>
      <c r="AR164" s="80">
        <f t="shared" si="53"/>
        <v>0</v>
      </c>
      <c r="AS164" s="74"/>
      <c r="AT164" s="75"/>
      <c r="AU164" s="75"/>
      <c r="AV164" s="75"/>
      <c r="AW164" s="80">
        <f t="shared" si="54"/>
        <v>0</v>
      </c>
      <c r="AX164" s="81" t="str">
        <f t="shared" si="55"/>
        <v/>
      </c>
      <c r="AY164" s="83" t="str">
        <f t="shared" si="56"/>
        <v/>
      </c>
      <c r="AZ164" s="80" t="str">
        <f t="shared" si="57"/>
        <v/>
      </c>
      <c r="BA164" s="84">
        <f t="shared" si="58"/>
        <v>0</v>
      </c>
      <c r="BB164" s="85" t="str">
        <f t="shared" si="59"/>
        <v/>
      </c>
      <c r="BC164" s="86" t="str">
        <f t="shared" si="60"/>
        <v/>
      </c>
      <c r="BD164" s="84">
        <f t="shared" si="61"/>
        <v>0</v>
      </c>
      <c r="BE164" s="87" t="str">
        <f t="shared" si="62"/>
        <v/>
      </c>
      <c r="BF164" s="88" t="str">
        <f t="shared" si="63"/>
        <v/>
      </c>
      <c r="BG164" s="89" t="str">
        <f t="shared" si="64"/>
        <v/>
      </c>
      <c r="BH164" s="90" t="str">
        <f t="shared" si="65"/>
        <v/>
      </c>
      <c r="BI164" s="90" t="str">
        <f t="shared" si="66"/>
        <v/>
      </c>
      <c r="BJ164" s="91">
        <f t="shared" si="67"/>
        <v>0</v>
      </c>
      <c r="BK164" s="92">
        <f t="shared" si="68"/>
        <v>0</v>
      </c>
      <c r="BL164" s="95"/>
    </row>
    <row r="165" spans="1:64">
      <c r="A165" s="61"/>
      <c r="B165" s="62"/>
      <c r="C165" s="63"/>
      <c r="D165" s="64"/>
      <c r="E165" s="64"/>
      <c r="F165" s="65"/>
      <c r="G165" s="66" t="str">
        <f t="shared" si="46"/>
        <v/>
      </c>
      <c r="H165" s="67" t="str">
        <f t="shared" si="47"/>
        <v/>
      </c>
      <c r="I165" s="68" t="str">
        <f t="shared" si="48"/>
        <v/>
      </c>
      <c r="J165" s="69" t="str">
        <f t="shared" si="49"/>
        <v/>
      </c>
      <c r="K165" s="70" t="str">
        <f t="shared" si="50"/>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51"/>
        <v>0</v>
      </c>
      <c r="AL165" s="74"/>
      <c r="AM165" s="74"/>
      <c r="AN165" s="81" t="str">
        <f t="shared" si="52"/>
        <v/>
      </c>
      <c r="AO165" s="82"/>
      <c r="AP165" s="75"/>
      <c r="AQ165" s="75"/>
      <c r="AR165" s="80">
        <f t="shared" si="53"/>
        <v>0</v>
      </c>
      <c r="AS165" s="74"/>
      <c r="AT165" s="75"/>
      <c r="AU165" s="75"/>
      <c r="AV165" s="75"/>
      <c r="AW165" s="80">
        <f t="shared" si="54"/>
        <v>0</v>
      </c>
      <c r="AX165" s="81" t="str">
        <f t="shared" si="55"/>
        <v/>
      </c>
      <c r="AY165" s="83" t="str">
        <f t="shared" si="56"/>
        <v/>
      </c>
      <c r="AZ165" s="80" t="str">
        <f t="shared" si="57"/>
        <v/>
      </c>
      <c r="BA165" s="84">
        <f t="shared" si="58"/>
        <v>0</v>
      </c>
      <c r="BB165" s="85" t="str">
        <f t="shared" si="59"/>
        <v/>
      </c>
      <c r="BC165" s="86" t="str">
        <f t="shared" si="60"/>
        <v/>
      </c>
      <c r="BD165" s="84">
        <f t="shared" si="61"/>
        <v>0</v>
      </c>
      <c r="BE165" s="87" t="str">
        <f t="shared" si="62"/>
        <v/>
      </c>
      <c r="BF165" s="88" t="str">
        <f t="shared" si="63"/>
        <v/>
      </c>
      <c r="BG165" s="89" t="str">
        <f t="shared" si="64"/>
        <v/>
      </c>
      <c r="BH165" s="90" t="str">
        <f t="shared" si="65"/>
        <v/>
      </c>
      <c r="BI165" s="90" t="str">
        <f t="shared" si="66"/>
        <v/>
      </c>
      <c r="BJ165" s="91">
        <f t="shared" si="67"/>
        <v>0</v>
      </c>
      <c r="BK165" s="92">
        <f t="shared" si="68"/>
        <v>0</v>
      </c>
      <c r="BL165" s="95"/>
    </row>
    <row r="166" spans="1:64">
      <c r="A166" s="61"/>
      <c r="B166" s="62"/>
      <c r="C166" s="63"/>
      <c r="D166" s="64"/>
      <c r="E166" s="64"/>
      <c r="F166" s="65"/>
      <c r="G166" s="66" t="str">
        <f t="shared" si="46"/>
        <v/>
      </c>
      <c r="H166" s="67" t="str">
        <f t="shared" si="47"/>
        <v/>
      </c>
      <c r="I166" s="68" t="str">
        <f t="shared" si="48"/>
        <v/>
      </c>
      <c r="J166" s="69" t="str">
        <f t="shared" si="49"/>
        <v/>
      </c>
      <c r="K166" s="70" t="str">
        <f t="shared" si="50"/>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51"/>
        <v>0</v>
      </c>
      <c r="AL166" s="74"/>
      <c r="AM166" s="74"/>
      <c r="AN166" s="81" t="str">
        <f t="shared" si="52"/>
        <v/>
      </c>
      <c r="AO166" s="82"/>
      <c r="AP166" s="75"/>
      <c r="AQ166" s="75"/>
      <c r="AR166" s="80">
        <f t="shared" si="53"/>
        <v>0</v>
      </c>
      <c r="AS166" s="74"/>
      <c r="AT166" s="75"/>
      <c r="AU166" s="75"/>
      <c r="AV166" s="75"/>
      <c r="AW166" s="80">
        <f t="shared" si="54"/>
        <v>0</v>
      </c>
      <c r="AX166" s="81" t="str">
        <f t="shared" si="55"/>
        <v/>
      </c>
      <c r="AY166" s="83" t="str">
        <f t="shared" si="56"/>
        <v/>
      </c>
      <c r="AZ166" s="80" t="str">
        <f t="shared" si="57"/>
        <v/>
      </c>
      <c r="BA166" s="84">
        <f t="shared" si="58"/>
        <v>0</v>
      </c>
      <c r="BB166" s="85" t="str">
        <f t="shared" si="59"/>
        <v/>
      </c>
      <c r="BC166" s="86" t="str">
        <f t="shared" si="60"/>
        <v/>
      </c>
      <c r="BD166" s="84">
        <f t="shared" si="61"/>
        <v>0</v>
      </c>
      <c r="BE166" s="87" t="str">
        <f t="shared" si="62"/>
        <v/>
      </c>
      <c r="BF166" s="88" t="str">
        <f t="shared" si="63"/>
        <v/>
      </c>
      <c r="BG166" s="89" t="str">
        <f t="shared" si="64"/>
        <v/>
      </c>
      <c r="BH166" s="90" t="str">
        <f t="shared" si="65"/>
        <v/>
      </c>
      <c r="BI166" s="90" t="str">
        <f t="shared" si="66"/>
        <v/>
      </c>
      <c r="BJ166" s="91">
        <f t="shared" si="67"/>
        <v>0</v>
      </c>
      <c r="BK166" s="92">
        <f t="shared" si="68"/>
        <v>0</v>
      </c>
      <c r="BL166" s="95"/>
    </row>
    <row r="167" spans="1:64">
      <c r="A167" s="61"/>
      <c r="B167" s="62"/>
      <c r="C167" s="63"/>
      <c r="D167" s="64"/>
      <c r="E167" s="64"/>
      <c r="F167" s="65"/>
      <c r="G167" s="66" t="str">
        <f t="shared" si="46"/>
        <v/>
      </c>
      <c r="H167" s="67" t="str">
        <f t="shared" si="47"/>
        <v/>
      </c>
      <c r="I167" s="68" t="str">
        <f t="shared" si="48"/>
        <v/>
      </c>
      <c r="J167" s="69" t="str">
        <f t="shared" si="49"/>
        <v/>
      </c>
      <c r="K167" s="70" t="str">
        <f t="shared" si="50"/>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51"/>
        <v>0</v>
      </c>
      <c r="AL167" s="74"/>
      <c r="AM167" s="74"/>
      <c r="AN167" s="81" t="str">
        <f t="shared" si="52"/>
        <v/>
      </c>
      <c r="AO167" s="82"/>
      <c r="AP167" s="75"/>
      <c r="AQ167" s="75"/>
      <c r="AR167" s="80">
        <f t="shared" si="53"/>
        <v>0</v>
      </c>
      <c r="AS167" s="74"/>
      <c r="AT167" s="75"/>
      <c r="AU167" s="75"/>
      <c r="AV167" s="75"/>
      <c r="AW167" s="80">
        <f t="shared" si="54"/>
        <v>0</v>
      </c>
      <c r="AX167" s="81" t="str">
        <f t="shared" si="55"/>
        <v/>
      </c>
      <c r="AY167" s="83" t="str">
        <f t="shared" si="56"/>
        <v/>
      </c>
      <c r="AZ167" s="80" t="str">
        <f t="shared" si="57"/>
        <v/>
      </c>
      <c r="BA167" s="84">
        <f t="shared" si="58"/>
        <v>0</v>
      </c>
      <c r="BB167" s="85" t="str">
        <f t="shared" si="59"/>
        <v/>
      </c>
      <c r="BC167" s="86" t="str">
        <f t="shared" si="60"/>
        <v/>
      </c>
      <c r="BD167" s="84">
        <f t="shared" si="61"/>
        <v>0</v>
      </c>
      <c r="BE167" s="87" t="str">
        <f t="shared" si="62"/>
        <v/>
      </c>
      <c r="BF167" s="88" t="str">
        <f t="shared" si="63"/>
        <v/>
      </c>
      <c r="BG167" s="89" t="str">
        <f t="shared" si="64"/>
        <v/>
      </c>
      <c r="BH167" s="90" t="str">
        <f t="shared" si="65"/>
        <v/>
      </c>
      <c r="BI167" s="90" t="str">
        <f t="shared" si="66"/>
        <v/>
      </c>
      <c r="BJ167" s="91">
        <f t="shared" si="67"/>
        <v>0</v>
      </c>
      <c r="BK167" s="92">
        <f t="shared" si="68"/>
        <v>0</v>
      </c>
      <c r="BL167" s="95"/>
    </row>
    <row r="168" spans="1:64">
      <c r="A168" s="61"/>
      <c r="B168" s="62"/>
      <c r="C168" s="63"/>
      <c r="D168" s="64"/>
      <c r="E168" s="64"/>
      <c r="F168" s="65"/>
      <c r="G168" s="66" t="str">
        <f t="shared" si="46"/>
        <v/>
      </c>
      <c r="H168" s="67" t="str">
        <f t="shared" si="47"/>
        <v/>
      </c>
      <c r="I168" s="68" t="str">
        <f t="shared" si="48"/>
        <v/>
      </c>
      <c r="J168" s="69" t="str">
        <f t="shared" si="49"/>
        <v/>
      </c>
      <c r="K168" s="70" t="str">
        <f t="shared" si="50"/>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51"/>
        <v>0</v>
      </c>
      <c r="AL168" s="74"/>
      <c r="AM168" s="74"/>
      <c r="AN168" s="81" t="str">
        <f t="shared" si="52"/>
        <v/>
      </c>
      <c r="AO168" s="82"/>
      <c r="AP168" s="75"/>
      <c r="AQ168" s="75"/>
      <c r="AR168" s="80">
        <f t="shared" si="53"/>
        <v>0</v>
      </c>
      <c r="AS168" s="74"/>
      <c r="AT168" s="75"/>
      <c r="AU168" s="75"/>
      <c r="AV168" s="75"/>
      <c r="AW168" s="80">
        <f t="shared" si="54"/>
        <v>0</v>
      </c>
      <c r="AX168" s="81" t="str">
        <f t="shared" si="55"/>
        <v/>
      </c>
      <c r="AY168" s="83" t="str">
        <f t="shared" si="56"/>
        <v/>
      </c>
      <c r="AZ168" s="80" t="str">
        <f t="shared" si="57"/>
        <v/>
      </c>
      <c r="BA168" s="84">
        <f t="shared" si="58"/>
        <v>0</v>
      </c>
      <c r="BB168" s="85" t="str">
        <f t="shared" si="59"/>
        <v/>
      </c>
      <c r="BC168" s="86" t="str">
        <f t="shared" si="60"/>
        <v/>
      </c>
      <c r="BD168" s="84">
        <f t="shared" si="61"/>
        <v>0</v>
      </c>
      <c r="BE168" s="87" t="str">
        <f t="shared" si="62"/>
        <v/>
      </c>
      <c r="BF168" s="88" t="str">
        <f t="shared" si="63"/>
        <v/>
      </c>
      <c r="BG168" s="89" t="str">
        <f t="shared" si="64"/>
        <v/>
      </c>
      <c r="BH168" s="90" t="str">
        <f t="shared" si="65"/>
        <v/>
      </c>
      <c r="BI168" s="90" t="str">
        <f t="shared" si="66"/>
        <v/>
      </c>
      <c r="BJ168" s="91">
        <f t="shared" si="67"/>
        <v>0</v>
      </c>
      <c r="BK168" s="92">
        <f t="shared" si="68"/>
        <v>0</v>
      </c>
      <c r="BL168" s="95"/>
    </row>
    <row r="169" spans="1:64">
      <c r="A169" s="61"/>
      <c r="B169" s="62"/>
      <c r="C169" s="63"/>
      <c r="D169" s="64"/>
      <c r="E169" s="64"/>
      <c r="F169" s="65"/>
      <c r="G169" s="66" t="str">
        <f t="shared" si="46"/>
        <v/>
      </c>
      <c r="H169" s="67" t="str">
        <f t="shared" si="47"/>
        <v/>
      </c>
      <c r="I169" s="68" t="str">
        <f t="shared" si="48"/>
        <v/>
      </c>
      <c r="J169" s="69" t="str">
        <f t="shared" si="49"/>
        <v/>
      </c>
      <c r="K169" s="70" t="str">
        <f t="shared" si="50"/>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51"/>
        <v>0</v>
      </c>
      <c r="AL169" s="74"/>
      <c r="AM169" s="74"/>
      <c r="AN169" s="81" t="str">
        <f t="shared" si="52"/>
        <v/>
      </c>
      <c r="AO169" s="82"/>
      <c r="AP169" s="75"/>
      <c r="AQ169" s="75"/>
      <c r="AR169" s="80">
        <f t="shared" si="53"/>
        <v>0</v>
      </c>
      <c r="AS169" s="74"/>
      <c r="AT169" s="75"/>
      <c r="AU169" s="75"/>
      <c r="AV169" s="75"/>
      <c r="AW169" s="80">
        <f t="shared" si="54"/>
        <v>0</v>
      </c>
      <c r="AX169" s="81" t="str">
        <f t="shared" si="55"/>
        <v/>
      </c>
      <c r="AY169" s="83" t="str">
        <f t="shared" si="56"/>
        <v/>
      </c>
      <c r="AZ169" s="80" t="str">
        <f t="shared" si="57"/>
        <v/>
      </c>
      <c r="BA169" s="84">
        <f t="shared" si="58"/>
        <v>0</v>
      </c>
      <c r="BB169" s="85" t="str">
        <f t="shared" si="59"/>
        <v/>
      </c>
      <c r="BC169" s="86" t="str">
        <f t="shared" si="60"/>
        <v/>
      </c>
      <c r="BD169" s="84">
        <f t="shared" si="61"/>
        <v>0</v>
      </c>
      <c r="BE169" s="87" t="str">
        <f t="shared" si="62"/>
        <v/>
      </c>
      <c r="BF169" s="88" t="str">
        <f t="shared" si="63"/>
        <v/>
      </c>
      <c r="BG169" s="89" t="str">
        <f t="shared" si="64"/>
        <v/>
      </c>
      <c r="BH169" s="90" t="str">
        <f t="shared" si="65"/>
        <v/>
      </c>
      <c r="BI169" s="90" t="str">
        <f t="shared" si="66"/>
        <v/>
      </c>
      <c r="BJ169" s="91">
        <f t="shared" si="67"/>
        <v>0</v>
      </c>
      <c r="BK169" s="92">
        <f t="shared" si="68"/>
        <v>0</v>
      </c>
      <c r="BL169" s="95"/>
    </row>
    <row r="170" spans="1:64">
      <c r="A170" s="61"/>
      <c r="B170" s="62"/>
      <c r="C170" s="63"/>
      <c r="D170" s="64"/>
      <c r="E170" s="64"/>
      <c r="F170" s="65"/>
      <c r="G170" s="66" t="str">
        <f t="shared" si="46"/>
        <v/>
      </c>
      <c r="H170" s="67" t="str">
        <f t="shared" si="47"/>
        <v/>
      </c>
      <c r="I170" s="68" t="str">
        <f t="shared" si="48"/>
        <v/>
      </c>
      <c r="J170" s="69" t="str">
        <f t="shared" si="49"/>
        <v/>
      </c>
      <c r="K170" s="70" t="str">
        <f t="shared" si="50"/>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51"/>
        <v>0</v>
      </c>
      <c r="AL170" s="74"/>
      <c r="AM170" s="74"/>
      <c r="AN170" s="81" t="str">
        <f t="shared" si="52"/>
        <v/>
      </c>
      <c r="AO170" s="82"/>
      <c r="AP170" s="75"/>
      <c r="AQ170" s="75"/>
      <c r="AR170" s="80">
        <f t="shared" si="53"/>
        <v>0</v>
      </c>
      <c r="AS170" s="74"/>
      <c r="AT170" s="75"/>
      <c r="AU170" s="75"/>
      <c r="AV170" s="75"/>
      <c r="AW170" s="80">
        <f t="shared" si="54"/>
        <v>0</v>
      </c>
      <c r="AX170" s="81" t="str">
        <f t="shared" si="55"/>
        <v/>
      </c>
      <c r="AY170" s="83" t="str">
        <f t="shared" si="56"/>
        <v/>
      </c>
      <c r="AZ170" s="80" t="str">
        <f t="shared" si="57"/>
        <v/>
      </c>
      <c r="BA170" s="84">
        <f t="shared" si="58"/>
        <v>0</v>
      </c>
      <c r="BB170" s="85" t="str">
        <f t="shared" si="59"/>
        <v/>
      </c>
      <c r="BC170" s="86" t="str">
        <f t="shared" si="60"/>
        <v/>
      </c>
      <c r="BD170" s="84">
        <f t="shared" si="61"/>
        <v>0</v>
      </c>
      <c r="BE170" s="87" t="str">
        <f t="shared" si="62"/>
        <v/>
      </c>
      <c r="BF170" s="88" t="str">
        <f t="shared" si="63"/>
        <v/>
      </c>
      <c r="BG170" s="89" t="str">
        <f t="shared" si="64"/>
        <v/>
      </c>
      <c r="BH170" s="90" t="str">
        <f t="shared" si="65"/>
        <v/>
      </c>
      <c r="BI170" s="90" t="str">
        <f t="shared" si="66"/>
        <v/>
      </c>
      <c r="BJ170" s="91">
        <f t="shared" si="67"/>
        <v>0</v>
      </c>
      <c r="BK170" s="92">
        <f t="shared" si="68"/>
        <v>0</v>
      </c>
      <c r="BL170" s="95"/>
    </row>
    <row r="171" spans="1:64">
      <c r="A171" s="61"/>
      <c r="B171" s="62"/>
      <c r="C171" s="63"/>
      <c r="D171" s="64"/>
      <c r="E171" s="64"/>
      <c r="F171" s="65"/>
      <c r="G171" s="66" t="str">
        <f t="shared" si="46"/>
        <v/>
      </c>
      <c r="H171" s="67" t="str">
        <f t="shared" si="47"/>
        <v/>
      </c>
      <c r="I171" s="68" t="str">
        <f t="shared" si="48"/>
        <v/>
      </c>
      <c r="J171" s="69" t="str">
        <f t="shared" si="49"/>
        <v/>
      </c>
      <c r="K171" s="70" t="str">
        <f t="shared" si="50"/>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51"/>
        <v>0</v>
      </c>
      <c r="AL171" s="74"/>
      <c r="AM171" s="74"/>
      <c r="AN171" s="81" t="str">
        <f t="shared" si="52"/>
        <v/>
      </c>
      <c r="AO171" s="82"/>
      <c r="AP171" s="75"/>
      <c r="AQ171" s="75"/>
      <c r="AR171" s="80">
        <f t="shared" si="53"/>
        <v>0</v>
      </c>
      <c r="AS171" s="74"/>
      <c r="AT171" s="75"/>
      <c r="AU171" s="75"/>
      <c r="AV171" s="75"/>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c r="A172" s="61"/>
      <c r="B172" s="62"/>
      <c r="C172" s="63"/>
      <c r="D172" s="64"/>
      <c r="E172" s="64"/>
      <c r="F172" s="65"/>
      <c r="G172" s="66" t="str">
        <f t="shared" si="46"/>
        <v/>
      </c>
      <c r="H172" s="67" t="str">
        <f t="shared" si="47"/>
        <v/>
      </c>
      <c r="I172" s="68" t="str">
        <f t="shared" si="48"/>
        <v/>
      </c>
      <c r="J172" s="69" t="str">
        <f t="shared" si="49"/>
        <v/>
      </c>
      <c r="K172" s="70" t="str">
        <f t="shared" si="50"/>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51"/>
        <v>0</v>
      </c>
      <c r="AL172" s="74"/>
      <c r="AM172" s="74"/>
      <c r="AN172" s="81" t="str">
        <f t="shared" si="52"/>
        <v/>
      </c>
      <c r="AO172" s="82"/>
      <c r="AP172" s="75"/>
      <c r="AQ172" s="75"/>
      <c r="AR172" s="80">
        <f t="shared" si="53"/>
        <v>0</v>
      </c>
      <c r="AS172" s="74"/>
      <c r="AT172" s="75"/>
      <c r="AU172" s="75"/>
      <c r="AV172" s="75"/>
      <c r="AW172" s="80">
        <f t="shared" si="54"/>
        <v>0</v>
      </c>
      <c r="AX172" s="81" t="str">
        <f t="shared" si="55"/>
        <v/>
      </c>
      <c r="AY172" s="83" t="str">
        <f t="shared" si="56"/>
        <v/>
      </c>
      <c r="AZ172" s="80" t="str">
        <f t="shared" si="57"/>
        <v/>
      </c>
      <c r="BA172" s="84">
        <f t="shared" si="58"/>
        <v>0</v>
      </c>
      <c r="BB172" s="85" t="str">
        <f t="shared" si="59"/>
        <v/>
      </c>
      <c r="BC172" s="86" t="str">
        <f t="shared" si="60"/>
        <v/>
      </c>
      <c r="BD172" s="84">
        <f t="shared" si="61"/>
        <v>0</v>
      </c>
      <c r="BE172" s="87" t="str">
        <f t="shared" si="62"/>
        <v/>
      </c>
      <c r="BF172" s="88" t="str">
        <f t="shared" si="63"/>
        <v/>
      </c>
      <c r="BG172" s="89" t="str">
        <f t="shared" si="64"/>
        <v/>
      </c>
      <c r="BH172" s="90" t="str">
        <f t="shared" si="65"/>
        <v/>
      </c>
      <c r="BI172" s="90" t="str">
        <f t="shared" si="66"/>
        <v/>
      </c>
      <c r="BJ172" s="91">
        <f t="shared" si="67"/>
        <v>0</v>
      </c>
      <c r="BK172" s="92">
        <f t="shared" si="68"/>
        <v>0</v>
      </c>
      <c r="BL172" s="95"/>
    </row>
    <row r="173" spans="1:64">
      <c r="A173" s="61"/>
      <c r="B173" s="62"/>
      <c r="C173" s="63"/>
      <c r="D173" s="64"/>
      <c r="E173" s="64"/>
      <c r="F173" s="65"/>
      <c r="G173" s="66" t="str">
        <f t="shared" si="46"/>
        <v/>
      </c>
      <c r="H173" s="67" t="str">
        <f t="shared" si="47"/>
        <v/>
      </c>
      <c r="I173" s="68" t="str">
        <f t="shared" si="48"/>
        <v/>
      </c>
      <c r="J173" s="69" t="str">
        <f t="shared" si="49"/>
        <v/>
      </c>
      <c r="K173" s="70" t="str">
        <f t="shared" si="50"/>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51"/>
        <v>0</v>
      </c>
      <c r="AL173" s="74"/>
      <c r="AM173" s="74"/>
      <c r="AN173" s="81" t="str">
        <f t="shared" si="52"/>
        <v/>
      </c>
      <c r="AO173" s="82"/>
      <c r="AP173" s="75"/>
      <c r="AQ173" s="75"/>
      <c r="AR173" s="80">
        <f t="shared" si="53"/>
        <v>0</v>
      </c>
      <c r="AS173" s="74"/>
      <c r="AT173" s="75"/>
      <c r="AU173" s="75"/>
      <c r="AV173" s="75"/>
      <c r="AW173" s="80">
        <f t="shared" si="54"/>
        <v>0</v>
      </c>
      <c r="AX173" s="81" t="str">
        <f t="shared" si="55"/>
        <v/>
      </c>
      <c r="AY173" s="83" t="str">
        <f t="shared" si="56"/>
        <v/>
      </c>
      <c r="AZ173" s="80" t="str">
        <f t="shared" si="57"/>
        <v/>
      </c>
      <c r="BA173" s="84">
        <f t="shared" si="58"/>
        <v>0</v>
      </c>
      <c r="BB173" s="85" t="str">
        <f t="shared" si="59"/>
        <v/>
      </c>
      <c r="BC173" s="86" t="str">
        <f t="shared" si="60"/>
        <v/>
      </c>
      <c r="BD173" s="84">
        <f t="shared" si="61"/>
        <v>0</v>
      </c>
      <c r="BE173" s="87" t="str">
        <f t="shared" si="62"/>
        <v/>
      </c>
      <c r="BF173" s="88" t="str">
        <f t="shared" si="63"/>
        <v/>
      </c>
      <c r="BG173" s="89" t="str">
        <f t="shared" si="64"/>
        <v/>
      </c>
      <c r="BH173" s="90" t="str">
        <f t="shared" si="65"/>
        <v/>
      </c>
      <c r="BI173" s="90" t="str">
        <f t="shared" si="66"/>
        <v/>
      </c>
      <c r="BJ173" s="91">
        <f t="shared" si="67"/>
        <v>0</v>
      </c>
      <c r="BK173" s="92">
        <f t="shared" si="68"/>
        <v>0</v>
      </c>
      <c r="BL173" s="95"/>
    </row>
    <row r="174" spans="1:64">
      <c r="A174" s="61"/>
      <c r="B174" s="62"/>
      <c r="C174" s="63"/>
      <c r="D174" s="64"/>
      <c r="E174" s="64"/>
      <c r="F174" s="65"/>
      <c r="G174" s="66" t="str">
        <f t="shared" si="46"/>
        <v/>
      </c>
      <c r="H174" s="67" t="str">
        <f t="shared" si="47"/>
        <v/>
      </c>
      <c r="I174" s="68" t="str">
        <f t="shared" si="48"/>
        <v/>
      </c>
      <c r="J174" s="69" t="str">
        <f t="shared" si="49"/>
        <v/>
      </c>
      <c r="K174" s="70" t="str">
        <f t="shared" si="50"/>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51"/>
        <v>0</v>
      </c>
      <c r="AL174" s="74"/>
      <c r="AM174" s="74"/>
      <c r="AN174" s="81" t="str">
        <f t="shared" si="52"/>
        <v/>
      </c>
      <c r="AO174" s="82"/>
      <c r="AP174" s="75"/>
      <c r="AQ174" s="75"/>
      <c r="AR174" s="80">
        <f t="shared" si="53"/>
        <v>0</v>
      </c>
      <c r="AS174" s="74"/>
      <c r="AT174" s="75"/>
      <c r="AU174" s="75"/>
      <c r="AV174" s="75"/>
      <c r="AW174" s="80">
        <f t="shared" si="54"/>
        <v>0</v>
      </c>
      <c r="AX174" s="81" t="str">
        <f t="shared" si="55"/>
        <v/>
      </c>
      <c r="AY174" s="83" t="str">
        <f t="shared" si="56"/>
        <v/>
      </c>
      <c r="AZ174" s="80" t="str">
        <f t="shared" si="57"/>
        <v/>
      </c>
      <c r="BA174" s="84">
        <f t="shared" si="58"/>
        <v>0</v>
      </c>
      <c r="BB174" s="85" t="str">
        <f t="shared" si="59"/>
        <v/>
      </c>
      <c r="BC174" s="86" t="str">
        <f t="shared" si="60"/>
        <v/>
      </c>
      <c r="BD174" s="84">
        <f t="shared" si="61"/>
        <v>0</v>
      </c>
      <c r="BE174" s="87" t="str">
        <f t="shared" si="62"/>
        <v/>
      </c>
      <c r="BF174" s="88" t="str">
        <f t="shared" si="63"/>
        <v/>
      </c>
      <c r="BG174" s="89" t="str">
        <f t="shared" si="64"/>
        <v/>
      </c>
      <c r="BH174" s="90" t="str">
        <f t="shared" si="65"/>
        <v/>
      </c>
      <c r="BI174" s="90" t="str">
        <f t="shared" si="66"/>
        <v/>
      </c>
      <c r="BJ174" s="91">
        <f t="shared" si="67"/>
        <v>0</v>
      </c>
      <c r="BK174" s="92">
        <f t="shared" si="68"/>
        <v>0</v>
      </c>
      <c r="BL174" s="95"/>
    </row>
    <row r="175" spans="1:64">
      <c r="A175" s="61"/>
      <c r="B175" s="62"/>
      <c r="C175" s="63"/>
      <c r="D175" s="64"/>
      <c r="E175" s="64"/>
      <c r="F175" s="65"/>
      <c r="G175" s="66" t="str">
        <f t="shared" si="46"/>
        <v/>
      </c>
      <c r="H175" s="67" t="str">
        <f t="shared" si="47"/>
        <v/>
      </c>
      <c r="I175" s="68" t="str">
        <f t="shared" si="48"/>
        <v/>
      </c>
      <c r="J175" s="69" t="str">
        <f t="shared" si="49"/>
        <v/>
      </c>
      <c r="K175" s="70" t="str">
        <f t="shared" si="50"/>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51"/>
        <v>0</v>
      </c>
      <c r="AL175" s="74"/>
      <c r="AM175" s="74"/>
      <c r="AN175" s="81" t="str">
        <f t="shared" si="52"/>
        <v/>
      </c>
      <c r="AO175" s="82"/>
      <c r="AP175" s="75"/>
      <c r="AQ175" s="75"/>
      <c r="AR175" s="80">
        <f t="shared" si="53"/>
        <v>0</v>
      </c>
      <c r="AS175" s="74"/>
      <c r="AT175" s="75"/>
      <c r="AU175" s="75"/>
      <c r="AV175" s="75"/>
      <c r="AW175" s="80">
        <f t="shared" si="54"/>
        <v>0</v>
      </c>
      <c r="AX175" s="81" t="str">
        <f t="shared" si="55"/>
        <v/>
      </c>
      <c r="AY175" s="83" t="str">
        <f t="shared" si="56"/>
        <v/>
      </c>
      <c r="AZ175" s="80" t="str">
        <f t="shared" si="57"/>
        <v/>
      </c>
      <c r="BA175" s="84">
        <f t="shared" si="58"/>
        <v>0</v>
      </c>
      <c r="BB175" s="85" t="str">
        <f t="shared" si="59"/>
        <v/>
      </c>
      <c r="BC175" s="86" t="str">
        <f t="shared" si="60"/>
        <v/>
      </c>
      <c r="BD175" s="84">
        <f t="shared" si="61"/>
        <v>0</v>
      </c>
      <c r="BE175" s="87" t="str">
        <f t="shared" si="62"/>
        <v/>
      </c>
      <c r="BF175" s="88" t="str">
        <f t="shared" si="63"/>
        <v/>
      </c>
      <c r="BG175" s="89" t="str">
        <f t="shared" si="64"/>
        <v/>
      </c>
      <c r="BH175" s="90" t="str">
        <f t="shared" si="65"/>
        <v/>
      </c>
      <c r="BI175" s="90" t="str">
        <f t="shared" si="66"/>
        <v/>
      </c>
      <c r="BJ175" s="91">
        <f t="shared" si="67"/>
        <v>0</v>
      </c>
      <c r="BK175" s="92">
        <f t="shared" si="68"/>
        <v>0</v>
      </c>
      <c r="BL175" s="95"/>
    </row>
    <row r="176" spans="1:64">
      <c r="A176" s="61"/>
      <c r="B176" s="62"/>
      <c r="C176" s="63"/>
      <c r="D176" s="64"/>
      <c r="E176" s="64"/>
      <c r="F176" s="65"/>
      <c r="G176" s="66" t="str">
        <f t="shared" si="46"/>
        <v/>
      </c>
      <c r="H176" s="67" t="str">
        <f t="shared" si="47"/>
        <v/>
      </c>
      <c r="I176" s="68" t="str">
        <f t="shared" si="48"/>
        <v/>
      </c>
      <c r="J176" s="69" t="str">
        <f t="shared" si="49"/>
        <v/>
      </c>
      <c r="K176" s="70" t="str">
        <f t="shared" si="50"/>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51"/>
        <v>0</v>
      </c>
      <c r="AL176" s="74"/>
      <c r="AM176" s="74"/>
      <c r="AN176" s="81" t="str">
        <f t="shared" si="52"/>
        <v/>
      </c>
      <c r="AO176" s="82"/>
      <c r="AP176" s="75"/>
      <c r="AQ176" s="75"/>
      <c r="AR176" s="80">
        <f t="shared" si="53"/>
        <v>0</v>
      </c>
      <c r="AS176" s="74"/>
      <c r="AT176" s="75"/>
      <c r="AU176" s="75"/>
      <c r="AV176" s="75"/>
      <c r="AW176" s="80">
        <f t="shared" si="54"/>
        <v>0</v>
      </c>
      <c r="AX176" s="81" t="str">
        <f t="shared" si="55"/>
        <v/>
      </c>
      <c r="AY176" s="83" t="str">
        <f t="shared" si="56"/>
        <v/>
      </c>
      <c r="AZ176" s="80" t="str">
        <f t="shared" si="57"/>
        <v/>
      </c>
      <c r="BA176" s="84">
        <f t="shared" si="58"/>
        <v>0</v>
      </c>
      <c r="BB176" s="85" t="str">
        <f t="shared" si="59"/>
        <v/>
      </c>
      <c r="BC176" s="86" t="str">
        <f t="shared" si="60"/>
        <v/>
      </c>
      <c r="BD176" s="84">
        <f t="shared" si="61"/>
        <v>0</v>
      </c>
      <c r="BE176" s="87" t="str">
        <f t="shared" si="62"/>
        <v/>
      </c>
      <c r="BF176" s="88" t="str">
        <f t="shared" si="63"/>
        <v/>
      </c>
      <c r="BG176" s="89" t="str">
        <f t="shared" si="64"/>
        <v/>
      </c>
      <c r="BH176" s="90" t="str">
        <f t="shared" si="65"/>
        <v/>
      </c>
      <c r="BI176" s="90" t="str">
        <f t="shared" si="66"/>
        <v/>
      </c>
      <c r="BJ176" s="91">
        <f t="shared" si="67"/>
        <v>0</v>
      </c>
      <c r="BK176" s="92">
        <f t="shared" si="68"/>
        <v>0</v>
      </c>
      <c r="BL176" s="95"/>
    </row>
    <row r="177" spans="1:64">
      <c r="A177" s="61"/>
      <c r="B177" s="62"/>
      <c r="C177" s="63"/>
      <c r="D177" s="64"/>
      <c r="E177" s="64"/>
      <c r="F177" s="65"/>
      <c r="G177" s="66" t="str">
        <f t="shared" si="46"/>
        <v/>
      </c>
      <c r="H177" s="67" t="str">
        <f t="shared" si="47"/>
        <v/>
      </c>
      <c r="I177" s="68" t="str">
        <f t="shared" si="48"/>
        <v/>
      </c>
      <c r="J177" s="69" t="str">
        <f t="shared" si="49"/>
        <v/>
      </c>
      <c r="K177" s="70" t="str">
        <f t="shared" si="50"/>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51"/>
        <v>0</v>
      </c>
      <c r="AL177" s="74"/>
      <c r="AM177" s="74"/>
      <c r="AN177" s="81" t="str">
        <f t="shared" si="52"/>
        <v/>
      </c>
      <c r="AO177" s="82"/>
      <c r="AP177" s="75"/>
      <c r="AQ177" s="75"/>
      <c r="AR177" s="80">
        <f t="shared" si="53"/>
        <v>0</v>
      </c>
      <c r="AS177" s="74"/>
      <c r="AT177" s="75"/>
      <c r="AU177" s="75"/>
      <c r="AV177" s="75"/>
      <c r="AW177" s="80">
        <f t="shared" si="54"/>
        <v>0</v>
      </c>
      <c r="AX177" s="81" t="str">
        <f t="shared" si="55"/>
        <v/>
      </c>
      <c r="AY177" s="83" t="str">
        <f t="shared" si="56"/>
        <v/>
      </c>
      <c r="AZ177" s="80" t="str">
        <f t="shared" si="57"/>
        <v/>
      </c>
      <c r="BA177" s="84">
        <f t="shared" si="58"/>
        <v>0</v>
      </c>
      <c r="BB177" s="85" t="str">
        <f t="shared" si="59"/>
        <v/>
      </c>
      <c r="BC177" s="86" t="str">
        <f t="shared" si="60"/>
        <v/>
      </c>
      <c r="BD177" s="84">
        <f t="shared" si="61"/>
        <v>0</v>
      </c>
      <c r="BE177" s="87" t="str">
        <f t="shared" si="62"/>
        <v/>
      </c>
      <c r="BF177" s="88" t="str">
        <f t="shared" si="63"/>
        <v/>
      </c>
      <c r="BG177" s="89" t="str">
        <f t="shared" si="64"/>
        <v/>
      </c>
      <c r="BH177" s="90" t="str">
        <f t="shared" si="65"/>
        <v/>
      </c>
      <c r="BI177" s="90" t="str">
        <f t="shared" si="66"/>
        <v/>
      </c>
      <c r="BJ177" s="91">
        <f t="shared" si="67"/>
        <v>0</v>
      </c>
      <c r="BK177" s="92">
        <f t="shared" si="68"/>
        <v>0</v>
      </c>
      <c r="BL177" s="95"/>
    </row>
    <row r="178" spans="1:64">
      <c r="A178" s="61"/>
      <c r="B178" s="62"/>
      <c r="C178" s="63"/>
      <c r="D178" s="64"/>
      <c r="E178" s="64"/>
      <c r="F178" s="65"/>
      <c r="G178" s="66" t="str">
        <f t="shared" si="46"/>
        <v/>
      </c>
      <c r="H178" s="67" t="str">
        <f t="shared" si="47"/>
        <v/>
      </c>
      <c r="I178" s="68" t="str">
        <f t="shared" si="48"/>
        <v/>
      </c>
      <c r="J178" s="69" t="str">
        <f t="shared" si="49"/>
        <v/>
      </c>
      <c r="K178" s="70" t="str">
        <f t="shared" si="50"/>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51"/>
        <v>0</v>
      </c>
      <c r="AL178" s="74"/>
      <c r="AM178" s="74"/>
      <c r="AN178" s="81" t="str">
        <f t="shared" si="52"/>
        <v/>
      </c>
      <c r="AO178" s="82"/>
      <c r="AP178" s="75"/>
      <c r="AQ178" s="75"/>
      <c r="AR178" s="80">
        <f t="shared" si="53"/>
        <v>0</v>
      </c>
      <c r="AS178" s="74"/>
      <c r="AT178" s="75"/>
      <c r="AU178" s="75"/>
      <c r="AV178" s="75"/>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c r="A179" s="61"/>
      <c r="B179" s="62"/>
      <c r="C179" s="63"/>
      <c r="D179" s="64"/>
      <c r="E179" s="64"/>
      <c r="F179" s="65"/>
      <c r="G179" s="66" t="str">
        <f t="shared" si="46"/>
        <v/>
      </c>
      <c r="H179" s="67" t="str">
        <f t="shared" si="47"/>
        <v/>
      </c>
      <c r="I179" s="68" t="str">
        <f t="shared" si="48"/>
        <v/>
      </c>
      <c r="J179" s="69" t="str">
        <f t="shared" si="49"/>
        <v/>
      </c>
      <c r="K179" s="70" t="str">
        <f t="shared" si="50"/>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51"/>
        <v>0</v>
      </c>
      <c r="AL179" s="74"/>
      <c r="AM179" s="74"/>
      <c r="AN179" s="81" t="str">
        <f t="shared" si="52"/>
        <v/>
      </c>
      <c r="AO179" s="82"/>
      <c r="AP179" s="75"/>
      <c r="AQ179" s="75"/>
      <c r="AR179" s="80">
        <f t="shared" si="53"/>
        <v>0</v>
      </c>
      <c r="AS179" s="74"/>
      <c r="AT179" s="75"/>
      <c r="AU179" s="75"/>
      <c r="AV179" s="75"/>
      <c r="AW179" s="80">
        <f t="shared" si="54"/>
        <v>0</v>
      </c>
      <c r="AX179" s="81" t="str">
        <f t="shared" si="55"/>
        <v/>
      </c>
      <c r="AY179" s="83" t="str">
        <f t="shared" si="56"/>
        <v/>
      </c>
      <c r="AZ179" s="80" t="str">
        <f t="shared" si="57"/>
        <v/>
      </c>
      <c r="BA179" s="84">
        <f t="shared" si="58"/>
        <v>0</v>
      </c>
      <c r="BB179" s="85" t="str">
        <f t="shared" si="59"/>
        <v/>
      </c>
      <c r="BC179" s="86" t="str">
        <f t="shared" si="60"/>
        <v/>
      </c>
      <c r="BD179" s="84">
        <f t="shared" si="61"/>
        <v>0</v>
      </c>
      <c r="BE179" s="87" t="str">
        <f t="shared" si="62"/>
        <v/>
      </c>
      <c r="BF179" s="88" t="str">
        <f t="shared" si="63"/>
        <v/>
      </c>
      <c r="BG179" s="89" t="str">
        <f t="shared" si="64"/>
        <v/>
      </c>
      <c r="BH179" s="90" t="str">
        <f t="shared" si="65"/>
        <v/>
      </c>
      <c r="BI179" s="90" t="str">
        <f t="shared" si="66"/>
        <v/>
      </c>
      <c r="BJ179" s="91">
        <f t="shared" si="67"/>
        <v>0</v>
      </c>
      <c r="BK179" s="92">
        <f t="shared" si="68"/>
        <v>0</v>
      </c>
      <c r="BL179" s="95"/>
    </row>
    <row r="180" spans="1:64">
      <c r="A180" s="61"/>
      <c r="B180" s="62"/>
      <c r="C180" s="63"/>
      <c r="D180" s="64"/>
      <c r="E180" s="64"/>
      <c r="F180" s="65"/>
      <c r="G180" s="66" t="str">
        <f t="shared" si="46"/>
        <v/>
      </c>
      <c r="H180" s="67" t="str">
        <f t="shared" si="47"/>
        <v/>
      </c>
      <c r="I180" s="68" t="str">
        <f t="shared" si="48"/>
        <v/>
      </c>
      <c r="J180" s="69" t="str">
        <f t="shared" si="49"/>
        <v/>
      </c>
      <c r="K180" s="70" t="str">
        <f t="shared" si="50"/>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51"/>
        <v>0</v>
      </c>
      <c r="AL180" s="74"/>
      <c r="AM180" s="74"/>
      <c r="AN180" s="81" t="str">
        <f t="shared" si="52"/>
        <v/>
      </c>
      <c r="AO180" s="82"/>
      <c r="AP180" s="75"/>
      <c r="AQ180" s="75"/>
      <c r="AR180" s="80">
        <f t="shared" si="53"/>
        <v>0</v>
      </c>
      <c r="AS180" s="74"/>
      <c r="AT180" s="75"/>
      <c r="AU180" s="75"/>
      <c r="AV180" s="75"/>
      <c r="AW180" s="80">
        <f t="shared" si="54"/>
        <v>0</v>
      </c>
      <c r="AX180" s="81" t="str">
        <f t="shared" si="55"/>
        <v/>
      </c>
      <c r="AY180" s="83" t="str">
        <f t="shared" si="56"/>
        <v/>
      </c>
      <c r="AZ180" s="80" t="str">
        <f t="shared" si="57"/>
        <v/>
      </c>
      <c r="BA180" s="84">
        <f t="shared" si="58"/>
        <v>0</v>
      </c>
      <c r="BB180" s="85" t="str">
        <f t="shared" si="59"/>
        <v/>
      </c>
      <c r="BC180" s="86" t="str">
        <f t="shared" si="60"/>
        <v/>
      </c>
      <c r="BD180" s="84">
        <f t="shared" si="61"/>
        <v>0</v>
      </c>
      <c r="BE180" s="87" t="str">
        <f t="shared" si="62"/>
        <v/>
      </c>
      <c r="BF180" s="88" t="str">
        <f t="shared" si="63"/>
        <v/>
      </c>
      <c r="BG180" s="89" t="str">
        <f t="shared" si="64"/>
        <v/>
      </c>
      <c r="BH180" s="90" t="str">
        <f t="shared" si="65"/>
        <v/>
      </c>
      <c r="BI180" s="90" t="str">
        <f t="shared" si="66"/>
        <v/>
      </c>
      <c r="BJ180" s="91">
        <f t="shared" si="67"/>
        <v>0</v>
      </c>
      <c r="BK180" s="92">
        <f t="shared" si="68"/>
        <v>0</v>
      </c>
      <c r="BL180" s="95"/>
    </row>
    <row r="181" spans="1:64">
      <c r="A181" s="61"/>
      <c r="B181" s="62"/>
      <c r="C181" s="63"/>
      <c r="D181" s="64"/>
      <c r="E181" s="64"/>
      <c r="F181" s="65"/>
      <c r="G181" s="66" t="str">
        <f t="shared" si="46"/>
        <v/>
      </c>
      <c r="H181" s="67" t="str">
        <f t="shared" si="47"/>
        <v/>
      </c>
      <c r="I181" s="68" t="str">
        <f t="shared" si="48"/>
        <v/>
      </c>
      <c r="J181" s="69" t="str">
        <f t="shared" si="49"/>
        <v/>
      </c>
      <c r="K181" s="70" t="str">
        <f t="shared" si="50"/>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51"/>
        <v>0</v>
      </c>
      <c r="AL181" s="74"/>
      <c r="AM181" s="74"/>
      <c r="AN181" s="81" t="str">
        <f t="shared" si="52"/>
        <v/>
      </c>
      <c r="AO181" s="82"/>
      <c r="AP181" s="75"/>
      <c r="AQ181" s="75"/>
      <c r="AR181" s="80">
        <f t="shared" si="53"/>
        <v>0</v>
      </c>
      <c r="AS181" s="74"/>
      <c r="AT181" s="75"/>
      <c r="AU181" s="75"/>
      <c r="AV181" s="75"/>
      <c r="AW181" s="80">
        <f t="shared" si="54"/>
        <v>0</v>
      </c>
      <c r="AX181" s="81" t="str">
        <f t="shared" si="55"/>
        <v/>
      </c>
      <c r="AY181" s="83" t="str">
        <f t="shared" si="56"/>
        <v/>
      </c>
      <c r="AZ181" s="80" t="str">
        <f t="shared" si="57"/>
        <v/>
      </c>
      <c r="BA181" s="84">
        <f t="shared" si="58"/>
        <v>0</v>
      </c>
      <c r="BB181" s="85" t="str">
        <f t="shared" si="59"/>
        <v/>
      </c>
      <c r="BC181" s="86" t="str">
        <f t="shared" si="60"/>
        <v/>
      </c>
      <c r="BD181" s="84">
        <f t="shared" si="61"/>
        <v>0</v>
      </c>
      <c r="BE181" s="87" t="str">
        <f t="shared" si="62"/>
        <v/>
      </c>
      <c r="BF181" s="88" t="str">
        <f t="shared" si="63"/>
        <v/>
      </c>
      <c r="BG181" s="89" t="str">
        <f t="shared" si="64"/>
        <v/>
      </c>
      <c r="BH181" s="90" t="str">
        <f t="shared" si="65"/>
        <v/>
      </c>
      <c r="BI181" s="90" t="str">
        <f t="shared" si="66"/>
        <v/>
      </c>
      <c r="BJ181" s="91">
        <f t="shared" si="67"/>
        <v>0</v>
      </c>
      <c r="BK181" s="92">
        <f t="shared" si="68"/>
        <v>0</v>
      </c>
      <c r="BL181" s="95"/>
    </row>
    <row r="182" spans="1:64">
      <c r="A182" s="61"/>
      <c r="B182" s="62"/>
      <c r="C182" s="63"/>
      <c r="D182" s="64"/>
      <c r="E182" s="64"/>
      <c r="F182" s="65"/>
      <c r="G182" s="66" t="str">
        <f t="shared" si="46"/>
        <v/>
      </c>
      <c r="H182" s="67" t="str">
        <f t="shared" si="47"/>
        <v/>
      </c>
      <c r="I182" s="68" t="str">
        <f t="shared" si="48"/>
        <v/>
      </c>
      <c r="J182" s="69" t="str">
        <f t="shared" si="49"/>
        <v/>
      </c>
      <c r="K182" s="70" t="str">
        <f t="shared" si="50"/>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51"/>
        <v>0</v>
      </c>
      <c r="AL182" s="74"/>
      <c r="AM182" s="74"/>
      <c r="AN182" s="81" t="str">
        <f t="shared" si="52"/>
        <v/>
      </c>
      <c r="AO182" s="82"/>
      <c r="AP182" s="75"/>
      <c r="AQ182" s="75"/>
      <c r="AR182" s="80">
        <f t="shared" si="53"/>
        <v>0</v>
      </c>
      <c r="AS182" s="74"/>
      <c r="AT182" s="75"/>
      <c r="AU182" s="75"/>
      <c r="AV182" s="75"/>
      <c r="AW182" s="80">
        <f t="shared" si="54"/>
        <v>0</v>
      </c>
      <c r="AX182" s="81" t="str">
        <f t="shared" si="55"/>
        <v/>
      </c>
      <c r="AY182" s="83" t="str">
        <f t="shared" si="56"/>
        <v/>
      </c>
      <c r="AZ182" s="80" t="str">
        <f t="shared" si="57"/>
        <v/>
      </c>
      <c r="BA182" s="84">
        <f t="shared" si="58"/>
        <v>0</v>
      </c>
      <c r="BB182" s="85" t="str">
        <f t="shared" si="59"/>
        <v/>
      </c>
      <c r="BC182" s="86" t="str">
        <f t="shared" si="60"/>
        <v/>
      </c>
      <c r="BD182" s="84">
        <f t="shared" si="61"/>
        <v>0</v>
      </c>
      <c r="BE182" s="87" t="str">
        <f t="shared" si="62"/>
        <v/>
      </c>
      <c r="BF182" s="88" t="str">
        <f t="shared" si="63"/>
        <v/>
      </c>
      <c r="BG182" s="89" t="str">
        <f t="shared" si="64"/>
        <v/>
      </c>
      <c r="BH182" s="90" t="str">
        <f t="shared" si="65"/>
        <v/>
      </c>
      <c r="BI182" s="90" t="str">
        <f t="shared" si="66"/>
        <v/>
      </c>
      <c r="BJ182" s="91">
        <f t="shared" si="67"/>
        <v>0</v>
      </c>
      <c r="BK182" s="92">
        <f t="shared" si="68"/>
        <v>0</v>
      </c>
      <c r="BL182" s="95"/>
    </row>
    <row r="183" spans="1:64">
      <c r="A183" s="61"/>
      <c r="B183" s="62"/>
      <c r="C183" s="63"/>
      <c r="D183" s="64"/>
      <c r="E183" s="64"/>
      <c r="F183" s="65"/>
      <c r="G183" s="66" t="str">
        <f t="shared" si="46"/>
        <v/>
      </c>
      <c r="H183" s="67" t="str">
        <f t="shared" si="47"/>
        <v/>
      </c>
      <c r="I183" s="68" t="str">
        <f t="shared" si="48"/>
        <v/>
      </c>
      <c r="J183" s="69" t="str">
        <f t="shared" si="49"/>
        <v/>
      </c>
      <c r="K183" s="70" t="str">
        <f t="shared" si="50"/>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51"/>
        <v>0</v>
      </c>
      <c r="AL183" s="74"/>
      <c r="AM183" s="74"/>
      <c r="AN183" s="81" t="str">
        <f t="shared" si="52"/>
        <v/>
      </c>
      <c r="AO183" s="82"/>
      <c r="AP183" s="75"/>
      <c r="AQ183" s="75"/>
      <c r="AR183" s="80">
        <f t="shared" si="53"/>
        <v>0</v>
      </c>
      <c r="AS183" s="74"/>
      <c r="AT183" s="75"/>
      <c r="AU183" s="75"/>
      <c r="AV183" s="75"/>
      <c r="AW183" s="80">
        <f t="shared" si="54"/>
        <v>0</v>
      </c>
      <c r="AX183" s="81" t="str">
        <f t="shared" si="55"/>
        <v/>
      </c>
      <c r="AY183" s="83" t="str">
        <f t="shared" si="56"/>
        <v/>
      </c>
      <c r="AZ183" s="80" t="str">
        <f t="shared" si="57"/>
        <v/>
      </c>
      <c r="BA183" s="84">
        <f t="shared" si="58"/>
        <v>0</v>
      </c>
      <c r="BB183" s="85" t="str">
        <f t="shared" si="59"/>
        <v/>
      </c>
      <c r="BC183" s="86" t="str">
        <f t="shared" si="60"/>
        <v/>
      </c>
      <c r="BD183" s="84">
        <f t="shared" si="61"/>
        <v>0</v>
      </c>
      <c r="BE183" s="87" t="str">
        <f t="shared" si="62"/>
        <v/>
      </c>
      <c r="BF183" s="88" t="str">
        <f t="shared" si="63"/>
        <v/>
      </c>
      <c r="BG183" s="89" t="str">
        <f t="shared" si="64"/>
        <v/>
      </c>
      <c r="BH183" s="90" t="str">
        <f t="shared" si="65"/>
        <v/>
      </c>
      <c r="BI183" s="90" t="str">
        <f t="shared" si="66"/>
        <v/>
      </c>
      <c r="BJ183" s="91">
        <f t="shared" si="67"/>
        <v>0</v>
      </c>
      <c r="BK183" s="92">
        <f t="shared" si="68"/>
        <v>0</v>
      </c>
      <c r="BL183" s="95"/>
    </row>
    <row r="184" spans="1:64">
      <c r="A184" s="61"/>
      <c r="B184" s="62"/>
      <c r="C184" s="63"/>
      <c r="D184" s="64"/>
      <c r="E184" s="64"/>
      <c r="F184" s="65"/>
      <c r="G184" s="66" t="str">
        <f t="shared" si="46"/>
        <v/>
      </c>
      <c r="H184" s="67" t="str">
        <f t="shared" si="47"/>
        <v/>
      </c>
      <c r="I184" s="68" t="str">
        <f t="shared" si="48"/>
        <v/>
      </c>
      <c r="J184" s="69" t="str">
        <f t="shared" si="49"/>
        <v/>
      </c>
      <c r="K184" s="70" t="str">
        <f t="shared" si="50"/>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51"/>
        <v>0</v>
      </c>
      <c r="AL184" s="74"/>
      <c r="AM184" s="74"/>
      <c r="AN184" s="81" t="str">
        <f t="shared" si="52"/>
        <v/>
      </c>
      <c r="AO184" s="82"/>
      <c r="AP184" s="75"/>
      <c r="AQ184" s="75"/>
      <c r="AR184" s="80">
        <f t="shared" si="53"/>
        <v>0</v>
      </c>
      <c r="AS184" s="74"/>
      <c r="AT184" s="75"/>
      <c r="AU184" s="75"/>
      <c r="AV184" s="75"/>
      <c r="AW184" s="80">
        <f t="shared" si="54"/>
        <v>0</v>
      </c>
      <c r="AX184" s="81" t="str">
        <f t="shared" si="55"/>
        <v/>
      </c>
      <c r="AY184" s="83" t="str">
        <f t="shared" si="56"/>
        <v/>
      </c>
      <c r="AZ184" s="80" t="str">
        <f t="shared" si="57"/>
        <v/>
      </c>
      <c r="BA184" s="84">
        <f t="shared" si="58"/>
        <v>0</v>
      </c>
      <c r="BB184" s="85" t="str">
        <f t="shared" si="59"/>
        <v/>
      </c>
      <c r="BC184" s="86" t="str">
        <f t="shared" si="60"/>
        <v/>
      </c>
      <c r="BD184" s="84">
        <f t="shared" si="61"/>
        <v>0</v>
      </c>
      <c r="BE184" s="87" t="str">
        <f t="shared" si="62"/>
        <v/>
      </c>
      <c r="BF184" s="88" t="str">
        <f t="shared" si="63"/>
        <v/>
      </c>
      <c r="BG184" s="89" t="str">
        <f t="shared" si="64"/>
        <v/>
      </c>
      <c r="BH184" s="90" t="str">
        <f t="shared" si="65"/>
        <v/>
      </c>
      <c r="BI184" s="90" t="str">
        <f t="shared" si="66"/>
        <v/>
      </c>
      <c r="BJ184" s="91">
        <f t="shared" si="67"/>
        <v>0</v>
      </c>
      <c r="BK184" s="92">
        <f t="shared" si="68"/>
        <v>0</v>
      </c>
      <c r="BL184" s="95"/>
    </row>
    <row r="185" spans="1:64">
      <c r="A185" s="61"/>
      <c r="B185" s="62"/>
      <c r="C185" s="63"/>
      <c r="D185" s="64"/>
      <c r="E185" s="64"/>
      <c r="F185" s="65"/>
      <c r="G185" s="66" t="str">
        <f t="shared" si="46"/>
        <v/>
      </c>
      <c r="H185" s="67" t="str">
        <f t="shared" si="47"/>
        <v/>
      </c>
      <c r="I185" s="68" t="str">
        <f t="shared" si="48"/>
        <v/>
      </c>
      <c r="J185" s="69" t="str">
        <f t="shared" si="49"/>
        <v/>
      </c>
      <c r="K185" s="70" t="str">
        <f t="shared" si="50"/>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51"/>
        <v>0</v>
      </c>
      <c r="AL185" s="74"/>
      <c r="AM185" s="74"/>
      <c r="AN185" s="81" t="str">
        <f t="shared" si="52"/>
        <v/>
      </c>
      <c r="AO185" s="82"/>
      <c r="AP185" s="75"/>
      <c r="AQ185" s="75"/>
      <c r="AR185" s="80">
        <f t="shared" si="53"/>
        <v>0</v>
      </c>
      <c r="AS185" s="74"/>
      <c r="AT185" s="75"/>
      <c r="AU185" s="75"/>
      <c r="AV185" s="75"/>
      <c r="AW185" s="80">
        <f t="shared" si="54"/>
        <v>0</v>
      </c>
      <c r="AX185" s="81" t="str">
        <f t="shared" si="55"/>
        <v/>
      </c>
      <c r="AY185" s="83" t="str">
        <f t="shared" si="56"/>
        <v/>
      </c>
      <c r="AZ185" s="80" t="str">
        <f t="shared" si="57"/>
        <v/>
      </c>
      <c r="BA185" s="84">
        <f t="shared" si="58"/>
        <v>0</v>
      </c>
      <c r="BB185" s="85" t="str">
        <f t="shared" si="59"/>
        <v/>
      </c>
      <c r="BC185" s="86" t="str">
        <f t="shared" si="60"/>
        <v/>
      </c>
      <c r="BD185" s="84">
        <f t="shared" si="61"/>
        <v>0</v>
      </c>
      <c r="BE185" s="87" t="str">
        <f t="shared" si="62"/>
        <v/>
      </c>
      <c r="BF185" s="88" t="str">
        <f t="shared" si="63"/>
        <v/>
      </c>
      <c r="BG185" s="89" t="str">
        <f t="shared" si="64"/>
        <v/>
      </c>
      <c r="BH185" s="90" t="str">
        <f t="shared" si="65"/>
        <v/>
      </c>
      <c r="BI185" s="90" t="str">
        <f t="shared" si="66"/>
        <v/>
      </c>
      <c r="BJ185" s="91">
        <f t="shared" si="67"/>
        <v>0</v>
      </c>
      <c r="BK185" s="92">
        <f t="shared" si="68"/>
        <v>0</v>
      </c>
      <c r="BL185" s="95"/>
    </row>
    <row r="186" spans="1:64">
      <c r="A186" s="61"/>
      <c r="B186" s="62"/>
      <c r="C186" s="63"/>
      <c r="D186" s="64"/>
      <c r="E186" s="64"/>
      <c r="F186" s="65"/>
      <c r="G186" s="66" t="str">
        <f t="shared" si="46"/>
        <v/>
      </c>
      <c r="H186" s="67" t="str">
        <f t="shared" si="47"/>
        <v/>
      </c>
      <c r="I186" s="68" t="str">
        <f t="shared" si="48"/>
        <v/>
      </c>
      <c r="J186" s="69" t="str">
        <f t="shared" si="49"/>
        <v/>
      </c>
      <c r="K186" s="70" t="str">
        <f t="shared" si="50"/>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51"/>
        <v>0</v>
      </c>
      <c r="AL186" s="74"/>
      <c r="AM186" s="74"/>
      <c r="AN186" s="81" t="str">
        <f t="shared" si="52"/>
        <v/>
      </c>
      <c r="AO186" s="82"/>
      <c r="AP186" s="75"/>
      <c r="AQ186" s="75"/>
      <c r="AR186" s="80">
        <f t="shared" si="53"/>
        <v>0</v>
      </c>
      <c r="AS186" s="74"/>
      <c r="AT186" s="75"/>
      <c r="AU186" s="75"/>
      <c r="AV186" s="75"/>
      <c r="AW186" s="80">
        <f t="shared" si="54"/>
        <v>0</v>
      </c>
      <c r="AX186" s="81" t="str">
        <f t="shared" si="55"/>
        <v/>
      </c>
      <c r="AY186" s="83" t="str">
        <f t="shared" si="56"/>
        <v/>
      </c>
      <c r="AZ186" s="80" t="str">
        <f t="shared" si="57"/>
        <v/>
      </c>
      <c r="BA186" s="84">
        <f t="shared" si="58"/>
        <v>0</v>
      </c>
      <c r="BB186" s="85" t="str">
        <f t="shared" si="59"/>
        <v/>
      </c>
      <c r="BC186" s="86" t="str">
        <f t="shared" si="60"/>
        <v/>
      </c>
      <c r="BD186" s="84">
        <f t="shared" si="61"/>
        <v>0</v>
      </c>
      <c r="BE186" s="87" t="str">
        <f t="shared" si="62"/>
        <v/>
      </c>
      <c r="BF186" s="88" t="str">
        <f t="shared" si="63"/>
        <v/>
      </c>
      <c r="BG186" s="89" t="str">
        <f t="shared" si="64"/>
        <v/>
      </c>
      <c r="BH186" s="90" t="str">
        <f t="shared" si="65"/>
        <v/>
      </c>
      <c r="BI186" s="90" t="str">
        <f t="shared" si="66"/>
        <v/>
      </c>
      <c r="BJ186" s="91">
        <f t="shared" si="67"/>
        <v>0</v>
      </c>
      <c r="BK186" s="92">
        <f t="shared" si="68"/>
        <v>0</v>
      </c>
      <c r="BL186" s="95"/>
    </row>
    <row r="187" spans="1:64">
      <c r="A187" s="61"/>
      <c r="B187" s="62"/>
      <c r="C187" s="63"/>
      <c r="D187" s="64"/>
      <c r="E187" s="64"/>
      <c r="F187" s="65"/>
      <c r="G187" s="66" t="str">
        <f t="shared" si="46"/>
        <v/>
      </c>
      <c r="H187" s="67" t="str">
        <f t="shared" si="47"/>
        <v/>
      </c>
      <c r="I187" s="68" t="str">
        <f t="shared" si="48"/>
        <v/>
      </c>
      <c r="J187" s="69" t="str">
        <f t="shared" si="49"/>
        <v/>
      </c>
      <c r="K187" s="70" t="str">
        <f t="shared" si="50"/>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51"/>
        <v>0</v>
      </c>
      <c r="AL187" s="74"/>
      <c r="AM187" s="74"/>
      <c r="AN187" s="81" t="str">
        <f t="shared" si="52"/>
        <v/>
      </c>
      <c r="AO187" s="82"/>
      <c r="AP187" s="75"/>
      <c r="AQ187" s="75"/>
      <c r="AR187" s="80">
        <f t="shared" si="53"/>
        <v>0</v>
      </c>
      <c r="AS187" s="74"/>
      <c r="AT187" s="75"/>
      <c r="AU187" s="75"/>
      <c r="AV187" s="75"/>
      <c r="AW187" s="80">
        <f t="shared" si="54"/>
        <v>0</v>
      </c>
      <c r="AX187" s="81" t="str">
        <f t="shared" si="55"/>
        <v/>
      </c>
      <c r="AY187" s="83" t="str">
        <f t="shared" si="56"/>
        <v/>
      </c>
      <c r="AZ187" s="80" t="str">
        <f t="shared" si="57"/>
        <v/>
      </c>
      <c r="BA187" s="84">
        <f t="shared" si="58"/>
        <v>0</v>
      </c>
      <c r="BB187" s="85" t="str">
        <f t="shared" si="59"/>
        <v/>
      </c>
      <c r="BC187" s="86" t="str">
        <f t="shared" si="60"/>
        <v/>
      </c>
      <c r="BD187" s="84">
        <f t="shared" si="61"/>
        <v>0</v>
      </c>
      <c r="BE187" s="87" t="str">
        <f t="shared" si="62"/>
        <v/>
      </c>
      <c r="BF187" s="88" t="str">
        <f t="shared" si="63"/>
        <v/>
      </c>
      <c r="BG187" s="89" t="str">
        <f t="shared" si="64"/>
        <v/>
      </c>
      <c r="BH187" s="90" t="str">
        <f t="shared" si="65"/>
        <v/>
      </c>
      <c r="BI187" s="90" t="str">
        <f t="shared" si="66"/>
        <v/>
      </c>
      <c r="BJ187" s="91">
        <f t="shared" si="67"/>
        <v>0</v>
      </c>
      <c r="BK187" s="92">
        <f t="shared" si="68"/>
        <v>0</v>
      </c>
      <c r="BL187" s="95"/>
    </row>
    <row r="188" spans="1:64">
      <c r="A188" s="61"/>
      <c r="B188" s="62"/>
      <c r="C188" s="63"/>
      <c r="D188" s="64"/>
      <c r="E188" s="64"/>
      <c r="F188" s="65"/>
      <c r="G188" s="66" t="str">
        <f t="shared" si="46"/>
        <v/>
      </c>
      <c r="H188" s="67" t="str">
        <f t="shared" si="47"/>
        <v/>
      </c>
      <c r="I188" s="68" t="str">
        <f t="shared" si="48"/>
        <v/>
      </c>
      <c r="J188" s="69" t="str">
        <f t="shared" si="49"/>
        <v/>
      </c>
      <c r="K188" s="70" t="str">
        <f t="shared" si="50"/>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51"/>
        <v>0</v>
      </c>
      <c r="AL188" s="74"/>
      <c r="AM188" s="74"/>
      <c r="AN188" s="81" t="str">
        <f t="shared" si="52"/>
        <v/>
      </c>
      <c r="AO188" s="82"/>
      <c r="AP188" s="75"/>
      <c r="AQ188" s="75"/>
      <c r="AR188" s="80">
        <f t="shared" si="53"/>
        <v>0</v>
      </c>
      <c r="AS188" s="74"/>
      <c r="AT188" s="75"/>
      <c r="AU188" s="75"/>
      <c r="AV188" s="75"/>
      <c r="AW188" s="80">
        <f t="shared" si="54"/>
        <v>0</v>
      </c>
      <c r="AX188" s="81" t="str">
        <f t="shared" si="55"/>
        <v/>
      </c>
      <c r="AY188" s="83" t="str">
        <f t="shared" si="56"/>
        <v/>
      </c>
      <c r="AZ188" s="80" t="str">
        <f t="shared" si="57"/>
        <v/>
      </c>
      <c r="BA188" s="84">
        <f t="shared" si="58"/>
        <v>0</v>
      </c>
      <c r="BB188" s="85" t="str">
        <f t="shared" si="59"/>
        <v/>
      </c>
      <c r="BC188" s="86" t="str">
        <f t="shared" si="60"/>
        <v/>
      </c>
      <c r="BD188" s="84">
        <f t="shared" si="61"/>
        <v>0</v>
      </c>
      <c r="BE188" s="87" t="str">
        <f t="shared" si="62"/>
        <v/>
      </c>
      <c r="BF188" s="88" t="str">
        <f t="shared" si="63"/>
        <v/>
      </c>
      <c r="BG188" s="89" t="str">
        <f t="shared" si="64"/>
        <v/>
      </c>
      <c r="BH188" s="90" t="str">
        <f t="shared" si="65"/>
        <v/>
      </c>
      <c r="BI188" s="90" t="str">
        <f t="shared" si="66"/>
        <v/>
      </c>
      <c r="BJ188" s="91">
        <f t="shared" si="67"/>
        <v>0</v>
      </c>
      <c r="BK188" s="92">
        <f t="shared" si="68"/>
        <v>0</v>
      </c>
      <c r="BL188" s="95"/>
    </row>
    <row r="189" spans="1:64">
      <c r="A189" s="61"/>
      <c r="B189" s="62"/>
      <c r="C189" s="63"/>
      <c r="D189" s="64"/>
      <c r="E189" s="64"/>
      <c r="F189" s="65"/>
      <c r="G189" s="66" t="str">
        <f t="shared" si="46"/>
        <v/>
      </c>
      <c r="H189" s="67" t="str">
        <f t="shared" si="47"/>
        <v/>
      </c>
      <c r="I189" s="68" t="str">
        <f t="shared" si="48"/>
        <v/>
      </c>
      <c r="J189" s="69" t="str">
        <f t="shared" si="49"/>
        <v/>
      </c>
      <c r="K189" s="70" t="str">
        <f t="shared" si="50"/>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51"/>
        <v>0</v>
      </c>
      <c r="AL189" s="74"/>
      <c r="AM189" s="74"/>
      <c r="AN189" s="81" t="str">
        <f t="shared" si="52"/>
        <v/>
      </c>
      <c r="AO189" s="82"/>
      <c r="AP189" s="75"/>
      <c r="AQ189" s="75"/>
      <c r="AR189" s="80">
        <f t="shared" si="53"/>
        <v>0</v>
      </c>
      <c r="AS189" s="74"/>
      <c r="AT189" s="75"/>
      <c r="AU189" s="75"/>
      <c r="AV189" s="75"/>
      <c r="AW189" s="80">
        <f t="shared" si="54"/>
        <v>0</v>
      </c>
      <c r="AX189" s="81" t="str">
        <f t="shared" si="55"/>
        <v/>
      </c>
      <c r="AY189" s="83" t="str">
        <f t="shared" si="56"/>
        <v/>
      </c>
      <c r="AZ189" s="80" t="str">
        <f t="shared" si="57"/>
        <v/>
      </c>
      <c r="BA189" s="84">
        <f t="shared" si="58"/>
        <v>0</v>
      </c>
      <c r="BB189" s="85" t="str">
        <f t="shared" si="59"/>
        <v/>
      </c>
      <c r="BC189" s="86" t="str">
        <f t="shared" si="60"/>
        <v/>
      </c>
      <c r="BD189" s="84">
        <f t="shared" si="61"/>
        <v>0</v>
      </c>
      <c r="BE189" s="87" t="str">
        <f t="shared" si="62"/>
        <v/>
      </c>
      <c r="BF189" s="88" t="str">
        <f t="shared" si="63"/>
        <v/>
      </c>
      <c r="BG189" s="89" t="str">
        <f t="shared" si="64"/>
        <v/>
      </c>
      <c r="BH189" s="90" t="str">
        <f t="shared" si="65"/>
        <v/>
      </c>
      <c r="BI189" s="90" t="str">
        <f t="shared" si="66"/>
        <v/>
      </c>
      <c r="BJ189" s="91">
        <f t="shared" si="67"/>
        <v>0</v>
      </c>
      <c r="BK189" s="92">
        <f t="shared" si="68"/>
        <v>0</v>
      </c>
      <c r="BL189" s="95"/>
    </row>
    <row r="190" spans="1:64">
      <c r="A190" s="61"/>
      <c r="B190" s="62"/>
      <c r="C190" s="63"/>
      <c r="D190" s="64"/>
      <c r="E190" s="64"/>
      <c r="F190" s="65"/>
      <c r="G190" s="66" t="str">
        <f t="shared" si="46"/>
        <v/>
      </c>
      <c r="H190" s="67" t="str">
        <f t="shared" si="47"/>
        <v/>
      </c>
      <c r="I190" s="68" t="str">
        <f t="shared" si="48"/>
        <v/>
      </c>
      <c r="J190" s="69" t="str">
        <f t="shared" si="49"/>
        <v/>
      </c>
      <c r="K190" s="70" t="str">
        <f t="shared" si="50"/>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51"/>
        <v>0</v>
      </c>
      <c r="AL190" s="74"/>
      <c r="AM190" s="74"/>
      <c r="AN190" s="81" t="str">
        <f t="shared" si="52"/>
        <v/>
      </c>
      <c r="AO190" s="82"/>
      <c r="AP190" s="75"/>
      <c r="AQ190" s="75"/>
      <c r="AR190" s="80">
        <f t="shared" si="53"/>
        <v>0</v>
      </c>
      <c r="AS190" s="74"/>
      <c r="AT190" s="75"/>
      <c r="AU190" s="75"/>
      <c r="AV190" s="75"/>
      <c r="AW190" s="80">
        <f t="shared" si="54"/>
        <v>0</v>
      </c>
      <c r="AX190" s="81" t="str">
        <f t="shared" si="55"/>
        <v/>
      </c>
      <c r="AY190" s="83" t="str">
        <f t="shared" si="56"/>
        <v/>
      </c>
      <c r="AZ190" s="80" t="str">
        <f t="shared" si="57"/>
        <v/>
      </c>
      <c r="BA190" s="84">
        <f t="shared" si="58"/>
        <v>0</v>
      </c>
      <c r="BB190" s="85" t="str">
        <f t="shared" si="59"/>
        <v/>
      </c>
      <c r="BC190" s="86" t="str">
        <f t="shared" si="60"/>
        <v/>
      </c>
      <c r="BD190" s="84">
        <f t="shared" si="61"/>
        <v>0</v>
      </c>
      <c r="BE190" s="87" t="str">
        <f t="shared" si="62"/>
        <v/>
      </c>
      <c r="BF190" s="88" t="str">
        <f t="shared" si="63"/>
        <v/>
      </c>
      <c r="BG190" s="89" t="str">
        <f t="shared" si="64"/>
        <v/>
      </c>
      <c r="BH190" s="90" t="str">
        <f t="shared" si="65"/>
        <v/>
      </c>
      <c r="BI190" s="90" t="str">
        <f t="shared" si="66"/>
        <v/>
      </c>
      <c r="BJ190" s="91">
        <f t="shared" si="67"/>
        <v>0</v>
      </c>
      <c r="BK190" s="92">
        <f t="shared" si="68"/>
        <v>0</v>
      </c>
      <c r="BL190" s="95"/>
    </row>
    <row r="191" spans="1:64">
      <c r="A191" s="61"/>
      <c r="B191" s="62"/>
      <c r="C191" s="63"/>
      <c r="D191" s="64"/>
      <c r="E191" s="64"/>
      <c r="F191" s="65"/>
      <c r="G191" s="66" t="str">
        <f t="shared" si="46"/>
        <v/>
      </c>
      <c r="H191" s="67" t="str">
        <f t="shared" si="47"/>
        <v/>
      </c>
      <c r="I191" s="68" t="str">
        <f t="shared" si="48"/>
        <v/>
      </c>
      <c r="J191" s="69" t="str">
        <f t="shared" si="49"/>
        <v/>
      </c>
      <c r="K191" s="70" t="str">
        <f t="shared" si="50"/>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51"/>
        <v>0</v>
      </c>
      <c r="AL191" s="74"/>
      <c r="AM191" s="74"/>
      <c r="AN191" s="81" t="str">
        <f t="shared" si="52"/>
        <v/>
      </c>
      <c r="AO191" s="82"/>
      <c r="AP191" s="75"/>
      <c r="AQ191" s="75"/>
      <c r="AR191" s="80">
        <f t="shared" si="53"/>
        <v>0</v>
      </c>
      <c r="AS191" s="74"/>
      <c r="AT191" s="75"/>
      <c r="AU191" s="75"/>
      <c r="AV191" s="75"/>
      <c r="AW191" s="80">
        <f t="shared" si="54"/>
        <v>0</v>
      </c>
      <c r="AX191" s="81" t="str">
        <f t="shared" si="55"/>
        <v/>
      </c>
      <c r="AY191" s="83" t="str">
        <f t="shared" si="56"/>
        <v/>
      </c>
      <c r="AZ191" s="80" t="str">
        <f t="shared" si="57"/>
        <v/>
      </c>
      <c r="BA191" s="84">
        <f t="shared" si="58"/>
        <v>0</v>
      </c>
      <c r="BB191" s="85" t="str">
        <f t="shared" si="59"/>
        <v/>
      </c>
      <c r="BC191" s="86" t="str">
        <f t="shared" si="60"/>
        <v/>
      </c>
      <c r="BD191" s="84">
        <f t="shared" si="61"/>
        <v>0</v>
      </c>
      <c r="BE191" s="87" t="str">
        <f t="shared" si="62"/>
        <v/>
      </c>
      <c r="BF191" s="88" t="str">
        <f t="shared" si="63"/>
        <v/>
      </c>
      <c r="BG191" s="89" t="str">
        <f t="shared" si="64"/>
        <v/>
      </c>
      <c r="BH191" s="90" t="str">
        <f t="shared" si="65"/>
        <v/>
      </c>
      <c r="BI191" s="90" t="str">
        <f t="shared" si="66"/>
        <v/>
      </c>
      <c r="BJ191" s="91">
        <f t="shared" si="67"/>
        <v>0</v>
      </c>
      <c r="BK191" s="92">
        <f t="shared" si="68"/>
        <v>0</v>
      </c>
      <c r="BL191" s="95"/>
    </row>
    <row r="192" spans="1:64">
      <c r="A192" s="61"/>
      <c r="B192" s="62"/>
      <c r="C192" s="63"/>
      <c r="D192" s="64"/>
      <c r="E192" s="64"/>
      <c r="F192" s="65"/>
      <c r="G192" s="66" t="str">
        <f t="shared" si="46"/>
        <v/>
      </c>
      <c r="H192" s="67" t="str">
        <f t="shared" si="47"/>
        <v/>
      </c>
      <c r="I192" s="68" t="str">
        <f t="shared" si="48"/>
        <v/>
      </c>
      <c r="J192" s="69" t="str">
        <f t="shared" si="49"/>
        <v/>
      </c>
      <c r="K192" s="70" t="str">
        <f t="shared" si="50"/>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51"/>
        <v>0</v>
      </c>
      <c r="AL192" s="74"/>
      <c r="AM192" s="74"/>
      <c r="AN192" s="81" t="str">
        <f t="shared" si="52"/>
        <v/>
      </c>
      <c r="AO192" s="82"/>
      <c r="AP192" s="75"/>
      <c r="AQ192" s="75"/>
      <c r="AR192" s="80">
        <f t="shared" si="53"/>
        <v>0</v>
      </c>
      <c r="AS192" s="74"/>
      <c r="AT192" s="75"/>
      <c r="AU192" s="75"/>
      <c r="AV192" s="75"/>
      <c r="AW192" s="80">
        <f t="shared" si="54"/>
        <v>0</v>
      </c>
      <c r="AX192" s="81" t="str">
        <f t="shared" si="55"/>
        <v/>
      </c>
      <c r="AY192" s="83" t="str">
        <f t="shared" si="56"/>
        <v/>
      </c>
      <c r="AZ192" s="80" t="str">
        <f t="shared" si="57"/>
        <v/>
      </c>
      <c r="BA192" s="84">
        <f t="shared" si="58"/>
        <v>0</v>
      </c>
      <c r="BB192" s="85" t="str">
        <f t="shared" si="59"/>
        <v/>
      </c>
      <c r="BC192" s="86" t="str">
        <f t="shared" si="60"/>
        <v/>
      </c>
      <c r="BD192" s="84">
        <f t="shared" si="61"/>
        <v>0</v>
      </c>
      <c r="BE192" s="87" t="str">
        <f t="shared" si="62"/>
        <v/>
      </c>
      <c r="BF192" s="88" t="str">
        <f t="shared" si="63"/>
        <v/>
      </c>
      <c r="BG192" s="89" t="str">
        <f t="shared" si="64"/>
        <v/>
      </c>
      <c r="BH192" s="90" t="str">
        <f t="shared" si="65"/>
        <v/>
      </c>
      <c r="BI192" s="90" t="str">
        <f t="shared" si="66"/>
        <v/>
      </c>
      <c r="BJ192" s="91">
        <f t="shared" si="67"/>
        <v>0</v>
      </c>
      <c r="BK192" s="92">
        <f t="shared" si="68"/>
        <v>0</v>
      </c>
      <c r="BL192" s="95"/>
    </row>
    <row r="193" spans="1:64">
      <c r="A193" s="61"/>
      <c r="B193" s="62"/>
      <c r="C193" s="63"/>
      <c r="D193" s="64"/>
      <c r="E193" s="64"/>
      <c r="F193" s="65"/>
      <c r="G193" s="66" t="str">
        <f t="shared" si="46"/>
        <v/>
      </c>
      <c r="H193" s="67" t="str">
        <f t="shared" si="47"/>
        <v/>
      </c>
      <c r="I193" s="68" t="str">
        <f t="shared" si="48"/>
        <v/>
      </c>
      <c r="J193" s="69" t="str">
        <f t="shared" si="49"/>
        <v/>
      </c>
      <c r="K193" s="70" t="str">
        <f t="shared" si="50"/>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51"/>
        <v>0</v>
      </c>
      <c r="AL193" s="74"/>
      <c r="AM193" s="74"/>
      <c r="AN193" s="81" t="str">
        <f t="shared" si="52"/>
        <v/>
      </c>
      <c r="AO193" s="82"/>
      <c r="AP193" s="75"/>
      <c r="AQ193" s="75"/>
      <c r="AR193" s="80">
        <f t="shared" si="53"/>
        <v>0</v>
      </c>
      <c r="AS193" s="74"/>
      <c r="AT193" s="75"/>
      <c r="AU193" s="75"/>
      <c r="AV193" s="75"/>
      <c r="AW193" s="80">
        <f t="shared" si="54"/>
        <v>0</v>
      </c>
      <c r="AX193" s="81" t="str">
        <f t="shared" si="55"/>
        <v/>
      </c>
      <c r="AY193" s="83" t="str">
        <f t="shared" si="56"/>
        <v/>
      </c>
      <c r="AZ193" s="80" t="str">
        <f t="shared" si="57"/>
        <v/>
      </c>
      <c r="BA193" s="84">
        <f t="shared" si="58"/>
        <v>0</v>
      </c>
      <c r="BB193" s="85" t="str">
        <f t="shared" si="59"/>
        <v/>
      </c>
      <c r="BC193" s="86" t="str">
        <f t="shared" si="60"/>
        <v/>
      </c>
      <c r="BD193" s="84">
        <f t="shared" si="61"/>
        <v>0</v>
      </c>
      <c r="BE193" s="87" t="str">
        <f t="shared" si="62"/>
        <v/>
      </c>
      <c r="BF193" s="88" t="str">
        <f t="shared" si="63"/>
        <v/>
      </c>
      <c r="BG193" s="89" t="str">
        <f t="shared" si="64"/>
        <v/>
      </c>
      <c r="BH193" s="90" t="str">
        <f t="shared" si="65"/>
        <v/>
      </c>
      <c r="BI193" s="90" t="str">
        <f t="shared" si="66"/>
        <v/>
      </c>
      <c r="BJ193" s="91">
        <f t="shared" si="67"/>
        <v>0</v>
      </c>
      <c r="BK193" s="92">
        <f t="shared" si="68"/>
        <v>0</v>
      </c>
      <c r="BL193" s="95"/>
    </row>
    <row r="194" spans="1:64">
      <c r="A194" s="61"/>
      <c r="B194" s="62"/>
      <c r="C194" s="63"/>
      <c r="D194" s="64"/>
      <c r="E194" s="64"/>
      <c r="F194" s="65"/>
      <c r="G194" s="66" t="str">
        <f t="shared" si="46"/>
        <v/>
      </c>
      <c r="H194" s="67" t="str">
        <f t="shared" si="47"/>
        <v/>
      </c>
      <c r="I194" s="68" t="str">
        <f t="shared" si="48"/>
        <v/>
      </c>
      <c r="J194" s="69" t="str">
        <f t="shared" si="49"/>
        <v/>
      </c>
      <c r="K194" s="70" t="str">
        <f t="shared" si="50"/>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51"/>
        <v>0</v>
      </c>
      <c r="AL194" s="74"/>
      <c r="AM194" s="74"/>
      <c r="AN194" s="81" t="str">
        <f t="shared" si="52"/>
        <v/>
      </c>
      <c r="AO194" s="82"/>
      <c r="AP194" s="75"/>
      <c r="AQ194" s="75"/>
      <c r="AR194" s="80">
        <f t="shared" si="53"/>
        <v>0</v>
      </c>
      <c r="AS194" s="74"/>
      <c r="AT194" s="75"/>
      <c r="AU194" s="75"/>
      <c r="AV194" s="75"/>
      <c r="AW194" s="80">
        <f t="shared" si="54"/>
        <v>0</v>
      </c>
      <c r="AX194" s="81" t="str">
        <f t="shared" si="55"/>
        <v/>
      </c>
      <c r="AY194" s="83" t="str">
        <f t="shared" si="56"/>
        <v/>
      </c>
      <c r="AZ194" s="80" t="str">
        <f t="shared" si="57"/>
        <v/>
      </c>
      <c r="BA194" s="84">
        <f t="shared" si="58"/>
        <v>0</v>
      </c>
      <c r="BB194" s="85" t="str">
        <f t="shared" si="59"/>
        <v/>
      </c>
      <c r="BC194" s="86" t="str">
        <f t="shared" si="60"/>
        <v/>
      </c>
      <c r="BD194" s="84">
        <f t="shared" si="61"/>
        <v>0</v>
      </c>
      <c r="BE194" s="87" t="str">
        <f t="shared" si="62"/>
        <v/>
      </c>
      <c r="BF194" s="88" t="str">
        <f t="shared" si="63"/>
        <v/>
      </c>
      <c r="BG194" s="89" t="str">
        <f t="shared" si="64"/>
        <v/>
      </c>
      <c r="BH194" s="90" t="str">
        <f t="shared" si="65"/>
        <v/>
      </c>
      <c r="BI194" s="90" t="str">
        <f t="shared" si="66"/>
        <v/>
      </c>
      <c r="BJ194" s="91">
        <f t="shared" si="67"/>
        <v>0</v>
      </c>
      <c r="BK194" s="92">
        <f t="shared" si="68"/>
        <v>0</v>
      </c>
      <c r="BL194" s="95"/>
    </row>
    <row r="195" spans="1:64">
      <c r="A195" s="61"/>
      <c r="B195" s="62"/>
      <c r="C195" s="63"/>
      <c r="D195" s="64"/>
      <c r="E195" s="64"/>
      <c r="F195" s="65"/>
      <c r="G195" s="66" t="str">
        <f t="shared" si="46"/>
        <v/>
      </c>
      <c r="H195" s="67" t="str">
        <f t="shared" si="47"/>
        <v/>
      </c>
      <c r="I195" s="68" t="str">
        <f t="shared" si="48"/>
        <v/>
      </c>
      <c r="J195" s="69" t="str">
        <f t="shared" si="49"/>
        <v/>
      </c>
      <c r="K195" s="70" t="str">
        <f t="shared" si="50"/>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51"/>
        <v>0</v>
      </c>
      <c r="AL195" s="74"/>
      <c r="AM195" s="74"/>
      <c r="AN195" s="81" t="str">
        <f t="shared" si="52"/>
        <v/>
      </c>
      <c r="AO195" s="82"/>
      <c r="AP195" s="75"/>
      <c r="AQ195" s="75"/>
      <c r="AR195" s="80">
        <f t="shared" si="53"/>
        <v>0</v>
      </c>
      <c r="AS195" s="74"/>
      <c r="AT195" s="75"/>
      <c r="AU195" s="75"/>
      <c r="AV195" s="75"/>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c r="A196" s="61"/>
      <c r="B196" s="62"/>
      <c r="C196" s="63"/>
      <c r="D196" s="64"/>
      <c r="E196" s="64"/>
      <c r="F196" s="65"/>
      <c r="G196" s="66" t="str">
        <f t="shared" si="46"/>
        <v/>
      </c>
      <c r="H196" s="67" t="str">
        <f t="shared" si="47"/>
        <v/>
      </c>
      <c r="I196" s="68" t="str">
        <f t="shared" si="48"/>
        <v/>
      </c>
      <c r="J196" s="69" t="str">
        <f t="shared" si="49"/>
        <v/>
      </c>
      <c r="K196" s="70" t="str">
        <f t="shared" si="50"/>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51"/>
        <v>0</v>
      </c>
      <c r="AL196" s="74"/>
      <c r="AM196" s="74"/>
      <c r="AN196" s="81" t="str">
        <f t="shared" si="52"/>
        <v/>
      </c>
      <c r="AO196" s="82"/>
      <c r="AP196" s="75"/>
      <c r="AQ196" s="75"/>
      <c r="AR196" s="80">
        <f t="shared" si="53"/>
        <v>0</v>
      </c>
      <c r="AS196" s="74"/>
      <c r="AT196" s="75"/>
      <c r="AU196" s="75"/>
      <c r="AV196" s="75"/>
      <c r="AW196" s="80">
        <f t="shared" si="54"/>
        <v>0</v>
      </c>
      <c r="AX196" s="81" t="str">
        <f t="shared" si="55"/>
        <v/>
      </c>
      <c r="AY196" s="83" t="str">
        <f t="shared" si="56"/>
        <v/>
      </c>
      <c r="AZ196" s="80" t="str">
        <f t="shared" si="57"/>
        <v/>
      </c>
      <c r="BA196" s="84">
        <f t="shared" si="58"/>
        <v>0</v>
      </c>
      <c r="BB196" s="85" t="str">
        <f t="shared" si="59"/>
        <v/>
      </c>
      <c r="BC196" s="86" t="str">
        <f t="shared" si="60"/>
        <v/>
      </c>
      <c r="BD196" s="84">
        <f t="shared" si="61"/>
        <v>0</v>
      </c>
      <c r="BE196" s="87" t="str">
        <f t="shared" si="62"/>
        <v/>
      </c>
      <c r="BF196" s="88" t="str">
        <f t="shared" si="63"/>
        <v/>
      </c>
      <c r="BG196" s="89" t="str">
        <f t="shared" si="64"/>
        <v/>
      </c>
      <c r="BH196" s="90" t="str">
        <f t="shared" si="65"/>
        <v/>
      </c>
      <c r="BI196" s="90" t="str">
        <f t="shared" si="66"/>
        <v/>
      </c>
      <c r="BJ196" s="91">
        <f t="shared" si="67"/>
        <v>0</v>
      </c>
      <c r="BK196" s="92">
        <f t="shared" si="68"/>
        <v>0</v>
      </c>
      <c r="BL196" s="95"/>
    </row>
    <row r="197" spans="1:64">
      <c r="A197" s="61"/>
      <c r="B197" s="62"/>
      <c r="C197" s="63"/>
      <c r="D197" s="64"/>
      <c r="E197" s="64"/>
      <c r="F197" s="65"/>
      <c r="G197" s="66" t="str">
        <f t="shared" ref="G197:G260" si="69">IF(E197="","",IF(E197="","",IF((E197-D197+1)&gt;360,"Most Recently 12 Months","Year To Date")))</f>
        <v/>
      </c>
      <c r="H197" s="67" t="str">
        <f t="shared" ref="H197:H260" si="70">IF(E197="","",ROUND((E197-D197+1)/(((365*3+366)/4)/12),0))</f>
        <v/>
      </c>
      <c r="I197" s="68" t="str">
        <f t="shared" ref="I197:I260" si="71">IF(E197="","",YEAR(E197))</f>
        <v/>
      </c>
      <c r="J197" s="69" t="str">
        <f t="shared" ref="J197:J260" si="72">IF(E197="","",CEILING(K197/3,1))</f>
        <v/>
      </c>
      <c r="K197" s="70" t="str">
        <f t="shared" ref="K197:K260" si="73">IF(E197="","",MONTH(E197))</f>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ref="AK197:AK260" si="74">SUM(AH197:AJ197)</f>
        <v>0</v>
      </c>
      <c r="AL197" s="74"/>
      <c r="AM197" s="74"/>
      <c r="AN197" s="81" t="str">
        <f t="shared" ref="AN197:AN260" si="75">IFERROR(AM197/AL197,"")</f>
        <v/>
      </c>
      <c r="AO197" s="82"/>
      <c r="AP197" s="75"/>
      <c r="AQ197" s="75"/>
      <c r="AR197" s="80">
        <f t="shared" ref="AR197:AR260" si="76">SUM(AP197:AQ197)</f>
        <v>0</v>
      </c>
      <c r="AS197" s="74"/>
      <c r="AT197" s="75"/>
      <c r="AU197" s="75"/>
      <c r="AV197" s="75"/>
      <c r="AW197" s="80">
        <f t="shared" ref="AW197:AW260" si="77">SUM(AS197:AV197)</f>
        <v>0</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0</v>
      </c>
      <c r="BB197" s="85" t="str">
        <f t="shared" ref="BB197:BB260" si="82">IFERROR(BA197/AU197,"")</f>
        <v/>
      </c>
      <c r="BC197" s="86" t="str">
        <f t="shared" ref="BC197:BC260" si="83">IFERROR(BA197/AF197,"")</f>
        <v/>
      </c>
      <c r="BD197" s="84">
        <f t="shared" ref="BD197:BD260" si="84">AF197-SUM(AK197,AR197:AT197)</f>
        <v>0</v>
      </c>
      <c r="BE197" s="87" t="str">
        <f t="shared" ref="BE197:BE260" si="85">IFERROR(BD197/SUM(AU197:AV197),"")</f>
        <v/>
      </c>
      <c r="BF197" s="88" t="str">
        <f t="shared" ref="BF197:BF260" si="86">IFERROR(BD197/AF197,"")</f>
        <v/>
      </c>
      <c r="BG197" s="89" t="str">
        <f t="shared" ref="BG197:BG260" si="87">IFERROR(AR197/AF197,"")</f>
        <v/>
      </c>
      <c r="BH197" s="90" t="str">
        <f t="shared" ref="BH197:BH260" si="88">IFERROR(AK197/AF197,"")</f>
        <v/>
      </c>
      <c r="BI197" s="90" t="str">
        <f t="shared" ref="BI197:BI260" si="89">IFERROR(AW197/AF197,"")</f>
        <v/>
      </c>
      <c r="BJ197" s="91">
        <f t="shared" ref="BJ197:BJ260" si="90">SUM(BG197:BI197)</f>
        <v>0</v>
      </c>
      <c r="BK197" s="92">
        <f t="shared" ref="BK197:BK260" si="91">AF197-SUM(AK197,AR197,AW197)</f>
        <v>0</v>
      </c>
      <c r="BL197" s="95"/>
    </row>
    <row r="198" spans="1:64">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c r="A200" s="61"/>
      <c r="B200" s="62"/>
      <c r="C200" s="63"/>
      <c r="D200" s="64"/>
      <c r="E200" s="64"/>
      <c r="F200" s="65"/>
      <c r="G200" s="66" t="str">
        <f t="shared" si="69"/>
        <v/>
      </c>
      <c r="H200" s="67" t="str">
        <f t="shared" si="70"/>
        <v/>
      </c>
      <c r="I200" s="68" t="str">
        <f t="shared" si="71"/>
        <v/>
      </c>
      <c r="J200" s="69" t="str">
        <f t="shared" si="72"/>
        <v/>
      </c>
      <c r="K200" s="70" t="str">
        <f t="shared" si="73"/>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si="74"/>
        <v>0</v>
      </c>
      <c r="AL200" s="74"/>
      <c r="AM200" s="74"/>
      <c r="AN200" s="81" t="str">
        <f t="shared" si="75"/>
        <v/>
      </c>
      <c r="AO200" s="82"/>
      <c r="AP200" s="75"/>
      <c r="AQ200" s="75"/>
      <c r="AR200" s="80">
        <f t="shared" si="76"/>
        <v>0</v>
      </c>
      <c r="AS200" s="74"/>
      <c r="AT200" s="75"/>
      <c r="AU200" s="75"/>
      <c r="AV200" s="75"/>
      <c r="AW200" s="80">
        <f t="shared" si="77"/>
        <v>0</v>
      </c>
      <c r="AX200" s="81" t="str">
        <f t="shared" si="78"/>
        <v/>
      </c>
      <c r="AY200" s="83" t="str">
        <f t="shared" si="79"/>
        <v/>
      </c>
      <c r="AZ200" s="80" t="str">
        <f t="shared" si="80"/>
        <v/>
      </c>
      <c r="BA200" s="84">
        <f t="shared" si="81"/>
        <v>0</v>
      </c>
      <c r="BB200" s="85" t="str">
        <f t="shared" si="82"/>
        <v/>
      </c>
      <c r="BC200" s="86" t="str">
        <f t="shared" si="83"/>
        <v/>
      </c>
      <c r="BD200" s="84">
        <f t="shared" si="84"/>
        <v>0</v>
      </c>
      <c r="BE200" s="87" t="str">
        <f t="shared" si="85"/>
        <v/>
      </c>
      <c r="BF200" s="88" t="str">
        <f t="shared" si="86"/>
        <v/>
      </c>
      <c r="BG200" s="89" t="str">
        <f t="shared" si="87"/>
        <v/>
      </c>
      <c r="BH200" s="90" t="str">
        <f t="shared" si="88"/>
        <v/>
      </c>
      <c r="BI200" s="90" t="str">
        <f t="shared" si="89"/>
        <v/>
      </c>
      <c r="BJ200" s="91">
        <f t="shared" si="90"/>
        <v>0</v>
      </c>
      <c r="BK200" s="92">
        <f t="shared" si="91"/>
        <v>0</v>
      </c>
      <c r="BL200" s="95"/>
    </row>
    <row r="201" spans="1:64">
      <c r="A201" s="61"/>
      <c r="B201" s="62"/>
      <c r="C201" s="63"/>
      <c r="D201" s="64"/>
      <c r="E201" s="64"/>
      <c r="F201" s="65"/>
      <c r="G201" s="66" t="str">
        <f t="shared" si="69"/>
        <v/>
      </c>
      <c r="H201" s="67" t="str">
        <f t="shared" si="70"/>
        <v/>
      </c>
      <c r="I201" s="68" t="str">
        <f t="shared" si="71"/>
        <v/>
      </c>
      <c r="J201" s="69" t="str">
        <f t="shared" si="72"/>
        <v/>
      </c>
      <c r="K201" s="70" t="str">
        <f t="shared" si="73"/>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74"/>
        <v>0</v>
      </c>
      <c r="AL201" s="74"/>
      <c r="AM201" s="74"/>
      <c r="AN201" s="81" t="str">
        <f t="shared" si="75"/>
        <v/>
      </c>
      <c r="AO201" s="82"/>
      <c r="AP201" s="75"/>
      <c r="AQ201" s="75"/>
      <c r="AR201" s="80">
        <f t="shared" si="76"/>
        <v>0</v>
      </c>
      <c r="AS201" s="74"/>
      <c r="AT201" s="75"/>
      <c r="AU201" s="75"/>
      <c r="AV201" s="75"/>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c r="A202" s="61"/>
      <c r="B202" s="62"/>
      <c r="C202" s="63"/>
      <c r="D202" s="64"/>
      <c r="E202" s="64"/>
      <c r="F202" s="65"/>
      <c r="G202" s="66" t="str">
        <f t="shared" si="69"/>
        <v/>
      </c>
      <c r="H202" s="67" t="str">
        <f t="shared" si="70"/>
        <v/>
      </c>
      <c r="I202" s="68" t="str">
        <f t="shared" si="71"/>
        <v/>
      </c>
      <c r="J202" s="69" t="str">
        <f t="shared" si="72"/>
        <v/>
      </c>
      <c r="K202" s="70" t="str">
        <f t="shared" si="73"/>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74"/>
        <v>0</v>
      </c>
      <c r="AL202" s="74"/>
      <c r="AM202" s="74"/>
      <c r="AN202" s="81" t="str">
        <f t="shared" si="75"/>
        <v/>
      </c>
      <c r="AO202" s="82"/>
      <c r="AP202" s="75"/>
      <c r="AQ202" s="75"/>
      <c r="AR202" s="80">
        <f t="shared" si="76"/>
        <v>0</v>
      </c>
      <c r="AS202" s="74"/>
      <c r="AT202" s="75"/>
      <c r="AU202" s="75"/>
      <c r="AV202" s="75"/>
      <c r="AW202" s="80">
        <f t="shared" si="77"/>
        <v>0</v>
      </c>
      <c r="AX202" s="81" t="str">
        <f t="shared" si="78"/>
        <v/>
      </c>
      <c r="AY202" s="83" t="str">
        <f t="shared" si="79"/>
        <v/>
      </c>
      <c r="AZ202" s="80" t="str">
        <f t="shared" si="80"/>
        <v/>
      </c>
      <c r="BA202" s="84">
        <f t="shared" si="81"/>
        <v>0</v>
      </c>
      <c r="BB202" s="85" t="str">
        <f t="shared" si="82"/>
        <v/>
      </c>
      <c r="BC202" s="86" t="str">
        <f t="shared" si="83"/>
        <v/>
      </c>
      <c r="BD202" s="84">
        <f t="shared" si="84"/>
        <v>0</v>
      </c>
      <c r="BE202" s="87" t="str">
        <f t="shared" si="85"/>
        <v/>
      </c>
      <c r="BF202" s="88" t="str">
        <f t="shared" si="86"/>
        <v/>
      </c>
      <c r="BG202" s="89" t="str">
        <f t="shared" si="87"/>
        <v/>
      </c>
      <c r="BH202" s="90" t="str">
        <f t="shared" si="88"/>
        <v/>
      </c>
      <c r="BI202" s="90" t="str">
        <f t="shared" si="89"/>
        <v/>
      </c>
      <c r="BJ202" s="91">
        <f t="shared" si="90"/>
        <v>0</v>
      </c>
      <c r="BK202" s="92">
        <f t="shared" si="91"/>
        <v>0</v>
      </c>
      <c r="BL202" s="95"/>
    </row>
    <row r="203" spans="1:64">
      <c r="A203" s="61"/>
      <c r="B203" s="62"/>
      <c r="C203" s="63"/>
      <c r="D203" s="64"/>
      <c r="E203" s="64"/>
      <c r="F203" s="65"/>
      <c r="G203" s="66" t="str">
        <f t="shared" si="69"/>
        <v/>
      </c>
      <c r="H203" s="67" t="str">
        <f t="shared" si="70"/>
        <v/>
      </c>
      <c r="I203" s="68" t="str">
        <f t="shared" si="71"/>
        <v/>
      </c>
      <c r="J203" s="69" t="str">
        <f t="shared" si="72"/>
        <v/>
      </c>
      <c r="K203" s="70" t="str">
        <f t="shared" si="73"/>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74"/>
        <v>0</v>
      </c>
      <c r="AL203" s="74"/>
      <c r="AM203" s="74"/>
      <c r="AN203" s="81" t="str">
        <f t="shared" si="75"/>
        <v/>
      </c>
      <c r="AO203" s="82"/>
      <c r="AP203" s="75"/>
      <c r="AQ203" s="75"/>
      <c r="AR203" s="80">
        <f t="shared" si="76"/>
        <v>0</v>
      </c>
      <c r="AS203" s="74"/>
      <c r="AT203" s="75"/>
      <c r="AU203" s="75"/>
      <c r="AV203" s="75"/>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c r="A204" s="61"/>
      <c r="B204" s="62"/>
      <c r="C204" s="63"/>
      <c r="D204" s="64"/>
      <c r="E204" s="64"/>
      <c r="F204" s="65"/>
      <c r="G204" s="66" t="str">
        <f t="shared" si="69"/>
        <v/>
      </c>
      <c r="H204" s="67" t="str">
        <f t="shared" si="70"/>
        <v/>
      </c>
      <c r="I204" s="68" t="str">
        <f t="shared" si="71"/>
        <v/>
      </c>
      <c r="J204" s="69" t="str">
        <f t="shared" si="72"/>
        <v/>
      </c>
      <c r="K204" s="70" t="str">
        <f t="shared" si="73"/>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74"/>
        <v>0</v>
      </c>
      <c r="AL204" s="74"/>
      <c r="AM204" s="74"/>
      <c r="AN204" s="81" t="str">
        <f t="shared" si="75"/>
        <v/>
      </c>
      <c r="AO204" s="82"/>
      <c r="AP204" s="75"/>
      <c r="AQ204" s="75"/>
      <c r="AR204" s="80">
        <f t="shared" si="76"/>
        <v>0</v>
      </c>
      <c r="AS204" s="74"/>
      <c r="AT204" s="75"/>
      <c r="AU204" s="75"/>
      <c r="AV204" s="75"/>
      <c r="AW204" s="80">
        <f t="shared" si="77"/>
        <v>0</v>
      </c>
      <c r="AX204" s="81" t="str">
        <f t="shared" si="78"/>
        <v/>
      </c>
      <c r="AY204" s="83" t="str">
        <f t="shared" si="79"/>
        <v/>
      </c>
      <c r="AZ204" s="80" t="str">
        <f t="shared" si="80"/>
        <v/>
      </c>
      <c r="BA204" s="84">
        <f t="shared" si="81"/>
        <v>0</v>
      </c>
      <c r="BB204" s="85" t="str">
        <f t="shared" si="82"/>
        <v/>
      </c>
      <c r="BC204" s="86" t="str">
        <f t="shared" si="83"/>
        <v/>
      </c>
      <c r="BD204" s="84">
        <f t="shared" si="84"/>
        <v>0</v>
      </c>
      <c r="BE204" s="87" t="str">
        <f t="shared" si="85"/>
        <v/>
      </c>
      <c r="BF204" s="88" t="str">
        <f t="shared" si="86"/>
        <v/>
      </c>
      <c r="BG204" s="89" t="str">
        <f t="shared" si="87"/>
        <v/>
      </c>
      <c r="BH204" s="90" t="str">
        <f t="shared" si="88"/>
        <v/>
      </c>
      <c r="BI204" s="90" t="str">
        <f t="shared" si="89"/>
        <v/>
      </c>
      <c r="BJ204" s="91">
        <f t="shared" si="90"/>
        <v>0</v>
      </c>
      <c r="BK204" s="92">
        <f t="shared" si="91"/>
        <v>0</v>
      </c>
      <c r="BL204" s="95"/>
    </row>
    <row r="205" spans="1:64">
      <c r="A205" s="61"/>
      <c r="B205" s="62"/>
      <c r="C205" s="63"/>
      <c r="D205" s="64"/>
      <c r="E205" s="64"/>
      <c r="F205" s="65"/>
      <c r="G205" s="66" t="str">
        <f t="shared" si="69"/>
        <v/>
      </c>
      <c r="H205" s="67" t="str">
        <f t="shared" si="70"/>
        <v/>
      </c>
      <c r="I205" s="68" t="str">
        <f t="shared" si="71"/>
        <v/>
      </c>
      <c r="J205" s="69" t="str">
        <f t="shared" si="72"/>
        <v/>
      </c>
      <c r="K205" s="70" t="str">
        <f t="shared" si="73"/>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74"/>
        <v>0</v>
      </c>
      <c r="AL205" s="74"/>
      <c r="AM205" s="74"/>
      <c r="AN205" s="81" t="str">
        <f t="shared" si="75"/>
        <v/>
      </c>
      <c r="AO205" s="82"/>
      <c r="AP205" s="75"/>
      <c r="AQ205" s="75"/>
      <c r="AR205" s="80">
        <f t="shared" si="76"/>
        <v>0</v>
      </c>
      <c r="AS205" s="74"/>
      <c r="AT205" s="75"/>
      <c r="AU205" s="75"/>
      <c r="AV205" s="75"/>
      <c r="AW205" s="80">
        <f t="shared" si="77"/>
        <v>0</v>
      </c>
      <c r="AX205" s="81" t="str">
        <f t="shared" si="78"/>
        <v/>
      </c>
      <c r="AY205" s="83" t="str">
        <f t="shared" si="79"/>
        <v/>
      </c>
      <c r="AZ205" s="80" t="str">
        <f t="shared" si="80"/>
        <v/>
      </c>
      <c r="BA205" s="84">
        <f t="shared" si="81"/>
        <v>0</v>
      </c>
      <c r="BB205" s="85" t="str">
        <f t="shared" si="82"/>
        <v/>
      </c>
      <c r="BC205" s="86" t="str">
        <f t="shared" si="83"/>
        <v/>
      </c>
      <c r="BD205" s="84">
        <f t="shared" si="84"/>
        <v>0</v>
      </c>
      <c r="BE205" s="87" t="str">
        <f t="shared" si="85"/>
        <v/>
      </c>
      <c r="BF205" s="88" t="str">
        <f t="shared" si="86"/>
        <v/>
      </c>
      <c r="BG205" s="89" t="str">
        <f t="shared" si="87"/>
        <v/>
      </c>
      <c r="BH205" s="90" t="str">
        <f t="shared" si="88"/>
        <v/>
      </c>
      <c r="BI205" s="90" t="str">
        <f t="shared" si="89"/>
        <v/>
      </c>
      <c r="BJ205" s="91">
        <f t="shared" si="90"/>
        <v>0</v>
      </c>
      <c r="BK205" s="92">
        <f t="shared" si="91"/>
        <v>0</v>
      </c>
      <c r="BL205" s="95"/>
    </row>
    <row r="206" spans="1:64">
      <c r="A206" s="61"/>
      <c r="B206" s="62"/>
      <c r="C206" s="63"/>
      <c r="D206" s="64"/>
      <c r="E206" s="64"/>
      <c r="F206" s="65"/>
      <c r="G206" s="66" t="str">
        <f t="shared" si="69"/>
        <v/>
      </c>
      <c r="H206" s="67" t="str">
        <f t="shared" si="70"/>
        <v/>
      </c>
      <c r="I206" s="68" t="str">
        <f t="shared" si="71"/>
        <v/>
      </c>
      <c r="J206" s="69" t="str">
        <f t="shared" si="72"/>
        <v/>
      </c>
      <c r="K206" s="70" t="str">
        <f t="shared" si="73"/>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74"/>
        <v>0</v>
      </c>
      <c r="AL206" s="74"/>
      <c r="AM206" s="74"/>
      <c r="AN206" s="81" t="str">
        <f t="shared" si="75"/>
        <v/>
      </c>
      <c r="AO206" s="82"/>
      <c r="AP206" s="75"/>
      <c r="AQ206" s="75"/>
      <c r="AR206" s="80">
        <f t="shared" si="76"/>
        <v>0</v>
      </c>
      <c r="AS206" s="74"/>
      <c r="AT206" s="75"/>
      <c r="AU206" s="75"/>
      <c r="AV206" s="75"/>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c r="A207" s="61"/>
      <c r="B207" s="62"/>
      <c r="C207" s="63"/>
      <c r="D207" s="64"/>
      <c r="E207" s="64"/>
      <c r="F207" s="65"/>
      <c r="G207" s="66" t="str">
        <f t="shared" si="69"/>
        <v/>
      </c>
      <c r="H207" s="67" t="str">
        <f t="shared" si="70"/>
        <v/>
      </c>
      <c r="I207" s="68" t="str">
        <f t="shared" si="71"/>
        <v/>
      </c>
      <c r="J207" s="69" t="str">
        <f t="shared" si="72"/>
        <v/>
      </c>
      <c r="K207" s="70" t="str">
        <f t="shared" si="73"/>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74"/>
        <v>0</v>
      </c>
      <c r="AL207" s="74"/>
      <c r="AM207" s="74"/>
      <c r="AN207" s="81" t="str">
        <f t="shared" si="75"/>
        <v/>
      </c>
      <c r="AO207" s="82"/>
      <c r="AP207" s="75"/>
      <c r="AQ207" s="75"/>
      <c r="AR207" s="80">
        <f t="shared" si="76"/>
        <v>0</v>
      </c>
      <c r="AS207" s="74"/>
      <c r="AT207" s="75"/>
      <c r="AU207" s="75"/>
      <c r="AV207" s="75"/>
      <c r="AW207" s="80">
        <f t="shared" si="77"/>
        <v>0</v>
      </c>
      <c r="AX207" s="81" t="str">
        <f t="shared" si="78"/>
        <v/>
      </c>
      <c r="AY207" s="83" t="str">
        <f t="shared" si="79"/>
        <v/>
      </c>
      <c r="AZ207" s="80" t="str">
        <f t="shared" si="80"/>
        <v/>
      </c>
      <c r="BA207" s="84">
        <f t="shared" si="81"/>
        <v>0</v>
      </c>
      <c r="BB207" s="85" t="str">
        <f t="shared" si="82"/>
        <v/>
      </c>
      <c r="BC207" s="86" t="str">
        <f t="shared" si="83"/>
        <v/>
      </c>
      <c r="BD207" s="84">
        <f t="shared" si="84"/>
        <v>0</v>
      </c>
      <c r="BE207" s="87" t="str">
        <f t="shared" si="85"/>
        <v/>
      </c>
      <c r="BF207" s="88" t="str">
        <f t="shared" si="86"/>
        <v/>
      </c>
      <c r="BG207" s="89" t="str">
        <f t="shared" si="87"/>
        <v/>
      </c>
      <c r="BH207" s="90" t="str">
        <f t="shared" si="88"/>
        <v/>
      </c>
      <c r="BI207" s="90" t="str">
        <f t="shared" si="89"/>
        <v/>
      </c>
      <c r="BJ207" s="91">
        <f t="shared" si="90"/>
        <v>0</v>
      </c>
      <c r="BK207" s="92">
        <f t="shared" si="91"/>
        <v>0</v>
      </c>
      <c r="BL207" s="95"/>
    </row>
    <row r="208" spans="1:64">
      <c r="A208" s="61"/>
      <c r="B208" s="62"/>
      <c r="C208" s="63"/>
      <c r="D208" s="64"/>
      <c r="E208" s="64"/>
      <c r="F208" s="65"/>
      <c r="G208" s="66" t="str">
        <f t="shared" si="69"/>
        <v/>
      </c>
      <c r="H208" s="67" t="str">
        <f t="shared" si="70"/>
        <v/>
      </c>
      <c r="I208" s="68" t="str">
        <f t="shared" si="71"/>
        <v/>
      </c>
      <c r="J208" s="69" t="str">
        <f t="shared" si="72"/>
        <v/>
      </c>
      <c r="K208" s="70" t="str">
        <f t="shared" si="73"/>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74"/>
        <v>0</v>
      </c>
      <c r="AL208" s="74"/>
      <c r="AM208" s="74"/>
      <c r="AN208" s="81" t="str">
        <f t="shared" si="75"/>
        <v/>
      </c>
      <c r="AO208" s="82"/>
      <c r="AP208" s="75"/>
      <c r="AQ208" s="75"/>
      <c r="AR208" s="80">
        <f t="shared" si="76"/>
        <v>0</v>
      </c>
      <c r="AS208" s="74"/>
      <c r="AT208" s="75"/>
      <c r="AU208" s="75"/>
      <c r="AV208" s="75"/>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c r="A209" s="61"/>
      <c r="B209" s="62"/>
      <c r="C209" s="63"/>
      <c r="D209" s="64"/>
      <c r="E209" s="64"/>
      <c r="F209" s="65"/>
      <c r="G209" s="66" t="str">
        <f t="shared" si="69"/>
        <v/>
      </c>
      <c r="H209" s="67" t="str">
        <f t="shared" si="70"/>
        <v/>
      </c>
      <c r="I209" s="68" t="str">
        <f t="shared" si="71"/>
        <v/>
      </c>
      <c r="J209" s="69" t="str">
        <f t="shared" si="72"/>
        <v/>
      </c>
      <c r="K209" s="70" t="str">
        <f t="shared" si="73"/>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74"/>
        <v>0</v>
      </c>
      <c r="AL209" s="74"/>
      <c r="AM209" s="74"/>
      <c r="AN209" s="81" t="str">
        <f t="shared" si="75"/>
        <v/>
      </c>
      <c r="AO209" s="82"/>
      <c r="AP209" s="75"/>
      <c r="AQ209" s="75"/>
      <c r="AR209" s="80">
        <f t="shared" si="76"/>
        <v>0</v>
      </c>
      <c r="AS209" s="74"/>
      <c r="AT209" s="75"/>
      <c r="AU209" s="75"/>
      <c r="AV209" s="75"/>
      <c r="AW209" s="80">
        <f t="shared" si="77"/>
        <v>0</v>
      </c>
      <c r="AX209" s="81" t="str">
        <f t="shared" si="78"/>
        <v/>
      </c>
      <c r="AY209" s="83" t="str">
        <f t="shared" si="79"/>
        <v/>
      </c>
      <c r="AZ209" s="80" t="str">
        <f t="shared" si="80"/>
        <v/>
      </c>
      <c r="BA209" s="84">
        <f t="shared" si="81"/>
        <v>0</v>
      </c>
      <c r="BB209" s="85" t="str">
        <f t="shared" si="82"/>
        <v/>
      </c>
      <c r="BC209" s="86" t="str">
        <f t="shared" si="83"/>
        <v/>
      </c>
      <c r="BD209" s="84">
        <f t="shared" si="84"/>
        <v>0</v>
      </c>
      <c r="BE209" s="87" t="str">
        <f t="shared" si="85"/>
        <v/>
      </c>
      <c r="BF209" s="88" t="str">
        <f t="shared" si="86"/>
        <v/>
      </c>
      <c r="BG209" s="89" t="str">
        <f t="shared" si="87"/>
        <v/>
      </c>
      <c r="BH209" s="90" t="str">
        <f t="shared" si="88"/>
        <v/>
      </c>
      <c r="BI209" s="90" t="str">
        <f t="shared" si="89"/>
        <v/>
      </c>
      <c r="BJ209" s="91">
        <f t="shared" si="90"/>
        <v>0</v>
      </c>
      <c r="BK209" s="92">
        <f t="shared" si="91"/>
        <v>0</v>
      </c>
      <c r="BL209" s="95"/>
    </row>
    <row r="210" spans="1:64">
      <c r="A210" s="61"/>
      <c r="B210" s="62"/>
      <c r="C210" s="63"/>
      <c r="D210" s="64"/>
      <c r="E210" s="64"/>
      <c r="F210" s="65"/>
      <c r="G210" s="66" t="str">
        <f t="shared" si="69"/>
        <v/>
      </c>
      <c r="H210" s="67" t="str">
        <f t="shared" si="70"/>
        <v/>
      </c>
      <c r="I210" s="68" t="str">
        <f t="shared" si="71"/>
        <v/>
      </c>
      <c r="J210" s="69" t="str">
        <f t="shared" si="72"/>
        <v/>
      </c>
      <c r="K210" s="70" t="str">
        <f t="shared" si="73"/>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74"/>
        <v>0</v>
      </c>
      <c r="AL210" s="74"/>
      <c r="AM210" s="74"/>
      <c r="AN210" s="81" t="str">
        <f t="shared" si="75"/>
        <v/>
      </c>
      <c r="AO210" s="82"/>
      <c r="AP210" s="75"/>
      <c r="AQ210" s="75"/>
      <c r="AR210" s="80">
        <f t="shared" si="76"/>
        <v>0</v>
      </c>
      <c r="AS210" s="74"/>
      <c r="AT210" s="75"/>
      <c r="AU210" s="75"/>
      <c r="AV210" s="75"/>
      <c r="AW210" s="80">
        <f t="shared" si="77"/>
        <v>0</v>
      </c>
      <c r="AX210" s="81" t="str">
        <f t="shared" si="78"/>
        <v/>
      </c>
      <c r="AY210" s="83" t="str">
        <f t="shared" si="79"/>
        <v/>
      </c>
      <c r="AZ210" s="80" t="str">
        <f t="shared" si="80"/>
        <v/>
      </c>
      <c r="BA210" s="84">
        <f t="shared" si="81"/>
        <v>0</v>
      </c>
      <c r="BB210" s="85" t="str">
        <f t="shared" si="82"/>
        <v/>
      </c>
      <c r="BC210" s="86" t="str">
        <f t="shared" si="83"/>
        <v/>
      </c>
      <c r="BD210" s="84">
        <f t="shared" si="84"/>
        <v>0</v>
      </c>
      <c r="BE210" s="87" t="str">
        <f t="shared" si="85"/>
        <v/>
      </c>
      <c r="BF210" s="88" t="str">
        <f t="shared" si="86"/>
        <v/>
      </c>
      <c r="BG210" s="89" t="str">
        <f t="shared" si="87"/>
        <v/>
      </c>
      <c r="BH210" s="90" t="str">
        <f t="shared" si="88"/>
        <v/>
      </c>
      <c r="BI210" s="90" t="str">
        <f t="shared" si="89"/>
        <v/>
      </c>
      <c r="BJ210" s="91">
        <f t="shared" si="90"/>
        <v>0</v>
      </c>
      <c r="BK210" s="92">
        <f t="shared" si="91"/>
        <v>0</v>
      </c>
      <c r="BL210" s="95"/>
    </row>
    <row r="211" spans="1:64">
      <c r="A211" s="61"/>
      <c r="B211" s="62"/>
      <c r="C211" s="63"/>
      <c r="D211" s="64"/>
      <c r="E211" s="64"/>
      <c r="F211" s="65"/>
      <c r="G211" s="66" t="str">
        <f t="shared" si="69"/>
        <v/>
      </c>
      <c r="H211" s="67" t="str">
        <f t="shared" si="70"/>
        <v/>
      </c>
      <c r="I211" s="68" t="str">
        <f t="shared" si="71"/>
        <v/>
      </c>
      <c r="J211" s="69" t="str">
        <f t="shared" si="72"/>
        <v/>
      </c>
      <c r="K211" s="70" t="str">
        <f t="shared" si="73"/>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74"/>
        <v>0</v>
      </c>
      <c r="AL211" s="74"/>
      <c r="AM211" s="74"/>
      <c r="AN211" s="81" t="str">
        <f t="shared" si="75"/>
        <v/>
      </c>
      <c r="AO211" s="82"/>
      <c r="AP211" s="75"/>
      <c r="AQ211" s="75"/>
      <c r="AR211" s="80">
        <f t="shared" si="76"/>
        <v>0</v>
      </c>
      <c r="AS211" s="74"/>
      <c r="AT211" s="75"/>
      <c r="AU211" s="75"/>
      <c r="AV211" s="75"/>
      <c r="AW211" s="80">
        <f t="shared" si="77"/>
        <v>0</v>
      </c>
      <c r="AX211" s="81" t="str">
        <f t="shared" si="78"/>
        <v/>
      </c>
      <c r="AY211" s="83" t="str">
        <f t="shared" si="79"/>
        <v/>
      </c>
      <c r="AZ211" s="80" t="str">
        <f t="shared" si="80"/>
        <v/>
      </c>
      <c r="BA211" s="84">
        <f t="shared" si="81"/>
        <v>0</v>
      </c>
      <c r="BB211" s="85" t="str">
        <f t="shared" si="82"/>
        <v/>
      </c>
      <c r="BC211" s="86" t="str">
        <f t="shared" si="83"/>
        <v/>
      </c>
      <c r="BD211" s="84">
        <f t="shared" si="84"/>
        <v>0</v>
      </c>
      <c r="BE211" s="87" t="str">
        <f t="shared" si="85"/>
        <v/>
      </c>
      <c r="BF211" s="88" t="str">
        <f t="shared" si="86"/>
        <v/>
      </c>
      <c r="BG211" s="89" t="str">
        <f t="shared" si="87"/>
        <v/>
      </c>
      <c r="BH211" s="90" t="str">
        <f t="shared" si="88"/>
        <v/>
      </c>
      <c r="BI211" s="90" t="str">
        <f t="shared" si="89"/>
        <v/>
      </c>
      <c r="BJ211" s="91">
        <f t="shared" si="90"/>
        <v>0</v>
      </c>
      <c r="BK211" s="92">
        <f t="shared" si="91"/>
        <v>0</v>
      </c>
      <c r="BL211" s="95"/>
    </row>
    <row r="212" spans="1:64">
      <c r="A212" s="61"/>
      <c r="B212" s="62"/>
      <c r="C212" s="63"/>
      <c r="D212" s="64"/>
      <c r="E212" s="64"/>
      <c r="F212" s="65"/>
      <c r="G212" s="66" t="str">
        <f t="shared" si="69"/>
        <v/>
      </c>
      <c r="H212" s="67" t="str">
        <f t="shared" si="70"/>
        <v/>
      </c>
      <c r="I212" s="68" t="str">
        <f t="shared" si="71"/>
        <v/>
      </c>
      <c r="J212" s="69" t="str">
        <f t="shared" si="72"/>
        <v/>
      </c>
      <c r="K212" s="70" t="str">
        <f t="shared" si="73"/>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74"/>
        <v>0</v>
      </c>
      <c r="AL212" s="74"/>
      <c r="AM212" s="74"/>
      <c r="AN212" s="81" t="str">
        <f t="shared" si="75"/>
        <v/>
      </c>
      <c r="AO212" s="82"/>
      <c r="AP212" s="75"/>
      <c r="AQ212" s="75"/>
      <c r="AR212" s="80">
        <f t="shared" si="76"/>
        <v>0</v>
      </c>
      <c r="AS212" s="74"/>
      <c r="AT212" s="75"/>
      <c r="AU212" s="75"/>
      <c r="AV212" s="75"/>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c r="A965" s="61"/>
      <c r="B965" s="62"/>
      <c r="C965" s="63"/>
      <c r="D965" s="64"/>
      <c r="E965" s="64"/>
      <c r="F965" s="65"/>
      <c r="G965" s="66" t="str">
        <f t="shared" ref="G965:G1005" si="345">IF(E965="","",IF(E965="","",IF((E965-D965+1)&gt;360,"Most Recently 12 Months","Year To Date")))</f>
        <v/>
      </c>
      <c r="H965" s="67" t="str">
        <f t="shared" ref="H965:H1005" si="346">IF(E965="","",ROUND((E965-D965+1)/(((365*3+366)/4)/12),0))</f>
        <v/>
      </c>
      <c r="I965" s="68" t="str">
        <f t="shared" ref="I965:I1005" si="347">IF(E965="","",YEAR(E965))</f>
        <v/>
      </c>
      <c r="J965" s="69" t="str">
        <f t="shared" ref="J965:J1005" si="348">IF(E965="","",CEILING(K965/3,1))</f>
        <v/>
      </c>
      <c r="K965" s="70" t="str">
        <f t="shared" ref="K965:K1005"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1005" si="350">SUM(AH965:AJ965)</f>
        <v>0</v>
      </c>
      <c r="AL965" s="74"/>
      <c r="AM965" s="74"/>
      <c r="AN965" s="81" t="str">
        <f t="shared" ref="AN965:AN1005" si="351">IFERROR(AM965/AL965,"")</f>
        <v/>
      </c>
      <c r="AO965" s="82"/>
      <c r="AP965" s="75"/>
      <c r="AQ965" s="75"/>
      <c r="AR965" s="80">
        <f t="shared" ref="AR965:AR1005" si="352">SUM(AP965:AQ965)</f>
        <v>0</v>
      </c>
      <c r="AS965" s="74"/>
      <c r="AT965" s="75"/>
      <c r="AU965" s="75"/>
      <c r="AV965" s="75"/>
      <c r="AW965" s="80">
        <f t="shared" ref="AW965:AW1005" si="353">SUM(AS965:AV965)</f>
        <v>0</v>
      </c>
      <c r="AX965" s="81" t="str">
        <f t="shared" ref="AX965:AX1005" si="354">IFERROR(AO965/AE965,"")</f>
        <v/>
      </c>
      <c r="AY965" s="83" t="str">
        <f t="shared" ref="AY965:AY1005" si="355">IFERROR(AR965/AO965,"")</f>
        <v/>
      </c>
      <c r="AZ965" s="80" t="str">
        <f t="shared" ref="AZ965:AZ1005" si="356">IFERROR(AX965*AY965,"")</f>
        <v/>
      </c>
      <c r="BA965" s="84">
        <f t="shared" ref="BA965:BA1005" si="357">AF965-SUM(AK965,AR965:AT965,AV965)</f>
        <v>0</v>
      </c>
      <c r="BB965" s="85" t="str">
        <f t="shared" ref="BB965:BB1005" si="358">IFERROR(BA965/AU965,"")</f>
        <v/>
      </c>
      <c r="BC965" s="86" t="str">
        <f t="shared" ref="BC965:BC1005" si="359">IFERROR(BA965/AF965,"")</f>
        <v/>
      </c>
      <c r="BD965" s="84">
        <f t="shared" ref="BD965:BD1005" si="360">AF965-SUM(AK965,AR965:AT965)</f>
        <v>0</v>
      </c>
      <c r="BE965" s="87" t="str">
        <f t="shared" ref="BE965:BE1005" si="361">IFERROR(BD965/SUM(AU965:AV965),"")</f>
        <v/>
      </c>
      <c r="BF965" s="88" t="str">
        <f t="shared" ref="BF965:BF1005" si="362">IFERROR(BD965/AF965,"")</f>
        <v/>
      </c>
      <c r="BG965" s="89" t="str">
        <f t="shared" ref="BG965:BG1005" si="363">IFERROR(AR965/AF965,"")</f>
        <v/>
      </c>
      <c r="BH965" s="90" t="str">
        <f t="shared" ref="BH965:BH1005" si="364">IFERROR(AK965/AF965,"")</f>
        <v/>
      </c>
      <c r="BI965" s="90" t="str">
        <f t="shared" ref="BI965:BI1005" si="365">IFERROR(AW965/AF965,"")</f>
        <v/>
      </c>
      <c r="BJ965" s="91">
        <f t="shared" ref="BJ965:BJ1005" si="366">SUM(BG965:BI965)</f>
        <v>0</v>
      </c>
      <c r="BK965" s="92">
        <f t="shared" ref="BK965:BK1005" si="367">AF965-SUM(AK965,AR965,AW965)</f>
        <v>0</v>
      </c>
      <c r="BL965" s="95"/>
    </row>
    <row r="966" spans="1:64">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row r="985" spans="1:64">
      <c r="A985" s="61"/>
      <c r="B985" s="62"/>
      <c r="C985" s="63"/>
      <c r="D985" s="64"/>
      <c r="E985" s="64"/>
      <c r="F985" s="65"/>
      <c r="G985" s="66" t="str">
        <f t="shared" si="345"/>
        <v/>
      </c>
      <c r="H985" s="67" t="str">
        <f t="shared" si="346"/>
        <v/>
      </c>
      <c r="I985" s="68" t="str">
        <f t="shared" si="347"/>
        <v/>
      </c>
      <c r="J985" s="69" t="str">
        <f t="shared" si="348"/>
        <v/>
      </c>
      <c r="K985" s="70" t="str">
        <f t="shared" si="349"/>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50"/>
        <v>0</v>
      </c>
      <c r="AL985" s="74"/>
      <c r="AM985" s="74"/>
      <c r="AN985" s="81" t="str">
        <f t="shared" si="351"/>
        <v/>
      </c>
      <c r="AO985" s="82"/>
      <c r="AP985" s="75"/>
      <c r="AQ985" s="75"/>
      <c r="AR985" s="80">
        <f t="shared" si="352"/>
        <v>0</v>
      </c>
      <c r="AS985" s="74"/>
      <c r="AT985" s="75"/>
      <c r="AU985" s="75"/>
      <c r="AV985" s="75"/>
      <c r="AW985" s="80">
        <f t="shared" si="353"/>
        <v>0</v>
      </c>
      <c r="AX985" s="81" t="str">
        <f t="shared" si="354"/>
        <v/>
      </c>
      <c r="AY985" s="83" t="str">
        <f t="shared" si="355"/>
        <v/>
      </c>
      <c r="AZ985" s="80" t="str">
        <f t="shared" si="356"/>
        <v/>
      </c>
      <c r="BA985" s="84">
        <f t="shared" si="357"/>
        <v>0</v>
      </c>
      <c r="BB985" s="85" t="str">
        <f t="shared" si="358"/>
        <v/>
      </c>
      <c r="BC985" s="86" t="str">
        <f t="shared" si="359"/>
        <v/>
      </c>
      <c r="BD985" s="84">
        <f t="shared" si="360"/>
        <v>0</v>
      </c>
      <c r="BE985" s="87" t="str">
        <f t="shared" si="361"/>
        <v/>
      </c>
      <c r="BF985" s="88" t="str">
        <f t="shared" si="362"/>
        <v/>
      </c>
      <c r="BG985" s="89" t="str">
        <f t="shared" si="363"/>
        <v/>
      </c>
      <c r="BH985" s="90" t="str">
        <f t="shared" si="364"/>
        <v/>
      </c>
      <c r="BI985" s="90" t="str">
        <f t="shared" si="365"/>
        <v/>
      </c>
      <c r="BJ985" s="91">
        <f t="shared" si="366"/>
        <v>0</v>
      </c>
      <c r="BK985" s="92">
        <f t="shared" si="367"/>
        <v>0</v>
      </c>
      <c r="BL985" s="95"/>
    </row>
    <row r="986" spans="1:64">
      <c r="A986" s="61"/>
      <c r="B986" s="62"/>
      <c r="C986" s="63"/>
      <c r="D986" s="64"/>
      <c r="E986" s="64"/>
      <c r="F986" s="65"/>
      <c r="G986" s="66" t="str">
        <f t="shared" si="345"/>
        <v/>
      </c>
      <c r="H986" s="67" t="str">
        <f t="shared" si="346"/>
        <v/>
      </c>
      <c r="I986" s="68" t="str">
        <f t="shared" si="347"/>
        <v/>
      </c>
      <c r="J986" s="69" t="str">
        <f t="shared" si="348"/>
        <v/>
      </c>
      <c r="K986" s="70" t="str">
        <f t="shared" si="349"/>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50"/>
        <v>0</v>
      </c>
      <c r="AL986" s="74"/>
      <c r="AM986" s="74"/>
      <c r="AN986" s="81" t="str">
        <f t="shared" si="351"/>
        <v/>
      </c>
      <c r="AO986" s="82"/>
      <c r="AP986" s="75"/>
      <c r="AQ986" s="75"/>
      <c r="AR986" s="80">
        <f t="shared" si="352"/>
        <v>0</v>
      </c>
      <c r="AS986" s="74"/>
      <c r="AT986" s="75"/>
      <c r="AU986" s="75"/>
      <c r="AV986" s="75"/>
      <c r="AW986" s="80">
        <f t="shared" si="353"/>
        <v>0</v>
      </c>
      <c r="AX986" s="81" t="str">
        <f t="shared" si="354"/>
        <v/>
      </c>
      <c r="AY986" s="83" t="str">
        <f t="shared" si="355"/>
        <v/>
      </c>
      <c r="AZ986" s="80" t="str">
        <f t="shared" si="356"/>
        <v/>
      </c>
      <c r="BA986" s="84">
        <f t="shared" si="357"/>
        <v>0</v>
      </c>
      <c r="BB986" s="85" t="str">
        <f t="shared" si="358"/>
        <v/>
      </c>
      <c r="BC986" s="86" t="str">
        <f t="shared" si="359"/>
        <v/>
      </c>
      <c r="BD986" s="84">
        <f t="shared" si="360"/>
        <v>0</v>
      </c>
      <c r="BE986" s="87" t="str">
        <f t="shared" si="361"/>
        <v/>
      </c>
      <c r="BF986" s="88" t="str">
        <f t="shared" si="362"/>
        <v/>
      </c>
      <c r="BG986" s="89" t="str">
        <f t="shared" si="363"/>
        <v/>
      </c>
      <c r="BH986" s="90" t="str">
        <f t="shared" si="364"/>
        <v/>
      </c>
      <c r="BI986" s="90" t="str">
        <f t="shared" si="365"/>
        <v/>
      </c>
      <c r="BJ986" s="91">
        <f t="shared" si="366"/>
        <v>0</v>
      </c>
      <c r="BK986" s="92">
        <f t="shared" si="367"/>
        <v>0</v>
      </c>
      <c r="BL986" s="95"/>
    </row>
    <row r="987" spans="1:64">
      <c r="A987" s="61"/>
      <c r="B987" s="62"/>
      <c r="C987" s="63"/>
      <c r="D987" s="64"/>
      <c r="E987" s="64"/>
      <c r="F987" s="65"/>
      <c r="G987" s="66" t="str">
        <f t="shared" si="345"/>
        <v/>
      </c>
      <c r="H987" s="67" t="str">
        <f t="shared" si="346"/>
        <v/>
      </c>
      <c r="I987" s="68" t="str">
        <f t="shared" si="347"/>
        <v/>
      </c>
      <c r="J987" s="69" t="str">
        <f t="shared" si="348"/>
        <v/>
      </c>
      <c r="K987" s="70" t="str">
        <f t="shared" si="349"/>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50"/>
        <v>0</v>
      </c>
      <c r="AL987" s="74"/>
      <c r="AM987" s="74"/>
      <c r="AN987" s="81" t="str">
        <f t="shared" si="351"/>
        <v/>
      </c>
      <c r="AO987" s="82"/>
      <c r="AP987" s="75"/>
      <c r="AQ987" s="75"/>
      <c r="AR987" s="80">
        <f t="shared" si="352"/>
        <v>0</v>
      </c>
      <c r="AS987" s="74"/>
      <c r="AT987" s="75"/>
      <c r="AU987" s="75"/>
      <c r="AV987" s="75"/>
      <c r="AW987" s="80">
        <f t="shared" si="353"/>
        <v>0</v>
      </c>
      <c r="AX987" s="81" t="str">
        <f t="shared" si="354"/>
        <v/>
      </c>
      <c r="AY987" s="83" t="str">
        <f t="shared" si="355"/>
        <v/>
      </c>
      <c r="AZ987" s="80" t="str">
        <f t="shared" si="356"/>
        <v/>
      </c>
      <c r="BA987" s="84">
        <f t="shared" si="357"/>
        <v>0</v>
      </c>
      <c r="BB987" s="85" t="str">
        <f t="shared" si="358"/>
        <v/>
      </c>
      <c r="BC987" s="86" t="str">
        <f t="shared" si="359"/>
        <v/>
      </c>
      <c r="BD987" s="84">
        <f t="shared" si="360"/>
        <v>0</v>
      </c>
      <c r="BE987" s="87" t="str">
        <f t="shared" si="361"/>
        <v/>
      </c>
      <c r="BF987" s="88" t="str">
        <f t="shared" si="362"/>
        <v/>
      </c>
      <c r="BG987" s="89" t="str">
        <f t="shared" si="363"/>
        <v/>
      </c>
      <c r="BH987" s="90" t="str">
        <f t="shared" si="364"/>
        <v/>
      </c>
      <c r="BI987" s="90" t="str">
        <f t="shared" si="365"/>
        <v/>
      </c>
      <c r="BJ987" s="91">
        <f t="shared" si="366"/>
        <v>0</v>
      </c>
      <c r="BK987" s="92">
        <f t="shared" si="367"/>
        <v>0</v>
      </c>
      <c r="BL987" s="95"/>
    </row>
    <row r="988" spans="1:64">
      <c r="A988" s="61"/>
      <c r="B988" s="62"/>
      <c r="C988" s="63"/>
      <c r="D988" s="64"/>
      <c r="E988" s="64"/>
      <c r="F988" s="65"/>
      <c r="G988" s="66" t="str">
        <f t="shared" si="345"/>
        <v/>
      </c>
      <c r="H988" s="67" t="str">
        <f t="shared" si="346"/>
        <v/>
      </c>
      <c r="I988" s="68" t="str">
        <f t="shared" si="347"/>
        <v/>
      </c>
      <c r="J988" s="69" t="str">
        <f t="shared" si="348"/>
        <v/>
      </c>
      <c r="K988" s="70" t="str">
        <f t="shared" si="349"/>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50"/>
        <v>0</v>
      </c>
      <c r="AL988" s="74"/>
      <c r="AM988" s="74"/>
      <c r="AN988" s="81" t="str">
        <f t="shared" si="351"/>
        <v/>
      </c>
      <c r="AO988" s="82"/>
      <c r="AP988" s="75"/>
      <c r="AQ988" s="75"/>
      <c r="AR988" s="80">
        <f t="shared" si="352"/>
        <v>0</v>
      </c>
      <c r="AS988" s="74"/>
      <c r="AT988" s="75"/>
      <c r="AU988" s="75"/>
      <c r="AV988" s="75"/>
      <c r="AW988" s="80">
        <f t="shared" si="353"/>
        <v>0</v>
      </c>
      <c r="AX988" s="81" t="str">
        <f t="shared" si="354"/>
        <v/>
      </c>
      <c r="AY988" s="83" t="str">
        <f t="shared" si="355"/>
        <v/>
      </c>
      <c r="AZ988" s="80" t="str">
        <f t="shared" si="356"/>
        <v/>
      </c>
      <c r="BA988" s="84">
        <f t="shared" si="357"/>
        <v>0</v>
      </c>
      <c r="BB988" s="85" t="str">
        <f t="shared" si="358"/>
        <v/>
      </c>
      <c r="BC988" s="86" t="str">
        <f t="shared" si="359"/>
        <v/>
      </c>
      <c r="BD988" s="84">
        <f t="shared" si="360"/>
        <v>0</v>
      </c>
      <c r="BE988" s="87" t="str">
        <f t="shared" si="361"/>
        <v/>
      </c>
      <c r="BF988" s="88" t="str">
        <f t="shared" si="362"/>
        <v/>
      </c>
      <c r="BG988" s="89" t="str">
        <f t="shared" si="363"/>
        <v/>
      </c>
      <c r="BH988" s="90" t="str">
        <f t="shared" si="364"/>
        <v/>
      </c>
      <c r="BI988" s="90" t="str">
        <f t="shared" si="365"/>
        <v/>
      </c>
      <c r="BJ988" s="91">
        <f t="shared" si="366"/>
        <v>0</v>
      </c>
      <c r="BK988" s="92">
        <f t="shared" si="367"/>
        <v>0</v>
      </c>
      <c r="BL988" s="95"/>
    </row>
    <row r="989" spans="1:64">
      <c r="A989" s="61"/>
      <c r="B989" s="62"/>
      <c r="C989" s="63"/>
      <c r="D989" s="64"/>
      <c r="E989" s="64"/>
      <c r="F989" s="65"/>
      <c r="G989" s="66" t="str">
        <f t="shared" si="345"/>
        <v/>
      </c>
      <c r="H989" s="67" t="str">
        <f t="shared" si="346"/>
        <v/>
      </c>
      <c r="I989" s="68" t="str">
        <f t="shared" si="347"/>
        <v/>
      </c>
      <c r="J989" s="69" t="str">
        <f t="shared" si="348"/>
        <v/>
      </c>
      <c r="K989" s="70" t="str">
        <f t="shared" si="349"/>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50"/>
        <v>0</v>
      </c>
      <c r="AL989" s="74"/>
      <c r="AM989" s="74"/>
      <c r="AN989" s="81" t="str">
        <f t="shared" si="351"/>
        <v/>
      </c>
      <c r="AO989" s="82"/>
      <c r="AP989" s="75"/>
      <c r="AQ989" s="75"/>
      <c r="AR989" s="80">
        <f t="shared" si="352"/>
        <v>0</v>
      </c>
      <c r="AS989" s="74"/>
      <c r="AT989" s="75"/>
      <c r="AU989" s="75"/>
      <c r="AV989" s="75"/>
      <c r="AW989" s="80">
        <f t="shared" si="353"/>
        <v>0</v>
      </c>
      <c r="AX989" s="81" t="str">
        <f t="shared" si="354"/>
        <v/>
      </c>
      <c r="AY989" s="83" t="str">
        <f t="shared" si="355"/>
        <v/>
      </c>
      <c r="AZ989" s="80" t="str">
        <f t="shared" si="356"/>
        <v/>
      </c>
      <c r="BA989" s="84">
        <f t="shared" si="357"/>
        <v>0</v>
      </c>
      <c r="BB989" s="85" t="str">
        <f t="shared" si="358"/>
        <v/>
      </c>
      <c r="BC989" s="86" t="str">
        <f t="shared" si="359"/>
        <v/>
      </c>
      <c r="BD989" s="84">
        <f t="shared" si="360"/>
        <v>0</v>
      </c>
      <c r="BE989" s="87" t="str">
        <f t="shared" si="361"/>
        <v/>
      </c>
      <c r="BF989" s="88" t="str">
        <f t="shared" si="362"/>
        <v/>
      </c>
      <c r="BG989" s="89" t="str">
        <f t="shared" si="363"/>
        <v/>
      </c>
      <c r="BH989" s="90" t="str">
        <f t="shared" si="364"/>
        <v/>
      </c>
      <c r="BI989" s="90" t="str">
        <f t="shared" si="365"/>
        <v/>
      </c>
      <c r="BJ989" s="91">
        <f t="shared" si="366"/>
        <v>0</v>
      </c>
      <c r="BK989" s="92">
        <f t="shared" si="367"/>
        <v>0</v>
      </c>
      <c r="BL989" s="95"/>
    </row>
    <row r="990" spans="1:64">
      <c r="A990" s="61"/>
      <c r="B990" s="62"/>
      <c r="C990" s="63"/>
      <c r="D990" s="64"/>
      <c r="E990" s="64"/>
      <c r="F990" s="65"/>
      <c r="G990" s="66" t="str">
        <f t="shared" si="345"/>
        <v/>
      </c>
      <c r="H990" s="67" t="str">
        <f t="shared" si="346"/>
        <v/>
      </c>
      <c r="I990" s="68" t="str">
        <f t="shared" si="347"/>
        <v/>
      </c>
      <c r="J990" s="69" t="str">
        <f t="shared" si="348"/>
        <v/>
      </c>
      <c r="K990" s="70" t="str">
        <f t="shared" si="349"/>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50"/>
        <v>0</v>
      </c>
      <c r="AL990" s="74"/>
      <c r="AM990" s="74"/>
      <c r="AN990" s="81" t="str">
        <f t="shared" si="351"/>
        <v/>
      </c>
      <c r="AO990" s="82"/>
      <c r="AP990" s="75"/>
      <c r="AQ990" s="75"/>
      <c r="AR990" s="80">
        <f t="shared" si="352"/>
        <v>0</v>
      </c>
      <c r="AS990" s="74"/>
      <c r="AT990" s="75"/>
      <c r="AU990" s="75"/>
      <c r="AV990" s="75"/>
      <c r="AW990" s="80">
        <f t="shared" si="353"/>
        <v>0</v>
      </c>
      <c r="AX990" s="81" t="str">
        <f t="shared" si="354"/>
        <v/>
      </c>
      <c r="AY990" s="83" t="str">
        <f t="shared" si="355"/>
        <v/>
      </c>
      <c r="AZ990" s="80" t="str">
        <f t="shared" si="356"/>
        <v/>
      </c>
      <c r="BA990" s="84">
        <f t="shared" si="357"/>
        <v>0</v>
      </c>
      <c r="BB990" s="85" t="str">
        <f t="shared" si="358"/>
        <v/>
      </c>
      <c r="BC990" s="86" t="str">
        <f t="shared" si="359"/>
        <v/>
      </c>
      <c r="BD990" s="84">
        <f t="shared" si="360"/>
        <v>0</v>
      </c>
      <c r="BE990" s="87" t="str">
        <f t="shared" si="361"/>
        <v/>
      </c>
      <c r="BF990" s="88" t="str">
        <f t="shared" si="362"/>
        <v/>
      </c>
      <c r="BG990" s="89" t="str">
        <f t="shared" si="363"/>
        <v/>
      </c>
      <c r="BH990" s="90" t="str">
        <f t="shared" si="364"/>
        <v/>
      </c>
      <c r="BI990" s="90" t="str">
        <f t="shared" si="365"/>
        <v/>
      </c>
      <c r="BJ990" s="91">
        <f t="shared" si="366"/>
        <v>0</v>
      </c>
      <c r="BK990" s="92">
        <f t="shared" si="367"/>
        <v>0</v>
      </c>
      <c r="BL990" s="95"/>
    </row>
    <row r="991" spans="1:64">
      <c r="A991" s="61"/>
      <c r="B991" s="62"/>
      <c r="C991" s="63"/>
      <c r="D991" s="64"/>
      <c r="E991" s="64"/>
      <c r="F991" s="65"/>
      <c r="G991" s="66" t="str">
        <f t="shared" si="345"/>
        <v/>
      </c>
      <c r="H991" s="67" t="str">
        <f t="shared" si="346"/>
        <v/>
      </c>
      <c r="I991" s="68" t="str">
        <f t="shared" si="347"/>
        <v/>
      </c>
      <c r="J991" s="69" t="str">
        <f t="shared" si="348"/>
        <v/>
      </c>
      <c r="K991" s="70" t="str">
        <f t="shared" si="349"/>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50"/>
        <v>0</v>
      </c>
      <c r="AL991" s="74"/>
      <c r="AM991" s="74"/>
      <c r="AN991" s="81" t="str">
        <f t="shared" si="351"/>
        <v/>
      </c>
      <c r="AO991" s="82"/>
      <c r="AP991" s="75"/>
      <c r="AQ991" s="75"/>
      <c r="AR991" s="80">
        <f t="shared" si="352"/>
        <v>0</v>
      </c>
      <c r="AS991" s="74"/>
      <c r="AT991" s="75"/>
      <c r="AU991" s="75"/>
      <c r="AV991" s="75"/>
      <c r="AW991" s="80">
        <f t="shared" si="353"/>
        <v>0</v>
      </c>
      <c r="AX991" s="81" t="str">
        <f t="shared" si="354"/>
        <v/>
      </c>
      <c r="AY991" s="83" t="str">
        <f t="shared" si="355"/>
        <v/>
      </c>
      <c r="AZ991" s="80" t="str">
        <f t="shared" si="356"/>
        <v/>
      </c>
      <c r="BA991" s="84">
        <f t="shared" si="357"/>
        <v>0</v>
      </c>
      <c r="BB991" s="85" t="str">
        <f t="shared" si="358"/>
        <v/>
      </c>
      <c r="BC991" s="86" t="str">
        <f t="shared" si="359"/>
        <v/>
      </c>
      <c r="BD991" s="84">
        <f t="shared" si="360"/>
        <v>0</v>
      </c>
      <c r="BE991" s="87" t="str">
        <f t="shared" si="361"/>
        <v/>
      </c>
      <c r="BF991" s="88" t="str">
        <f t="shared" si="362"/>
        <v/>
      </c>
      <c r="BG991" s="89" t="str">
        <f t="shared" si="363"/>
        <v/>
      </c>
      <c r="BH991" s="90" t="str">
        <f t="shared" si="364"/>
        <v/>
      </c>
      <c r="BI991" s="90" t="str">
        <f t="shared" si="365"/>
        <v/>
      </c>
      <c r="BJ991" s="91">
        <f t="shared" si="366"/>
        <v>0</v>
      </c>
      <c r="BK991" s="92">
        <f t="shared" si="367"/>
        <v>0</v>
      </c>
      <c r="BL991" s="95"/>
    </row>
    <row r="992" spans="1:64">
      <c r="A992" s="61"/>
      <c r="B992" s="62"/>
      <c r="C992" s="63"/>
      <c r="D992" s="64"/>
      <c r="E992" s="64"/>
      <c r="F992" s="65"/>
      <c r="G992" s="66" t="str">
        <f t="shared" si="345"/>
        <v/>
      </c>
      <c r="H992" s="67" t="str">
        <f t="shared" si="346"/>
        <v/>
      </c>
      <c r="I992" s="68" t="str">
        <f t="shared" si="347"/>
        <v/>
      </c>
      <c r="J992" s="69" t="str">
        <f t="shared" si="348"/>
        <v/>
      </c>
      <c r="K992" s="70" t="str">
        <f t="shared" si="349"/>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50"/>
        <v>0</v>
      </c>
      <c r="AL992" s="74"/>
      <c r="AM992" s="74"/>
      <c r="AN992" s="81" t="str">
        <f t="shared" si="351"/>
        <v/>
      </c>
      <c r="AO992" s="82"/>
      <c r="AP992" s="75"/>
      <c r="AQ992" s="75"/>
      <c r="AR992" s="80">
        <f t="shared" si="352"/>
        <v>0</v>
      </c>
      <c r="AS992" s="74"/>
      <c r="AT992" s="75"/>
      <c r="AU992" s="75"/>
      <c r="AV992" s="75"/>
      <c r="AW992" s="80">
        <f t="shared" si="353"/>
        <v>0</v>
      </c>
      <c r="AX992" s="81" t="str">
        <f t="shared" si="354"/>
        <v/>
      </c>
      <c r="AY992" s="83" t="str">
        <f t="shared" si="355"/>
        <v/>
      </c>
      <c r="AZ992" s="80" t="str">
        <f t="shared" si="356"/>
        <v/>
      </c>
      <c r="BA992" s="84">
        <f t="shared" si="357"/>
        <v>0</v>
      </c>
      <c r="BB992" s="85" t="str">
        <f t="shared" si="358"/>
        <v/>
      </c>
      <c r="BC992" s="86" t="str">
        <f t="shared" si="359"/>
        <v/>
      </c>
      <c r="BD992" s="84">
        <f t="shared" si="360"/>
        <v>0</v>
      </c>
      <c r="BE992" s="87" t="str">
        <f t="shared" si="361"/>
        <v/>
      </c>
      <c r="BF992" s="88" t="str">
        <f t="shared" si="362"/>
        <v/>
      </c>
      <c r="BG992" s="89" t="str">
        <f t="shared" si="363"/>
        <v/>
      </c>
      <c r="BH992" s="90" t="str">
        <f t="shared" si="364"/>
        <v/>
      </c>
      <c r="BI992" s="90" t="str">
        <f t="shared" si="365"/>
        <v/>
      </c>
      <c r="BJ992" s="91">
        <f t="shared" si="366"/>
        <v>0</v>
      </c>
      <c r="BK992" s="92">
        <f t="shared" si="367"/>
        <v>0</v>
      </c>
      <c r="BL992" s="95"/>
    </row>
    <row r="993" spans="1:64">
      <c r="A993" s="61"/>
      <c r="B993" s="62"/>
      <c r="C993" s="63"/>
      <c r="D993" s="64"/>
      <c r="E993" s="64"/>
      <c r="F993" s="65"/>
      <c r="G993" s="66" t="str">
        <f t="shared" si="345"/>
        <v/>
      </c>
      <c r="H993" s="67" t="str">
        <f t="shared" si="346"/>
        <v/>
      </c>
      <c r="I993" s="68" t="str">
        <f t="shared" si="347"/>
        <v/>
      </c>
      <c r="J993" s="69" t="str">
        <f t="shared" si="348"/>
        <v/>
      </c>
      <c r="K993" s="70" t="str">
        <f t="shared" si="349"/>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50"/>
        <v>0</v>
      </c>
      <c r="AL993" s="74"/>
      <c r="AM993" s="74"/>
      <c r="AN993" s="81" t="str">
        <f t="shared" si="351"/>
        <v/>
      </c>
      <c r="AO993" s="82"/>
      <c r="AP993" s="75"/>
      <c r="AQ993" s="75"/>
      <c r="AR993" s="80">
        <f t="shared" si="352"/>
        <v>0</v>
      </c>
      <c r="AS993" s="74"/>
      <c r="AT993" s="75"/>
      <c r="AU993" s="75"/>
      <c r="AV993" s="75"/>
      <c r="AW993" s="80">
        <f t="shared" si="353"/>
        <v>0</v>
      </c>
      <c r="AX993" s="81" t="str">
        <f t="shared" si="354"/>
        <v/>
      </c>
      <c r="AY993" s="83" t="str">
        <f t="shared" si="355"/>
        <v/>
      </c>
      <c r="AZ993" s="80" t="str">
        <f t="shared" si="356"/>
        <v/>
      </c>
      <c r="BA993" s="84">
        <f t="shared" si="357"/>
        <v>0</v>
      </c>
      <c r="BB993" s="85" t="str">
        <f t="shared" si="358"/>
        <v/>
      </c>
      <c r="BC993" s="86" t="str">
        <f t="shared" si="359"/>
        <v/>
      </c>
      <c r="BD993" s="84">
        <f t="shared" si="360"/>
        <v>0</v>
      </c>
      <c r="BE993" s="87" t="str">
        <f t="shared" si="361"/>
        <v/>
      </c>
      <c r="BF993" s="88" t="str">
        <f t="shared" si="362"/>
        <v/>
      </c>
      <c r="BG993" s="89" t="str">
        <f t="shared" si="363"/>
        <v/>
      </c>
      <c r="BH993" s="90" t="str">
        <f t="shared" si="364"/>
        <v/>
      </c>
      <c r="BI993" s="90" t="str">
        <f t="shared" si="365"/>
        <v/>
      </c>
      <c r="BJ993" s="91">
        <f t="shared" si="366"/>
        <v>0</v>
      </c>
      <c r="BK993" s="92">
        <f t="shared" si="367"/>
        <v>0</v>
      </c>
      <c r="BL993" s="95"/>
    </row>
    <row r="994" spans="1:64">
      <c r="A994" s="61"/>
      <c r="B994" s="62"/>
      <c r="C994" s="63"/>
      <c r="D994" s="64"/>
      <c r="E994" s="64"/>
      <c r="F994" s="65"/>
      <c r="G994" s="66" t="str">
        <f t="shared" si="345"/>
        <v/>
      </c>
      <c r="H994" s="67" t="str">
        <f t="shared" si="346"/>
        <v/>
      </c>
      <c r="I994" s="68" t="str">
        <f t="shared" si="347"/>
        <v/>
      </c>
      <c r="J994" s="69" t="str">
        <f t="shared" si="348"/>
        <v/>
      </c>
      <c r="K994" s="70" t="str">
        <f t="shared" si="349"/>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50"/>
        <v>0</v>
      </c>
      <c r="AL994" s="74"/>
      <c r="AM994" s="74"/>
      <c r="AN994" s="81" t="str">
        <f t="shared" si="351"/>
        <v/>
      </c>
      <c r="AO994" s="82"/>
      <c r="AP994" s="75"/>
      <c r="AQ994" s="75"/>
      <c r="AR994" s="80">
        <f t="shared" si="352"/>
        <v>0</v>
      </c>
      <c r="AS994" s="74"/>
      <c r="AT994" s="75"/>
      <c r="AU994" s="75"/>
      <c r="AV994" s="75"/>
      <c r="AW994" s="80">
        <f t="shared" si="353"/>
        <v>0</v>
      </c>
      <c r="AX994" s="81" t="str">
        <f t="shared" si="354"/>
        <v/>
      </c>
      <c r="AY994" s="83" t="str">
        <f t="shared" si="355"/>
        <v/>
      </c>
      <c r="AZ994" s="80" t="str">
        <f t="shared" si="356"/>
        <v/>
      </c>
      <c r="BA994" s="84">
        <f t="shared" si="357"/>
        <v>0</v>
      </c>
      <c r="BB994" s="85" t="str">
        <f t="shared" si="358"/>
        <v/>
      </c>
      <c r="BC994" s="86" t="str">
        <f t="shared" si="359"/>
        <v/>
      </c>
      <c r="BD994" s="84">
        <f t="shared" si="360"/>
        <v>0</v>
      </c>
      <c r="BE994" s="87" t="str">
        <f t="shared" si="361"/>
        <v/>
      </c>
      <c r="BF994" s="88" t="str">
        <f t="shared" si="362"/>
        <v/>
      </c>
      <c r="BG994" s="89" t="str">
        <f t="shared" si="363"/>
        <v/>
      </c>
      <c r="BH994" s="90" t="str">
        <f t="shared" si="364"/>
        <v/>
      </c>
      <c r="BI994" s="90" t="str">
        <f t="shared" si="365"/>
        <v/>
      </c>
      <c r="BJ994" s="91">
        <f t="shared" si="366"/>
        <v>0</v>
      </c>
      <c r="BK994" s="92">
        <f t="shared" si="367"/>
        <v>0</v>
      </c>
      <c r="BL994" s="95"/>
    </row>
    <row r="995" spans="1:64">
      <c r="A995" s="61"/>
      <c r="B995" s="62"/>
      <c r="C995" s="63"/>
      <c r="D995" s="64"/>
      <c r="E995" s="64"/>
      <c r="F995" s="65"/>
      <c r="G995" s="66" t="str">
        <f t="shared" si="345"/>
        <v/>
      </c>
      <c r="H995" s="67" t="str">
        <f t="shared" si="346"/>
        <v/>
      </c>
      <c r="I995" s="68" t="str">
        <f t="shared" si="347"/>
        <v/>
      </c>
      <c r="J995" s="69" t="str">
        <f t="shared" si="348"/>
        <v/>
      </c>
      <c r="K995" s="70" t="str">
        <f t="shared" si="349"/>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50"/>
        <v>0</v>
      </c>
      <c r="AL995" s="74"/>
      <c r="AM995" s="74"/>
      <c r="AN995" s="81" t="str">
        <f t="shared" si="351"/>
        <v/>
      </c>
      <c r="AO995" s="82"/>
      <c r="AP995" s="75"/>
      <c r="AQ995" s="75"/>
      <c r="AR995" s="80">
        <f t="shared" si="352"/>
        <v>0</v>
      </c>
      <c r="AS995" s="74"/>
      <c r="AT995" s="75"/>
      <c r="AU995" s="75"/>
      <c r="AV995" s="75"/>
      <c r="AW995" s="80">
        <f t="shared" si="353"/>
        <v>0</v>
      </c>
      <c r="AX995" s="81" t="str">
        <f t="shared" si="354"/>
        <v/>
      </c>
      <c r="AY995" s="83" t="str">
        <f t="shared" si="355"/>
        <v/>
      </c>
      <c r="AZ995" s="80" t="str">
        <f t="shared" si="356"/>
        <v/>
      </c>
      <c r="BA995" s="84">
        <f t="shared" si="357"/>
        <v>0</v>
      </c>
      <c r="BB995" s="85" t="str">
        <f t="shared" si="358"/>
        <v/>
      </c>
      <c r="BC995" s="86" t="str">
        <f t="shared" si="359"/>
        <v/>
      </c>
      <c r="BD995" s="84">
        <f t="shared" si="360"/>
        <v>0</v>
      </c>
      <c r="BE995" s="87" t="str">
        <f t="shared" si="361"/>
        <v/>
      </c>
      <c r="BF995" s="88" t="str">
        <f t="shared" si="362"/>
        <v/>
      </c>
      <c r="BG995" s="89" t="str">
        <f t="shared" si="363"/>
        <v/>
      </c>
      <c r="BH995" s="90" t="str">
        <f t="shared" si="364"/>
        <v/>
      </c>
      <c r="BI995" s="90" t="str">
        <f t="shared" si="365"/>
        <v/>
      </c>
      <c r="BJ995" s="91">
        <f t="shared" si="366"/>
        <v>0</v>
      </c>
      <c r="BK995" s="92">
        <f t="shared" si="367"/>
        <v>0</v>
      </c>
      <c r="BL995" s="95"/>
    </row>
    <row r="996" spans="1:64">
      <c r="A996" s="61"/>
      <c r="B996" s="62"/>
      <c r="C996" s="63"/>
      <c r="D996" s="64"/>
      <c r="E996" s="64"/>
      <c r="F996" s="65"/>
      <c r="G996" s="66" t="str">
        <f t="shared" si="345"/>
        <v/>
      </c>
      <c r="H996" s="67" t="str">
        <f t="shared" si="346"/>
        <v/>
      </c>
      <c r="I996" s="68" t="str">
        <f t="shared" si="347"/>
        <v/>
      </c>
      <c r="J996" s="69" t="str">
        <f t="shared" si="348"/>
        <v/>
      </c>
      <c r="K996" s="70" t="str">
        <f t="shared" si="349"/>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50"/>
        <v>0</v>
      </c>
      <c r="AL996" s="74"/>
      <c r="AM996" s="74"/>
      <c r="AN996" s="81" t="str">
        <f t="shared" si="351"/>
        <v/>
      </c>
      <c r="AO996" s="82"/>
      <c r="AP996" s="75"/>
      <c r="AQ996" s="75"/>
      <c r="AR996" s="80">
        <f t="shared" si="352"/>
        <v>0</v>
      </c>
      <c r="AS996" s="74"/>
      <c r="AT996" s="75"/>
      <c r="AU996" s="75"/>
      <c r="AV996" s="75"/>
      <c r="AW996" s="80">
        <f t="shared" si="353"/>
        <v>0</v>
      </c>
      <c r="AX996" s="81" t="str">
        <f t="shared" si="354"/>
        <v/>
      </c>
      <c r="AY996" s="83" t="str">
        <f t="shared" si="355"/>
        <v/>
      </c>
      <c r="AZ996" s="80" t="str">
        <f t="shared" si="356"/>
        <v/>
      </c>
      <c r="BA996" s="84">
        <f t="shared" si="357"/>
        <v>0</v>
      </c>
      <c r="BB996" s="85" t="str">
        <f t="shared" si="358"/>
        <v/>
      </c>
      <c r="BC996" s="86" t="str">
        <f t="shared" si="359"/>
        <v/>
      </c>
      <c r="BD996" s="84">
        <f t="shared" si="360"/>
        <v>0</v>
      </c>
      <c r="BE996" s="87" t="str">
        <f t="shared" si="361"/>
        <v/>
      </c>
      <c r="BF996" s="88" t="str">
        <f t="shared" si="362"/>
        <v/>
      </c>
      <c r="BG996" s="89" t="str">
        <f t="shared" si="363"/>
        <v/>
      </c>
      <c r="BH996" s="90" t="str">
        <f t="shared" si="364"/>
        <v/>
      </c>
      <c r="BI996" s="90" t="str">
        <f t="shared" si="365"/>
        <v/>
      </c>
      <c r="BJ996" s="91">
        <f t="shared" si="366"/>
        <v>0</v>
      </c>
      <c r="BK996" s="92">
        <f t="shared" si="367"/>
        <v>0</v>
      </c>
      <c r="BL996" s="95"/>
    </row>
    <row r="997" spans="1:64">
      <c r="A997" s="61"/>
      <c r="B997" s="62"/>
      <c r="C997" s="63"/>
      <c r="D997" s="64"/>
      <c r="E997" s="64"/>
      <c r="F997" s="65"/>
      <c r="G997" s="66" t="str">
        <f t="shared" si="345"/>
        <v/>
      </c>
      <c r="H997" s="67" t="str">
        <f t="shared" si="346"/>
        <v/>
      </c>
      <c r="I997" s="68" t="str">
        <f t="shared" si="347"/>
        <v/>
      </c>
      <c r="J997" s="69" t="str">
        <f t="shared" si="348"/>
        <v/>
      </c>
      <c r="K997" s="70" t="str">
        <f t="shared" si="349"/>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50"/>
        <v>0</v>
      </c>
      <c r="AL997" s="74"/>
      <c r="AM997" s="74"/>
      <c r="AN997" s="81" t="str">
        <f t="shared" si="351"/>
        <v/>
      </c>
      <c r="AO997" s="82"/>
      <c r="AP997" s="75"/>
      <c r="AQ997" s="75"/>
      <c r="AR997" s="80">
        <f t="shared" si="352"/>
        <v>0</v>
      </c>
      <c r="AS997" s="74"/>
      <c r="AT997" s="75"/>
      <c r="AU997" s="75"/>
      <c r="AV997" s="75"/>
      <c r="AW997" s="80">
        <f t="shared" si="353"/>
        <v>0</v>
      </c>
      <c r="AX997" s="81" t="str">
        <f t="shared" si="354"/>
        <v/>
      </c>
      <c r="AY997" s="83" t="str">
        <f t="shared" si="355"/>
        <v/>
      </c>
      <c r="AZ997" s="80" t="str">
        <f t="shared" si="356"/>
        <v/>
      </c>
      <c r="BA997" s="84">
        <f t="shared" si="357"/>
        <v>0</v>
      </c>
      <c r="BB997" s="85" t="str">
        <f t="shared" si="358"/>
        <v/>
      </c>
      <c r="BC997" s="86" t="str">
        <f t="shared" si="359"/>
        <v/>
      </c>
      <c r="BD997" s="84">
        <f t="shared" si="360"/>
        <v>0</v>
      </c>
      <c r="BE997" s="87" t="str">
        <f t="shared" si="361"/>
        <v/>
      </c>
      <c r="BF997" s="88" t="str">
        <f t="shared" si="362"/>
        <v/>
      </c>
      <c r="BG997" s="89" t="str">
        <f t="shared" si="363"/>
        <v/>
      </c>
      <c r="BH997" s="90" t="str">
        <f t="shared" si="364"/>
        <v/>
      </c>
      <c r="BI997" s="90" t="str">
        <f t="shared" si="365"/>
        <v/>
      </c>
      <c r="BJ997" s="91">
        <f t="shared" si="366"/>
        <v>0</v>
      </c>
      <c r="BK997" s="92">
        <f t="shared" si="367"/>
        <v>0</v>
      </c>
      <c r="BL997" s="95"/>
    </row>
    <row r="998" spans="1:64">
      <c r="A998" s="61"/>
      <c r="B998" s="62"/>
      <c r="C998" s="63"/>
      <c r="D998" s="64"/>
      <c r="E998" s="64"/>
      <c r="F998" s="65"/>
      <c r="G998" s="66" t="str">
        <f t="shared" si="345"/>
        <v/>
      </c>
      <c r="H998" s="67" t="str">
        <f t="shared" si="346"/>
        <v/>
      </c>
      <c r="I998" s="68" t="str">
        <f t="shared" si="347"/>
        <v/>
      </c>
      <c r="J998" s="69" t="str">
        <f t="shared" si="348"/>
        <v/>
      </c>
      <c r="K998" s="70" t="str">
        <f t="shared" si="349"/>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50"/>
        <v>0</v>
      </c>
      <c r="AL998" s="74"/>
      <c r="AM998" s="74"/>
      <c r="AN998" s="81" t="str">
        <f t="shared" si="351"/>
        <v/>
      </c>
      <c r="AO998" s="82"/>
      <c r="AP998" s="75"/>
      <c r="AQ998" s="75"/>
      <c r="AR998" s="80">
        <f t="shared" si="352"/>
        <v>0</v>
      </c>
      <c r="AS998" s="74"/>
      <c r="AT998" s="75"/>
      <c r="AU998" s="75"/>
      <c r="AV998" s="75"/>
      <c r="AW998" s="80">
        <f t="shared" si="353"/>
        <v>0</v>
      </c>
      <c r="AX998" s="81" t="str">
        <f t="shared" si="354"/>
        <v/>
      </c>
      <c r="AY998" s="83" t="str">
        <f t="shared" si="355"/>
        <v/>
      </c>
      <c r="AZ998" s="80" t="str">
        <f t="shared" si="356"/>
        <v/>
      </c>
      <c r="BA998" s="84">
        <f t="shared" si="357"/>
        <v>0</v>
      </c>
      <c r="BB998" s="85" t="str">
        <f t="shared" si="358"/>
        <v/>
      </c>
      <c r="BC998" s="86" t="str">
        <f t="shared" si="359"/>
        <v/>
      </c>
      <c r="BD998" s="84">
        <f t="shared" si="360"/>
        <v>0</v>
      </c>
      <c r="BE998" s="87" t="str">
        <f t="shared" si="361"/>
        <v/>
      </c>
      <c r="BF998" s="88" t="str">
        <f t="shared" si="362"/>
        <v/>
      </c>
      <c r="BG998" s="89" t="str">
        <f t="shared" si="363"/>
        <v/>
      </c>
      <c r="BH998" s="90" t="str">
        <f t="shared" si="364"/>
        <v/>
      </c>
      <c r="BI998" s="90" t="str">
        <f t="shared" si="365"/>
        <v/>
      </c>
      <c r="BJ998" s="91">
        <f t="shared" si="366"/>
        <v>0</v>
      </c>
      <c r="BK998" s="92">
        <f t="shared" si="367"/>
        <v>0</v>
      </c>
      <c r="BL998" s="95"/>
    </row>
    <row r="999" spans="1:64">
      <c r="A999" s="61"/>
      <c r="B999" s="62"/>
      <c r="C999" s="63"/>
      <c r="D999" s="64"/>
      <c r="E999" s="64"/>
      <c r="F999" s="65"/>
      <c r="G999" s="66" t="str">
        <f t="shared" si="345"/>
        <v/>
      </c>
      <c r="H999" s="67" t="str">
        <f t="shared" si="346"/>
        <v/>
      </c>
      <c r="I999" s="68" t="str">
        <f t="shared" si="347"/>
        <v/>
      </c>
      <c r="J999" s="69" t="str">
        <f t="shared" si="348"/>
        <v/>
      </c>
      <c r="K999" s="70" t="str">
        <f t="shared" si="349"/>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50"/>
        <v>0</v>
      </c>
      <c r="AL999" s="74"/>
      <c r="AM999" s="74"/>
      <c r="AN999" s="81" t="str">
        <f t="shared" si="351"/>
        <v/>
      </c>
      <c r="AO999" s="82"/>
      <c r="AP999" s="75"/>
      <c r="AQ999" s="75"/>
      <c r="AR999" s="80">
        <f t="shared" si="352"/>
        <v>0</v>
      </c>
      <c r="AS999" s="74"/>
      <c r="AT999" s="75"/>
      <c r="AU999" s="75"/>
      <c r="AV999" s="75"/>
      <c r="AW999" s="80">
        <f t="shared" si="353"/>
        <v>0</v>
      </c>
      <c r="AX999" s="81" t="str">
        <f t="shared" si="354"/>
        <v/>
      </c>
      <c r="AY999" s="83" t="str">
        <f t="shared" si="355"/>
        <v/>
      </c>
      <c r="AZ999" s="80" t="str">
        <f t="shared" si="356"/>
        <v/>
      </c>
      <c r="BA999" s="84">
        <f t="shared" si="357"/>
        <v>0</v>
      </c>
      <c r="BB999" s="85" t="str">
        <f t="shared" si="358"/>
        <v/>
      </c>
      <c r="BC999" s="86" t="str">
        <f t="shared" si="359"/>
        <v/>
      </c>
      <c r="BD999" s="84">
        <f t="shared" si="360"/>
        <v>0</v>
      </c>
      <c r="BE999" s="87" t="str">
        <f t="shared" si="361"/>
        <v/>
      </c>
      <c r="BF999" s="88" t="str">
        <f t="shared" si="362"/>
        <v/>
      </c>
      <c r="BG999" s="89" t="str">
        <f t="shared" si="363"/>
        <v/>
      </c>
      <c r="BH999" s="90" t="str">
        <f t="shared" si="364"/>
        <v/>
      </c>
      <c r="BI999" s="90" t="str">
        <f t="shared" si="365"/>
        <v/>
      </c>
      <c r="BJ999" s="91">
        <f t="shared" si="366"/>
        <v>0</v>
      </c>
      <c r="BK999" s="92">
        <f t="shared" si="367"/>
        <v>0</v>
      </c>
      <c r="BL999" s="95"/>
    </row>
    <row r="1000" spans="1:64">
      <c r="A1000" s="61"/>
      <c r="B1000" s="62"/>
      <c r="C1000" s="63"/>
      <c r="D1000" s="64"/>
      <c r="E1000" s="64"/>
      <c r="F1000" s="65"/>
      <c r="G1000" s="66" t="str">
        <f t="shared" si="345"/>
        <v/>
      </c>
      <c r="H1000" s="67" t="str">
        <f t="shared" si="346"/>
        <v/>
      </c>
      <c r="I1000" s="68" t="str">
        <f t="shared" si="347"/>
        <v/>
      </c>
      <c r="J1000" s="69" t="str">
        <f t="shared" si="348"/>
        <v/>
      </c>
      <c r="K1000" s="70" t="str">
        <f t="shared" si="349"/>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50"/>
        <v>0</v>
      </c>
      <c r="AL1000" s="74"/>
      <c r="AM1000" s="74"/>
      <c r="AN1000" s="81" t="str">
        <f t="shared" si="351"/>
        <v/>
      </c>
      <c r="AO1000" s="82"/>
      <c r="AP1000" s="75"/>
      <c r="AQ1000" s="75"/>
      <c r="AR1000" s="80">
        <f t="shared" si="352"/>
        <v>0</v>
      </c>
      <c r="AS1000" s="74"/>
      <c r="AT1000" s="75"/>
      <c r="AU1000" s="75"/>
      <c r="AV1000" s="75"/>
      <c r="AW1000" s="80">
        <f t="shared" si="353"/>
        <v>0</v>
      </c>
      <c r="AX1000" s="81" t="str">
        <f t="shared" si="354"/>
        <v/>
      </c>
      <c r="AY1000" s="83" t="str">
        <f t="shared" si="355"/>
        <v/>
      </c>
      <c r="AZ1000" s="80" t="str">
        <f t="shared" si="356"/>
        <v/>
      </c>
      <c r="BA1000" s="84">
        <f t="shared" si="357"/>
        <v>0</v>
      </c>
      <c r="BB1000" s="85" t="str">
        <f t="shared" si="358"/>
        <v/>
      </c>
      <c r="BC1000" s="86" t="str">
        <f t="shared" si="359"/>
        <v/>
      </c>
      <c r="BD1000" s="84">
        <f t="shared" si="360"/>
        <v>0</v>
      </c>
      <c r="BE1000" s="87" t="str">
        <f t="shared" si="361"/>
        <v/>
      </c>
      <c r="BF1000" s="88" t="str">
        <f t="shared" si="362"/>
        <v/>
      </c>
      <c r="BG1000" s="89" t="str">
        <f t="shared" si="363"/>
        <v/>
      </c>
      <c r="BH1000" s="90" t="str">
        <f t="shared" si="364"/>
        <v/>
      </c>
      <c r="BI1000" s="90" t="str">
        <f t="shared" si="365"/>
        <v/>
      </c>
      <c r="BJ1000" s="91">
        <f t="shared" si="366"/>
        <v>0</v>
      </c>
      <c r="BK1000" s="92">
        <f t="shared" si="367"/>
        <v>0</v>
      </c>
      <c r="BL1000" s="95"/>
    </row>
    <row r="1001" spans="1:64">
      <c r="A1001" s="61"/>
      <c r="B1001" s="62"/>
      <c r="C1001" s="63"/>
      <c r="D1001" s="64"/>
      <c r="E1001" s="64"/>
      <c r="F1001" s="65"/>
      <c r="G1001" s="66" t="str">
        <f t="shared" si="345"/>
        <v/>
      </c>
      <c r="H1001" s="67" t="str">
        <f t="shared" si="346"/>
        <v/>
      </c>
      <c r="I1001" s="68" t="str">
        <f t="shared" si="347"/>
        <v/>
      </c>
      <c r="J1001" s="69" t="str">
        <f t="shared" si="348"/>
        <v/>
      </c>
      <c r="K1001" s="70" t="str">
        <f t="shared" si="349"/>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50"/>
        <v>0</v>
      </c>
      <c r="AL1001" s="74"/>
      <c r="AM1001" s="74"/>
      <c r="AN1001" s="81" t="str">
        <f t="shared" si="351"/>
        <v/>
      </c>
      <c r="AO1001" s="82"/>
      <c r="AP1001" s="75"/>
      <c r="AQ1001" s="75"/>
      <c r="AR1001" s="80">
        <f t="shared" si="352"/>
        <v>0</v>
      </c>
      <c r="AS1001" s="74"/>
      <c r="AT1001" s="75"/>
      <c r="AU1001" s="75"/>
      <c r="AV1001" s="75"/>
      <c r="AW1001" s="80">
        <f t="shared" si="353"/>
        <v>0</v>
      </c>
      <c r="AX1001" s="81" t="str">
        <f t="shared" si="354"/>
        <v/>
      </c>
      <c r="AY1001" s="83" t="str">
        <f t="shared" si="355"/>
        <v/>
      </c>
      <c r="AZ1001" s="80" t="str">
        <f t="shared" si="356"/>
        <v/>
      </c>
      <c r="BA1001" s="84">
        <f t="shared" si="357"/>
        <v>0</v>
      </c>
      <c r="BB1001" s="85" t="str">
        <f t="shared" si="358"/>
        <v/>
      </c>
      <c r="BC1001" s="86" t="str">
        <f t="shared" si="359"/>
        <v/>
      </c>
      <c r="BD1001" s="84">
        <f t="shared" si="360"/>
        <v>0</v>
      </c>
      <c r="BE1001" s="87" t="str">
        <f t="shared" si="361"/>
        <v/>
      </c>
      <c r="BF1001" s="88" t="str">
        <f t="shared" si="362"/>
        <v/>
      </c>
      <c r="BG1001" s="89" t="str">
        <f t="shared" si="363"/>
        <v/>
      </c>
      <c r="BH1001" s="90" t="str">
        <f t="shared" si="364"/>
        <v/>
      </c>
      <c r="BI1001" s="90" t="str">
        <f t="shared" si="365"/>
        <v/>
      </c>
      <c r="BJ1001" s="91">
        <f t="shared" si="366"/>
        <v>0</v>
      </c>
      <c r="BK1001" s="92">
        <f t="shared" si="367"/>
        <v>0</v>
      </c>
      <c r="BL1001" s="95"/>
    </row>
    <row r="1002" spans="1:64">
      <c r="A1002" s="61"/>
      <c r="B1002" s="62"/>
      <c r="C1002" s="63"/>
      <c r="D1002" s="64"/>
      <c r="E1002" s="64"/>
      <c r="F1002" s="65"/>
      <c r="G1002" s="66" t="str">
        <f t="shared" si="345"/>
        <v/>
      </c>
      <c r="H1002" s="67" t="str">
        <f t="shared" si="346"/>
        <v/>
      </c>
      <c r="I1002" s="68" t="str">
        <f t="shared" si="347"/>
        <v/>
      </c>
      <c r="J1002" s="69" t="str">
        <f t="shared" si="348"/>
        <v/>
      </c>
      <c r="K1002" s="70" t="str">
        <f t="shared" si="349"/>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50"/>
        <v>0</v>
      </c>
      <c r="AL1002" s="74"/>
      <c r="AM1002" s="74"/>
      <c r="AN1002" s="81" t="str">
        <f t="shared" si="351"/>
        <v/>
      </c>
      <c r="AO1002" s="82"/>
      <c r="AP1002" s="75"/>
      <c r="AQ1002" s="75"/>
      <c r="AR1002" s="80">
        <f t="shared" si="352"/>
        <v>0</v>
      </c>
      <c r="AS1002" s="74"/>
      <c r="AT1002" s="75"/>
      <c r="AU1002" s="75"/>
      <c r="AV1002" s="75"/>
      <c r="AW1002" s="80">
        <f t="shared" si="353"/>
        <v>0</v>
      </c>
      <c r="AX1002" s="81" t="str">
        <f t="shared" si="354"/>
        <v/>
      </c>
      <c r="AY1002" s="83" t="str">
        <f t="shared" si="355"/>
        <v/>
      </c>
      <c r="AZ1002" s="80" t="str">
        <f t="shared" si="356"/>
        <v/>
      </c>
      <c r="BA1002" s="84">
        <f t="shared" si="357"/>
        <v>0</v>
      </c>
      <c r="BB1002" s="85" t="str">
        <f t="shared" si="358"/>
        <v/>
      </c>
      <c r="BC1002" s="86" t="str">
        <f t="shared" si="359"/>
        <v/>
      </c>
      <c r="BD1002" s="84">
        <f t="shared" si="360"/>
        <v>0</v>
      </c>
      <c r="BE1002" s="87" t="str">
        <f t="shared" si="361"/>
        <v/>
      </c>
      <c r="BF1002" s="88" t="str">
        <f t="shared" si="362"/>
        <v/>
      </c>
      <c r="BG1002" s="89" t="str">
        <f t="shared" si="363"/>
        <v/>
      </c>
      <c r="BH1002" s="90" t="str">
        <f t="shared" si="364"/>
        <v/>
      </c>
      <c r="BI1002" s="90" t="str">
        <f t="shared" si="365"/>
        <v/>
      </c>
      <c r="BJ1002" s="91">
        <f t="shared" si="366"/>
        <v>0</v>
      </c>
      <c r="BK1002" s="92">
        <f t="shared" si="367"/>
        <v>0</v>
      </c>
      <c r="BL1002" s="95"/>
    </row>
    <row r="1003" spans="1:64">
      <c r="A1003" s="61"/>
      <c r="B1003" s="62"/>
      <c r="C1003" s="63"/>
      <c r="D1003" s="64"/>
      <c r="E1003" s="64"/>
      <c r="F1003" s="65"/>
      <c r="G1003" s="66" t="str">
        <f t="shared" si="345"/>
        <v/>
      </c>
      <c r="H1003" s="67" t="str">
        <f t="shared" si="346"/>
        <v/>
      </c>
      <c r="I1003" s="68" t="str">
        <f t="shared" si="347"/>
        <v/>
      </c>
      <c r="J1003" s="69" t="str">
        <f t="shared" si="348"/>
        <v/>
      </c>
      <c r="K1003" s="70" t="str">
        <f t="shared" si="349"/>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50"/>
        <v>0</v>
      </c>
      <c r="AL1003" s="74"/>
      <c r="AM1003" s="74"/>
      <c r="AN1003" s="81" t="str">
        <f t="shared" si="351"/>
        <v/>
      </c>
      <c r="AO1003" s="82"/>
      <c r="AP1003" s="75"/>
      <c r="AQ1003" s="75"/>
      <c r="AR1003" s="80">
        <f t="shared" si="352"/>
        <v>0</v>
      </c>
      <c r="AS1003" s="74"/>
      <c r="AT1003" s="75"/>
      <c r="AU1003" s="75"/>
      <c r="AV1003" s="75"/>
      <c r="AW1003" s="80">
        <f t="shared" si="353"/>
        <v>0</v>
      </c>
      <c r="AX1003" s="81" t="str">
        <f t="shared" si="354"/>
        <v/>
      </c>
      <c r="AY1003" s="83" t="str">
        <f t="shared" si="355"/>
        <v/>
      </c>
      <c r="AZ1003" s="80" t="str">
        <f t="shared" si="356"/>
        <v/>
      </c>
      <c r="BA1003" s="84">
        <f t="shared" si="357"/>
        <v>0</v>
      </c>
      <c r="BB1003" s="85" t="str">
        <f t="shared" si="358"/>
        <v/>
      </c>
      <c r="BC1003" s="86" t="str">
        <f t="shared" si="359"/>
        <v/>
      </c>
      <c r="BD1003" s="84">
        <f t="shared" si="360"/>
        <v>0</v>
      </c>
      <c r="BE1003" s="87" t="str">
        <f t="shared" si="361"/>
        <v/>
      </c>
      <c r="BF1003" s="88" t="str">
        <f t="shared" si="362"/>
        <v/>
      </c>
      <c r="BG1003" s="89" t="str">
        <f t="shared" si="363"/>
        <v/>
      </c>
      <c r="BH1003" s="90" t="str">
        <f t="shared" si="364"/>
        <v/>
      </c>
      <c r="BI1003" s="90" t="str">
        <f t="shared" si="365"/>
        <v/>
      </c>
      <c r="BJ1003" s="91">
        <f t="shared" si="366"/>
        <v>0</v>
      </c>
      <c r="BK1003" s="92">
        <f t="shared" si="367"/>
        <v>0</v>
      </c>
      <c r="BL1003" s="95"/>
    </row>
    <row r="1004" spans="1:64">
      <c r="A1004" s="61"/>
      <c r="B1004" s="62"/>
      <c r="C1004" s="63"/>
      <c r="D1004" s="64"/>
      <c r="E1004" s="64"/>
      <c r="F1004" s="65"/>
      <c r="G1004" s="66" t="str">
        <f t="shared" si="345"/>
        <v/>
      </c>
      <c r="H1004" s="67" t="str">
        <f t="shared" si="346"/>
        <v/>
      </c>
      <c r="I1004" s="68" t="str">
        <f t="shared" si="347"/>
        <v/>
      </c>
      <c r="J1004" s="69" t="str">
        <f t="shared" si="348"/>
        <v/>
      </c>
      <c r="K1004" s="70" t="str">
        <f t="shared" si="349"/>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50"/>
        <v>0</v>
      </c>
      <c r="AL1004" s="74"/>
      <c r="AM1004" s="74"/>
      <c r="AN1004" s="81" t="str">
        <f t="shared" si="351"/>
        <v/>
      </c>
      <c r="AO1004" s="82"/>
      <c r="AP1004" s="75"/>
      <c r="AQ1004" s="75"/>
      <c r="AR1004" s="80">
        <f t="shared" si="352"/>
        <v>0</v>
      </c>
      <c r="AS1004" s="74"/>
      <c r="AT1004" s="75"/>
      <c r="AU1004" s="75"/>
      <c r="AV1004" s="75"/>
      <c r="AW1004" s="80">
        <f t="shared" si="353"/>
        <v>0</v>
      </c>
      <c r="AX1004" s="81" t="str">
        <f t="shared" si="354"/>
        <v/>
      </c>
      <c r="AY1004" s="83" t="str">
        <f t="shared" si="355"/>
        <v/>
      </c>
      <c r="AZ1004" s="80" t="str">
        <f t="shared" si="356"/>
        <v/>
      </c>
      <c r="BA1004" s="84">
        <f t="shared" si="357"/>
        <v>0</v>
      </c>
      <c r="BB1004" s="85" t="str">
        <f t="shared" si="358"/>
        <v/>
      </c>
      <c r="BC1004" s="86" t="str">
        <f t="shared" si="359"/>
        <v/>
      </c>
      <c r="BD1004" s="84">
        <f t="shared" si="360"/>
        <v>0</v>
      </c>
      <c r="BE1004" s="87" t="str">
        <f t="shared" si="361"/>
        <v/>
      </c>
      <c r="BF1004" s="88" t="str">
        <f t="shared" si="362"/>
        <v/>
      </c>
      <c r="BG1004" s="89" t="str">
        <f t="shared" si="363"/>
        <v/>
      </c>
      <c r="BH1004" s="90" t="str">
        <f t="shared" si="364"/>
        <v/>
      </c>
      <c r="BI1004" s="90" t="str">
        <f t="shared" si="365"/>
        <v/>
      </c>
      <c r="BJ1004" s="91">
        <f t="shared" si="366"/>
        <v>0</v>
      </c>
      <c r="BK1004" s="92">
        <f t="shared" si="367"/>
        <v>0</v>
      </c>
      <c r="BL1004" s="95"/>
    </row>
    <row r="1005" spans="1:64">
      <c r="A1005" s="61"/>
      <c r="B1005" s="62"/>
      <c r="C1005" s="63"/>
      <c r="D1005" s="64"/>
      <c r="E1005" s="64"/>
      <c r="F1005" s="65"/>
      <c r="G1005" s="66" t="str">
        <f t="shared" si="345"/>
        <v/>
      </c>
      <c r="H1005" s="67" t="str">
        <f t="shared" si="346"/>
        <v/>
      </c>
      <c r="I1005" s="68" t="str">
        <f t="shared" si="347"/>
        <v/>
      </c>
      <c r="J1005" s="69" t="str">
        <f t="shared" si="348"/>
        <v/>
      </c>
      <c r="K1005" s="70" t="str">
        <f t="shared" si="349"/>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50"/>
        <v>0</v>
      </c>
      <c r="AL1005" s="74"/>
      <c r="AM1005" s="74"/>
      <c r="AN1005" s="81" t="str">
        <f t="shared" si="351"/>
        <v/>
      </c>
      <c r="AO1005" s="82"/>
      <c r="AP1005" s="75"/>
      <c r="AQ1005" s="75"/>
      <c r="AR1005" s="80">
        <f t="shared" si="352"/>
        <v>0</v>
      </c>
      <c r="AS1005" s="74"/>
      <c r="AT1005" s="75"/>
      <c r="AU1005" s="75"/>
      <c r="AV1005" s="75"/>
      <c r="AW1005" s="80">
        <f t="shared" si="353"/>
        <v>0</v>
      </c>
      <c r="AX1005" s="81" t="str">
        <f t="shared" si="354"/>
        <v/>
      </c>
      <c r="AY1005" s="83" t="str">
        <f t="shared" si="355"/>
        <v/>
      </c>
      <c r="AZ1005" s="80" t="str">
        <f t="shared" si="356"/>
        <v/>
      </c>
      <c r="BA1005" s="84">
        <f t="shared" si="357"/>
        <v>0</v>
      </c>
      <c r="BB1005" s="85" t="str">
        <f t="shared" si="358"/>
        <v/>
      </c>
      <c r="BC1005" s="86" t="str">
        <f t="shared" si="359"/>
        <v/>
      </c>
      <c r="BD1005" s="84">
        <f t="shared" si="360"/>
        <v>0</v>
      </c>
      <c r="BE1005" s="87" t="str">
        <f t="shared" si="361"/>
        <v/>
      </c>
      <c r="BF1005" s="88" t="str">
        <f t="shared" si="362"/>
        <v/>
      </c>
      <c r="BG1005" s="89" t="str">
        <f t="shared" si="363"/>
        <v/>
      </c>
      <c r="BH1005" s="90" t="str">
        <f t="shared" si="364"/>
        <v/>
      </c>
      <c r="BI1005" s="90" t="str">
        <f t="shared" si="365"/>
        <v/>
      </c>
      <c r="BJ1005" s="91">
        <f t="shared" si="366"/>
        <v>0</v>
      </c>
      <c r="BK1005" s="92">
        <f t="shared" si="367"/>
        <v>0</v>
      </c>
      <c r="BL1005" s="95"/>
    </row>
  </sheetData>
  <dataValidations count="7">
    <dataValidation type="decimal" allowBlank="1" showInputMessage="1" showErrorMessage="1" sqref="Z5:BK1005">
      <formula1>-999999999999</formula1>
      <formula2>999999999999</formula2>
    </dataValidation>
    <dataValidation type="whole" operator="greaterThan" allowBlank="1" showInputMessage="1" showErrorMessage="1" sqref="I5:I1005">
      <formula1>1900</formula1>
    </dataValidation>
    <dataValidation type="date" operator="greaterThan" allowBlank="1" showInputMessage="1" showErrorMessage="1" sqref="D5:F1005">
      <formula1>1</formula1>
    </dataValidation>
    <dataValidation type="whole" operator="greaterThan" allowBlank="1" showInputMessage="1" showErrorMessage="1" sqref="H5:H1005 J5:K1005">
      <formula1>0</formula1>
    </dataValidation>
    <dataValidation operator="greaterThan" allowBlank="1" showInputMessage="1" showErrorMessage="1" sqref="G5:G1005"/>
    <dataValidation type="whole" allowBlank="1" showInputMessage="1" showErrorMessage="1" sqref="X5:Y1005">
      <formula1>-999999999999</formula1>
      <formula2>999999999999</formula2>
    </dataValidation>
    <dataValidation type="list" allowBlank="1" showInputMessage="1" showErrorMessage="1" sqref="W5:W1005">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Drop_Down_Lists!$I$2:$I$20</xm:f>
          </x14:formula1>
          <xm:sqref>P5:P1005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Drop_Down_Lists!$D$2:$D$5</xm:f>
          </x14:formula1>
          <xm:sqref>C5:C1005</xm:sqref>
        </x14:dataValidation>
        <x14:dataValidation type="list" allowBlank="1" showInputMessage="1" showErrorMessage="1">
          <x14:formula1>
            <xm:f>Drop_Down_Lists!$J$2</xm:f>
          </x14:formula1>
          <xm:sqref>O5:O1005</xm:sqref>
        </x14:dataValidation>
        <x14:dataValidation type="list" allowBlank="1" showInputMessage="1" showErrorMessage="1">
          <x14:formula1>
            <xm:f>Drop_Down_Lists!$K$2:$K$18</xm:f>
          </x14:formula1>
          <xm:sqref>Q5:Q1005</xm:sqref>
        </x14:dataValidation>
        <x14:dataValidation type="list" allowBlank="1" showInputMessage="1" showErrorMessage="1">
          <x14:formula1>
            <xm:f>Drop_Down_Lists!$H$2:$H$4</xm:f>
          </x14:formula1>
          <xm:sqref>N5:N1005</xm:sqref>
        </x14:dataValidation>
        <x14:dataValidation type="list" allowBlank="1" showInputMessage="1" showErrorMessage="1">
          <x14:formula1>
            <xm:f>Drop_Down_Lists!$F$2:$F$4</xm:f>
          </x14:formula1>
          <xm:sqref>L5:L1005</xm:sqref>
        </x14:dataValidation>
        <x14:dataValidation type="list" allowBlank="1" showInputMessage="1" showErrorMessage="1">
          <x14:formula1>
            <xm:f>Drop_Down_Lists!$G$2:$G$4</xm:f>
          </x14:formula1>
          <xm:sqref>M5:M1005</xm:sqref>
        </x14:dataValidation>
        <x14:dataValidation type="list" allowBlank="1" showInputMessage="1" showErrorMessage="1">
          <x14:formula1>
            <xm:f>Drop_Down_Lists!$C$2:$C$90</xm:f>
          </x14:formula1>
          <xm:sqref>B5:B1005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heetViews>
  <sheetFormatPr defaultRowHeight="15"/>
  <cols>
    <col min="1" max="1" width="38" style="60" bestFit="1" customWidth="1"/>
    <col min="2" max="2" width="100.7109375" style="60" customWidth="1"/>
  </cols>
  <sheetData>
    <row r="1" spans="1:2">
      <c r="A1" s="113" t="s">
        <v>3</v>
      </c>
      <c r="B1" s="113" t="s">
        <v>164</v>
      </c>
    </row>
    <row r="2" spans="1:2" ht="30">
      <c r="A2" s="112" t="s">
        <v>75</v>
      </c>
      <c r="B2" s="109" t="s">
        <v>363</v>
      </c>
    </row>
    <row r="3" spans="1:2" ht="30">
      <c r="A3" s="112" t="s">
        <v>76</v>
      </c>
      <c r="B3" s="109" t="s">
        <v>364</v>
      </c>
    </row>
    <row r="4" spans="1:2" ht="30">
      <c r="A4" s="112" t="s">
        <v>72</v>
      </c>
      <c r="B4" s="109" t="s">
        <v>365</v>
      </c>
    </row>
    <row r="5" spans="1:2" ht="30">
      <c r="A5" s="112" t="s">
        <v>170</v>
      </c>
      <c r="B5" s="109" t="s">
        <v>366</v>
      </c>
    </row>
    <row r="6" spans="1:2">
      <c r="A6" s="112" t="s">
        <v>171</v>
      </c>
      <c r="B6" s="109" t="s">
        <v>367</v>
      </c>
    </row>
    <row r="7" spans="1:2" ht="30">
      <c r="A7" s="112" t="s">
        <v>117</v>
      </c>
      <c r="B7" s="109" t="s">
        <v>368</v>
      </c>
    </row>
    <row r="8" spans="1:2" ht="60">
      <c r="A8" s="112" t="s">
        <v>369</v>
      </c>
      <c r="B8" s="109" t="s">
        <v>370</v>
      </c>
    </row>
    <row r="9" spans="1:2" ht="30">
      <c r="A9" s="112" t="s">
        <v>371</v>
      </c>
      <c r="B9" s="109" t="s">
        <v>372</v>
      </c>
    </row>
    <row r="10" spans="1:2">
      <c r="A10" s="112" t="s">
        <v>116</v>
      </c>
      <c r="B10" s="109" t="s">
        <v>373</v>
      </c>
    </row>
    <row r="11" spans="1:2">
      <c r="A11" s="112" t="s">
        <v>374</v>
      </c>
      <c r="B11" s="109" t="s">
        <v>375</v>
      </c>
    </row>
    <row r="12" spans="1:2" ht="45">
      <c r="A12" s="112" t="s">
        <v>71</v>
      </c>
      <c r="B12" s="109" t="s">
        <v>376</v>
      </c>
    </row>
    <row r="13" spans="1:2" ht="30">
      <c r="A13" s="112" t="s">
        <v>17</v>
      </c>
      <c r="B13" s="109" t="s">
        <v>377</v>
      </c>
    </row>
    <row r="14" spans="1:2" ht="30">
      <c r="A14" s="112" t="s">
        <v>74</v>
      </c>
      <c r="B14" s="109" t="s">
        <v>378</v>
      </c>
    </row>
    <row r="15" spans="1:2" ht="30">
      <c r="A15" s="112" t="s">
        <v>73</v>
      </c>
      <c r="B15" s="109" t="s">
        <v>379</v>
      </c>
    </row>
    <row r="16" spans="1:2" ht="30">
      <c r="A16" s="112" t="s">
        <v>380</v>
      </c>
      <c r="B16" s="109" t="s">
        <v>381</v>
      </c>
    </row>
    <row r="17" spans="1:2">
      <c r="A17" s="112" t="s">
        <v>81</v>
      </c>
      <c r="B17" s="109" t="s">
        <v>382</v>
      </c>
    </row>
    <row r="18" spans="1:2">
      <c r="A18" s="112" t="s">
        <v>383</v>
      </c>
      <c r="B18" s="109" t="s">
        <v>384</v>
      </c>
    </row>
    <row r="19" spans="1:2">
      <c r="A19" s="112" t="s">
        <v>79</v>
      </c>
      <c r="B19" s="109" t="s">
        <v>385</v>
      </c>
    </row>
    <row r="20" spans="1:2" ht="30">
      <c r="A20" s="112" t="s">
        <v>274</v>
      </c>
      <c r="B20" s="109" t="s">
        <v>386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K90"/>
  <sheetViews>
    <sheetView zoomScaleNormal="100" workbookViewId="0">
      <selection activeCell="B16" sqref="B16"/>
    </sheetView>
  </sheetViews>
  <sheetFormatPr defaultRowHeight="15"/>
  <cols>
    <col min="1" max="1" width="13.140625" bestFit="1" customWidth="1"/>
    <col min="2" max="2" width="13.140625" customWidth="1"/>
    <col min="3" max="3" width="8.85546875" bestFit="1" customWidth="1"/>
    <col min="4" max="4" width="29.85546875" bestFit="1" customWidth="1"/>
    <col min="5" max="5" width="23.5703125" bestFit="1" customWidth="1"/>
    <col min="6" max="6" width="15.85546875" bestFit="1" customWidth="1"/>
    <col min="7" max="7" width="15.28515625" bestFit="1" customWidth="1"/>
    <col min="8" max="8" width="16.42578125" bestFit="1" customWidth="1"/>
    <col min="9" max="9" width="38" bestFit="1" customWidth="1"/>
    <col min="10" max="10" width="6.42578125" bestFit="1" customWidth="1"/>
    <col min="11" max="11" width="57.5703125" bestFit="1" customWidth="1"/>
  </cols>
  <sheetData>
    <row r="1" spans="1:11">
      <c r="A1" s="25" t="s">
        <v>66</v>
      </c>
      <c r="B1" s="25" t="s">
        <v>389</v>
      </c>
      <c r="C1" s="26" t="s">
        <v>166</v>
      </c>
      <c r="D1" s="25" t="s">
        <v>37</v>
      </c>
      <c r="E1" s="26" t="s">
        <v>131</v>
      </c>
      <c r="F1" s="25" t="s">
        <v>137</v>
      </c>
      <c r="G1" s="25" t="s">
        <v>2</v>
      </c>
      <c r="H1" s="26" t="s">
        <v>118</v>
      </c>
      <c r="I1" s="25" t="s">
        <v>3</v>
      </c>
      <c r="J1" s="25" t="s">
        <v>98</v>
      </c>
      <c r="K1" s="25" t="s">
        <v>99</v>
      </c>
    </row>
    <row r="2" spans="1:11">
      <c r="A2" s="35" t="s">
        <v>40</v>
      </c>
      <c r="B2" s="35" t="s">
        <v>40</v>
      </c>
      <c r="C2" s="24" t="s">
        <v>241</v>
      </c>
      <c r="D2" s="37" t="s">
        <v>69</v>
      </c>
      <c r="E2" s="35" t="s">
        <v>133</v>
      </c>
      <c r="F2" s="24" t="s">
        <v>140</v>
      </c>
      <c r="G2" s="24" t="s">
        <v>162</v>
      </c>
      <c r="H2" s="35" t="s">
        <v>115</v>
      </c>
      <c r="I2" s="110" t="s">
        <v>75</v>
      </c>
      <c r="J2" s="37" t="s">
        <v>102</v>
      </c>
      <c r="K2" s="24" t="s">
        <v>165</v>
      </c>
    </row>
    <row r="3" spans="1:11">
      <c r="A3" s="35" t="s">
        <v>41</v>
      </c>
      <c r="B3" s="35" t="s">
        <v>41</v>
      </c>
      <c r="C3" s="24" t="s">
        <v>175</v>
      </c>
      <c r="D3" s="37" t="s">
        <v>70</v>
      </c>
      <c r="E3" s="35" t="s">
        <v>132</v>
      </c>
      <c r="F3" s="24" t="s">
        <v>141</v>
      </c>
      <c r="G3" s="34" t="s">
        <v>161</v>
      </c>
      <c r="H3" s="35" t="s">
        <v>114</v>
      </c>
      <c r="I3" s="110" t="s">
        <v>76</v>
      </c>
      <c r="K3" s="24" t="s">
        <v>77</v>
      </c>
    </row>
    <row r="4" spans="1:11">
      <c r="A4" s="35" t="s">
        <v>42</v>
      </c>
      <c r="B4" s="35" t="s">
        <v>42</v>
      </c>
      <c r="C4" s="24" t="s">
        <v>177</v>
      </c>
      <c r="D4" s="37" t="s">
        <v>68</v>
      </c>
      <c r="F4" s="24" t="s">
        <v>139</v>
      </c>
      <c r="G4" s="24" t="s">
        <v>18</v>
      </c>
      <c r="H4" s="35" t="s">
        <v>78</v>
      </c>
      <c r="I4" s="110" t="s">
        <v>72</v>
      </c>
      <c r="K4" s="24" t="s">
        <v>113</v>
      </c>
    </row>
    <row r="5" spans="1:11">
      <c r="A5" s="35" t="s">
        <v>43</v>
      </c>
      <c r="B5" s="35" t="s">
        <v>43</v>
      </c>
      <c r="C5" s="24" t="s">
        <v>245</v>
      </c>
      <c r="D5" s="37" t="s">
        <v>97</v>
      </c>
      <c r="H5" s="6"/>
      <c r="I5" s="110" t="s">
        <v>170</v>
      </c>
      <c r="K5" s="24" t="s">
        <v>80</v>
      </c>
    </row>
    <row r="6" spans="1:11">
      <c r="A6" s="35" t="s">
        <v>44</v>
      </c>
      <c r="B6" s="35" t="s">
        <v>44</v>
      </c>
      <c r="C6" s="24" t="s">
        <v>178</v>
      </c>
      <c r="I6" s="110" t="s">
        <v>171</v>
      </c>
      <c r="K6" s="24" t="s">
        <v>109</v>
      </c>
    </row>
    <row r="7" spans="1:11">
      <c r="A7" s="35" t="s">
        <v>61</v>
      </c>
      <c r="B7" s="35" t="s">
        <v>61</v>
      </c>
      <c r="C7" s="24" t="s">
        <v>183</v>
      </c>
      <c r="I7" s="110" t="s">
        <v>117</v>
      </c>
      <c r="K7" s="24" t="s">
        <v>103</v>
      </c>
    </row>
    <row r="8" spans="1:11">
      <c r="A8" s="35" t="s">
        <v>45</v>
      </c>
      <c r="B8" s="35" t="s">
        <v>45</v>
      </c>
      <c r="C8" s="24" t="s">
        <v>246</v>
      </c>
      <c r="I8" s="110" t="s">
        <v>369</v>
      </c>
      <c r="K8" s="24" t="s">
        <v>154</v>
      </c>
    </row>
    <row r="9" spans="1:11">
      <c r="A9" s="35" t="s">
        <v>46</v>
      </c>
      <c r="B9" s="35" t="s">
        <v>46</v>
      </c>
      <c r="C9" s="24" t="s">
        <v>187</v>
      </c>
      <c r="I9" s="110" t="s">
        <v>371</v>
      </c>
      <c r="K9" s="24" t="s">
        <v>153</v>
      </c>
    </row>
    <row r="10" spans="1:11">
      <c r="A10" s="35" t="s">
        <v>48</v>
      </c>
      <c r="B10" s="35" t="s">
        <v>48</v>
      </c>
      <c r="C10" s="24" t="s">
        <v>179</v>
      </c>
      <c r="I10" s="110" t="s">
        <v>116</v>
      </c>
      <c r="K10" s="24" t="s">
        <v>110</v>
      </c>
    </row>
    <row r="11" spans="1:11">
      <c r="A11" s="35" t="s">
        <v>60</v>
      </c>
      <c r="B11" s="35" t="s">
        <v>390</v>
      </c>
      <c r="C11" s="24" t="s">
        <v>185</v>
      </c>
      <c r="I11" s="110" t="s">
        <v>374</v>
      </c>
      <c r="K11" s="24" t="s">
        <v>155</v>
      </c>
    </row>
    <row r="12" spans="1:11">
      <c r="A12" s="36" t="s">
        <v>67</v>
      </c>
      <c r="B12" s="35" t="s">
        <v>391</v>
      </c>
      <c r="C12" s="24" t="s">
        <v>184</v>
      </c>
      <c r="I12" s="110" t="s">
        <v>71</v>
      </c>
      <c r="K12" s="24" t="s">
        <v>105</v>
      </c>
    </row>
    <row r="13" spans="1:11">
      <c r="A13" s="35" t="s">
        <v>47</v>
      </c>
      <c r="B13" s="35" t="s">
        <v>60</v>
      </c>
      <c r="C13" s="24" t="s">
        <v>188</v>
      </c>
      <c r="I13" s="110" t="s">
        <v>17</v>
      </c>
      <c r="K13" s="24" t="s">
        <v>111</v>
      </c>
    </row>
    <row r="14" spans="1:11">
      <c r="A14" s="35" t="s">
        <v>49</v>
      </c>
      <c r="B14" s="35" t="s">
        <v>392</v>
      </c>
      <c r="C14" s="24" t="s">
        <v>214</v>
      </c>
      <c r="I14" s="110" t="s">
        <v>74</v>
      </c>
      <c r="K14" s="24" t="s">
        <v>104</v>
      </c>
    </row>
    <row r="15" spans="1:11">
      <c r="A15" s="35" t="s">
        <v>50</v>
      </c>
      <c r="B15" s="36" t="s">
        <v>67</v>
      </c>
      <c r="C15" s="24" t="s">
        <v>189</v>
      </c>
      <c r="I15" s="111" t="s">
        <v>73</v>
      </c>
      <c r="K15" s="24" t="s">
        <v>107</v>
      </c>
    </row>
    <row r="16" spans="1:11">
      <c r="A16" s="35" t="s">
        <v>16</v>
      </c>
      <c r="B16" s="35" t="s">
        <v>47</v>
      </c>
      <c r="C16" s="24" t="s">
        <v>190</v>
      </c>
      <c r="I16" s="110" t="s">
        <v>380</v>
      </c>
      <c r="K16" s="24" t="s">
        <v>112</v>
      </c>
    </row>
    <row r="17" spans="1:11">
      <c r="A17" s="35" t="s">
        <v>51</v>
      </c>
      <c r="B17" s="35" t="s">
        <v>49</v>
      </c>
      <c r="C17" s="24" t="s">
        <v>191</v>
      </c>
      <c r="I17" s="110" t="s">
        <v>81</v>
      </c>
      <c r="K17" s="24" t="s">
        <v>106</v>
      </c>
    </row>
    <row r="18" spans="1:11">
      <c r="A18" s="35" t="s">
        <v>52</v>
      </c>
      <c r="B18" s="35" t="s">
        <v>50</v>
      </c>
      <c r="C18" s="24" t="s">
        <v>193</v>
      </c>
      <c r="I18" s="110" t="s">
        <v>383</v>
      </c>
      <c r="K18" s="24" t="s">
        <v>108</v>
      </c>
    </row>
    <row r="19" spans="1:11">
      <c r="A19" s="35" t="s">
        <v>53</v>
      </c>
      <c r="B19" s="35" t="s">
        <v>393</v>
      </c>
      <c r="C19" s="24" t="s">
        <v>247</v>
      </c>
      <c r="I19" s="110" t="s">
        <v>79</v>
      </c>
      <c r="K19" s="27" t="s">
        <v>362</v>
      </c>
    </row>
    <row r="20" spans="1:11">
      <c r="A20" s="35" t="s">
        <v>54</v>
      </c>
      <c r="B20" s="35" t="s">
        <v>16</v>
      </c>
      <c r="C20" s="24" t="s">
        <v>195</v>
      </c>
      <c r="I20" s="111" t="s">
        <v>274</v>
      </c>
    </row>
    <row r="21" spans="1:11">
      <c r="A21" s="35" t="s">
        <v>55</v>
      </c>
      <c r="B21" s="35" t="s">
        <v>51</v>
      </c>
      <c r="C21" s="24" t="s">
        <v>250</v>
      </c>
      <c r="I21" s="6"/>
    </row>
    <row r="22" spans="1:11">
      <c r="A22" s="35" t="s">
        <v>56</v>
      </c>
      <c r="B22" s="35" t="s">
        <v>394</v>
      </c>
      <c r="C22" s="24" t="s">
        <v>196</v>
      </c>
    </row>
    <row r="23" spans="1:11">
      <c r="A23" s="35" t="s">
        <v>57</v>
      </c>
      <c r="B23" s="35" t="s">
        <v>395</v>
      </c>
      <c r="C23" s="24" t="s">
        <v>197</v>
      </c>
    </row>
    <row r="24" spans="1:11">
      <c r="A24" s="35" t="s">
        <v>58</v>
      </c>
      <c r="B24" s="35" t="s">
        <v>52</v>
      </c>
      <c r="C24" s="24" t="s">
        <v>261</v>
      </c>
    </row>
    <row r="25" spans="1:11">
      <c r="A25" s="35" t="s">
        <v>59</v>
      </c>
      <c r="B25" s="35" t="s">
        <v>53</v>
      </c>
      <c r="C25" s="24" t="s">
        <v>198</v>
      </c>
    </row>
    <row r="26" spans="1:11">
      <c r="A26" s="35" t="s">
        <v>62</v>
      </c>
      <c r="B26" s="35" t="s">
        <v>54</v>
      </c>
      <c r="C26" s="24" t="s">
        <v>259</v>
      </c>
    </row>
    <row r="27" spans="1:11">
      <c r="A27" s="35" t="s">
        <v>63</v>
      </c>
      <c r="B27" s="35" t="s">
        <v>396</v>
      </c>
      <c r="C27" s="24" t="s">
        <v>168</v>
      </c>
    </row>
    <row r="28" spans="1:11">
      <c r="A28" s="35" t="s">
        <v>64</v>
      </c>
      <c r="B28" s="35" t="s">
        <v>55</v>
      </c>
      <c r="C28" s="24" t="s">
        <v>248</v>
      </c>
    </row>
    <row r="29" spans="1:11">
      <c r="A29" s="35" t="s">
        <v>65</v>
      </c>
      <c r="B29" s="35" t="s">
        <v>56</v>
      </c>
      <c r="C29" s="24" t="s">
        <v>249</v>
      </c>
    </row>
    <row r="30" spans="1:11">
      <c r="B30" s="35" t="s">
        <v>57</v>
      </c>
      <c r="C30" s="24" t="s">
        <v>176</v>
      </c>
    </row>
    <row r="31" spans="1:11">
      <c r="B31" s="35" t="s">
        <v>58</v>
      </c>
      <c r="C31" s="24" t="s">
        <v>201</v>
      </c>
    </row>
    <row r="32" spans="1:11">
      <c r="B32" s="35" t="s">
        <v>397</v>
      </c>
      <c r="C32" s="24" t="s">
        <v>251</v>
      </c>
    </row>
    <row r="33" spans="2:3">
      <c r="B33" s="35" t="s">
        <v>59</v>
      </c>
      <c r="C33" s="24" t="s">
        <v>202</v>
      </c>
    </row>
    <row r="34" spans="2:3">
      <c r="B34" s="35" t="s">
        <v>62</v>
      </c>
      <c r="C34" s="24" t="s">
        <v>203</v>
      </c>
    </row>
    <row r="35" spans="2:3">
      <c r="B35" s="35" t="s">
        <v>63</v>
      </c>
      <c r="C35" s="24" t="s">
        <v>194</v>
      </c>
    </row>
    <row r="36" spans="2:3">
      <c r="B36" s="35" t="s">
        <v>64</v>
      </c>
      <c r="C36" s="24" t="s">
        <v>204</v>
      </c>
    </row>
    <row r="37" spans="2:3">
      <c r="B37" s="35" t="s">
        <v>65</v>
      </c>
      <c r="C37" s="24" t="s">
        <v>206</v>
      </c>
    </row>
    <row r="38" spans="2:3">
      <c r="C38" s="24" t="s">
        <v>252</v>
      </c>
    </row>
    <row r="39" spans="2:3">
      <c r="C39" s="24" t="s">
        <v>207</v>
      </c>
    </row>
    <row r="40" spans="2:3">
      <c r="C40" s="24" t="s">
        <v>181</v>
      </c>
    </row>
    <row r="41" spans="2:3">
      <c r="C41" s="24" t="s">
        <v>205</v>
      </c>
    </row>
    <row r="42" spans="2:3">
      <c r="C42" s="24" t="s">
        <v>253</v>
      </c>
    </row>
    <row r="43" spans="2:3">
      <c r="C43" s="24" t="s">
        <v>209</v>
      </c>
    </row>
    <row r="44" spans="2:3">
      <c r="C44" s="24" t="s">
        <v>208</v>
      </c>
    </row>
    <row r="45" spans="2:3">
      <c r="C45" s="24" t="s">
        <v>210</v>
      </c>
    </row>
    <row r="46" spans="2:3">
      <c r="C46" s="24" t="s">
        <v>211</v>
      </c>
    </row>
    <row r="47" spans="2:3">
      <c r="C47" s="24" t="s">
        <v>212</v>
      </c>
    </row>
    <row r="48" spans="2:3">
      <c r="C48" s="24" t="s">
        <v>213</v>
      </c>
    </row>
    <row r="49" spans="3:3">
      <c r="C49" s="24" t="s">
        <v>233</v>
      </c>
    </row>
    <row r="50" spans="3:3">
      <c r="C50" s="24" t="s">
        <v>243</v>
      </c>
    </row>
    <row r="51" spans="3:3">
      <c r="C51" s="24" t="s">
        <v>254</v>
      </c>
    </row>
    <row r="52" spans="3:3">
      <c r="C52" s="24" t="s">
        <v>244</v>
      </c>
    </row>
    <row r="53" spans="3:3">
      <c r="C53" s="24" t="s">
        <v>221</v>
      </c>
    </row>
    <row r="54" spans="3:3">
      <c r="C54" s="24" t="s">
        <v>220</v>
      </c>
    </row>
    <row r="55" spans="3:3">
      <c r="C55" s="24" t="s">
        <v>216</v>
      </c>
    </row>
    <row r="56" spans="3:3">
      <c r="C56" s="24" t="s">
        <v>215</v>
      </c>
    </row>
    <row r="57" spans="3:3">
      <c r="C57" s="24" t="s">
        <v>255</v>
      </c>
    </row>
    <row r="58" spans="3:3">
      <c r="C58" s="24" t="s">
        <v>218</v>
      </c>
    </row>
    <row r="59" spans="3:3">
      <c r="C59" s="24" t="s">
        <v>219</v>
      </c>
    </row>
    <row r="60" spans="3:3">
      <c r="C60" s="24" t="s">
        <v>217</v>
      </c>
    </row>
    <row r="61" spans="3:3">
      <c r="C61" s="24" t="s">
        <v>222</v>
      </c>
    </row>
    <row r="62" spans="3:3">
      <c r="C62" s="24" t="s">
        <v>256</v>
      </c>
    </row>
    <row r="63" spans="3:3">
      <c r="C63" s="24" t="s">
        <v>224</v>
      </c>
    </row>
    <row r="64" spans="3:3">
      <c r="C64" s="24" t="s">
        <v>192</v>
      </c>
    </row>
    <row r="65" spans="3:3">
      <c r="C65" s="24" t="s">
        <v>225</v>
      </c>
    </row>
    <row r="66" spans="3:3">
      <c r="C66" s="24" t="s">
        <v>226</v>
      </c>
    </row>
    <row r="67" spans="3:3">
      <c r="C67" s="24" t="s">
        <v>227</v>
      </c>
    </row>
    <row r="68" spans="3:3">
      <c r="C68" s="24" t="s">
        <v>228</v>
      </c>
    </row>
    <row r="69" spans="3:3">
      <c r="C69" s="24" t="s">
        <v>257</v>
      </c>
    </row>
    <row r="70" spans="3:3">
      <c r="C70" s="24" t="s">
        <v>229</v>
      </c>
    </row>
    <row r="71" spans="3:3">
      <c r="C71" s="24" t="s">
        <v>230</v>
      </c>
    </row>
    <row r="72" spans="3:3">
      <c r="C72" s="24" t="s">
        <v>232</v>
      </c>
    </row>
    <row r="73" spans="3:3">
      <c r="C73" s="24" t="s">
        <v>174</v>
      </c>
    </row>
    <row r="74" spans="3:3">
      <c r="C74" s="24" t="s">
        <v>231</v>
      </c>
    </row>
    <row r="75" spans="3:3">
      <c r="C75" s="24" t="s">
        <v>234</v>
      </c>
    </row>
    <row r="76" spans="3:3">
      <c r="C76" s="24" t="s">
        <v>186</v>
      </c>
    </row>
    <row r="77" spans="3:3">
      <c r="C77" s="24" t="s">
        <v>258</v>
      </c>
    </row>
    <row r="78" spans="3:3">
      <c r="C78" s="24" t="s">
        <v>260</v>
      </c>
    </row>
    <row r="79" spans="3:3">
      <c r="C79" s="24" t="s">
        <v>237</v>
      </c>
    </row>
    <row r="80" spans="3:3">
      <c r="C80" s="24" t="s">
        <v>238</v>
      </c>
    </row>
    <row r="81" spans="3:3">
      <c r="C81" s="24" t="s">
        <v>223</v>
      </c>
    </row>
    <row r="82" spans="3:3">
      <c r="C82" s="24" t="s">
        <v>235</v>
      </c>
    </row>
    <row r="83" spans="3:3">
      <c r="C83" s="24" t="s">
        <v>236</v>
      </c>
    </row>
    <row r="84" spans="3:3">
      <c r="C84" s="24" t="s">
        <v>240</v>
      </c>
    </row>
    <row r="85" spans="3:3">
      <c r="C85" s="24" t="s">
        <v>239</v>
      </c>
    </row>
    <row r="86" spans="3:3">
      <c r="C86" s="24" t="s">
        <v>182</v>
      </c>
    </row>
    <row r="87" spans="3:3">
      <c r="C87" s="24" t="s">
        <v>242</v>
      </c>
    </row>
    <row r="88" spans="3:3">
      <c r="C88" s="24" t="s">
        <v>180</v>
      </c>
    </row>
    <row r="89" spans="3:3">
      <c r="C89" s="24" t="s">
        <v>200</v>
      </c>
    </row>
    <row r="90" spans="3:3">
      <c r="C90" s="24" t="s">
        <v>199</v>
      </c>
    </row>
  </sheetData>
  <sortState ref="B2:B37">
    <sortCondition ref="B3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Read_Me</vt:lpstr>
      <vt:lpstr>Ptf_Monitoring_GROSS_Reins</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2020-10-22T15:42:15Z</dcterms:modified>
</cp:coreProperties>
</file>